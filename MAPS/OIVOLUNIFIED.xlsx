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GEX\GEX-main\MAPS\"/>
    </mc:Choice>
  </mc:AlternateContent>
  <xr:revisionPtr revIDLastSave="0" documentId="13_ncr:1_{2A3FB8EB-F8DB-4FCA-9991-CCE1C81FEC32}" xr6:coauthVersionLast="47" xr6:coauthVersionMax="47" xr10:uidLastSave="{00000000-0000-0000-0000-000000000000}"/>
  <bookViews>
    <workbookView xWindow="0" yWindow="0" windowWidth="28800" windowHeight="15750" tabRatio="568" activeTab="2" xr2:uid="{00000000-000D-0000-FFFF-FFFF00000000}"/>
  </bookViews>
  <sheets>
    <sheet name="Hoja1" sheetId="1" r:id="rId1"/>
    <sheet name="Hoja2" sheetId="2" r:id="rId2"/>
    <sheet name="Hoja3" sheetId="4" r:id="rId3"/>
  </sheets>
  <externalReferences>
    <externalReference r:id="rId4"/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3" i="4" l="1"/>
  <c r="A133" i="1"/>
  <c r="A41" i="1" l="1"/>
  <c r="B44" i="2" l="1"/>
  <c r="Q2" i="1" l="1"/>
  <c r="B2" i="1" l="1"/>
  <c r="B43" i="1" s="1"/>
  <c r="F82" i="1" l="1"/>
  <c r="F42" i="1"/>
  <c r="F1" i="1"/>
  <c r="C133" i="1" l="1"/>
  <c r="F40" i="1" l="1"/>
  <c r="E42" i="1"/>
  <c r="A42" i="1"/>
  <c r="A40" i="1"/>
  <c r="C3" i="4" l="1"/>
  <c r="A44" i="1"/>
  <c r="A45" i="1" s="1"/>
  <c r="A3" i="1"/>
  <c r="K3" i="4" l="1"/>
  <c r="A32" i="4"/>
  <c r="P32" i="4" s="1"/>
  <c r="A4" i="1"/>
  <c r="B3" i="4"/>
  <c r="A1" i="2"/>
  <c r="S1" i="4" l="1"/>
  <c r="A31" i="4"/>
  <c r="AA31" i="4" s="1"/>
  <c r="A33" i="4"/>
  <c r="AC33" i="4" s="1"/>
  <c r="AA32" i="4"/>
  <c r="R32" i="4"/>
  <c r="J3" i="4"/>
  <c r="AC32" i="4"/>
  <c r="B84" i="2"/>
  <c r="B136" i="2" s="1"/>
  <c r="R31" i="4" l="1"/>
  <c r="AC31" i="4"/>
  <c r="P31" i="4"/>
  <c r="A30" i="4"/>
  <c r="AA30" i="4" s="1"/>
  <c r="P33" i="4"/>
  <c r="AA33" i="4"/>
  <c r="A34" i="4"/>
  <c r="A35" i="4" s="1"/>
  <c r="R33" i="4"/>
  <c r="C3" i="2"/>
  <c r="C44" i="2" s="1"/>
  <c r="C84" i="2" s="1"/>
  <c r="C136" i="2" s="1"/>
  <c r="A136" i="2"/>
  <c r="A135" i="2"/>
  <c r="A134" i="2"/>
  <c r="A133" i="2"/>
  <c r="A132" i="2"/>
  <c r="A84" i="2"/>
  <c r="A83" i="2"/>
  <c r="A82" i="2"/>
  <c r="A81" i="2"/>
  <c r="A46" i="2"/>
  <c r="A44" i="2"/>
  <c r="B43" i="2" s="1"/>
  <c r="A43" i="2"/>
  <c r="A42" i="2"/>
  <c r="A41" i="2"/>
  <c r="A40" i="2"/>
  <c r="A5" i="2"/>
  <c r="A3" i="2"/>
  <c r="B2" i="2" s="1"/>
  <c r="C2" i="2" s="1"/>
  <c r="D2" i="2" s="1"/>
  <c r="E2" i="2" s="1"/>
  <c r="F2" i="2" s="1"/>
  <c r="G2" i="2" s="1"/>
  <c r="H2" i="2" s="1"/>
  <c r="I2" i="2" s="1"/>
  <c r="J2" i="2" s="1"/>
  <c r="K2" i="2" s="1"/>
  <c r="L2" i="2" s="1"/>
  <c r="P34" i="4" l="1"/>
  <c r="A29" i="4"/>
  <c r="AC29" i="4" s="1"/>
  <c r="P30" i="4"/>
  <c r="AC30" i="4"/>
  <c r="R30" i="4"/>
  <c r="R34" i="4"/>
  <c r="AA34" i="4"/>
  <c r="AC34" i="4"/>
  <c r="AC35" i="4"/>
  <c r="AA35" i="4"/>
  <c r="P35" i="4"/>
  <c r="R35" i="4"/>
  <c r="A36" i="4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C43" i="2"/>
  <c r="N2" i="2"/>
  <c r="M2" i="2"/>
  <c r="D3" i="2"/>
  <c r="AA29" i="4" l="1"/>
  <c r="R29" i="4"/>
  <c r="A28" i="4"/>
  <c r="AA28" i="4" s="1"/>
  <c r="P29" i="4"/>
  <c r="AC36" i="4"/>
  <c r="AA36" i="4"/>
  <c r="P36" i="4"/>
  <c r="R36" i="4"/>
  <c r="D44" i="2"/>
  <c r="D84" i="2" s="1"/>
  <c r="D136" i="2" s="1"/>
  <c r="E3" i="2"/>
  <c r="F3" i="2" s="1"/>
  <c r="G3" i="2" s="1"/>
  <c r="D43" i="2"/>
  <c r="P2" i="2"/>
  <c r="O2" i="2"/>
  <c r="R28" i="4" l="1"/>
  <c r="A27" i="4"/>
  <c r="AC27" i="4" s="1"/>
  <c r="AC28" i="4"/>
  <c r="P28" i="4"/>
  <c r="AC37" i="4"/>
  <c r="AA37" i="4"/>
  <c r="P37" i="4"/>
  <c r="R37" i="4"/>
  <c r="E44" i="2"/>
  <c r="E84" i="2" s="1"/>
  <c r="E136" i="2" s="1"/>
  <c r="E43" i="2"/>
  <c r="R2" i="2"/>
  <c r="Q2" i="2"/>
  <c r="F44" i="2"/>
  <c r="F84" i="2" s="1"/>
  <c r="F136" i="2" s="1"/>
  <c r="A26" i="4" l="1"/>
  <c r="AA27" i="4"/>
  <c r="P27" i="4"/>
  <c r="R27" i="4"/>
  <c r="AC49" i="4"/>
  <c r="AA49" i="4"/>
  <c r="P49" i="4"/>
  <c r="R49" i="4"/>
  <c r="F43" i="2"/>
  <c r="T2" i="2"/>
  <c r="S2" i="2"/>
  <c r="G44" i="2"/>
  <c r="G84" i="2" s="1"/>
  <c r="G136" i="2" s="1"/>
  <c r="D2" i="1"/>
  <c r="AC26" i="4" l="1"/>
  <c r="A25" i="4"/>
  <c r="AA25" i="4" s="1"/>
  <c r="R26" i="4"/>
  <c r="P26" i="4"/>
  <c r="AA26" i="4"/>
  <c r="AC50" i="4"/>
  <c r="AA50" i="4"/>
  <c r="P50" i="4"/>
  <c r="R50" i="4"/>
  <c r="D83" i="1"/>
  <c r="T82" i="1" s="1"/>
  <c r="U82" i="1" s="1"/>
  <c r="D43" i="1"/>
  <c r="G43" i="2"/>
  <c r="V2" i="2"/>
  <c r="U2" i="2"/>
  <c r="H3" i="2"/>
  <c r="H44" i="2" s="1"/>
  <c r="H84" i="2" s="1"/>
  <c r="H136" i="2" s="1"/>
  <c r="O45" i="1"/>
  <c r="O4" i="1"/>
  <c r="AC38" i="4" l="1"/>
  <c r="R38" i="4"/>
  <c r="P38" i="4"/>
  <c r="AA38" i="4"/>
  <c r="P25" i="4"/>
  <c r="AC25" i="4"/>
  <c r="A24" i="4"/>
  <c r="R24" i="4" s="1"/>
  <c r="R25" i="4"/>
  <c r="AC51" i="4"/>
  <c r="AA51" i="4"/>
  <c r="P51" i="4"/>
  <c r="R51" i="4"/>
  <c r="H43" i="2"/>
  <c r="X2" i="2"/>
  <c r="W2" i="2"/>
  <c r="I3" i="2"/>
  <c r="C2" i="1"/>
  <c r="C83" i="1" s="1"/>
  <c r="AA39" i="4" l="1"/>
  <c r="P39" i="4"/>
  <c r="R39" i="4"/>
  <c r="AC39" i="4"/>
  <c r="P24" i="4"/>
  <c r="AA24" i="4"/>
  <c r="AC24" i="4"/>
  <c r="A23" i="4"/>
  <c r="AA23" i="4" s="1"/>
  <c r="AC52" i="4"/>
  <c r="AA52" i="4"/>
  <c r="P52" i="4"/>
  <c r="R52" i="4"/>
  <c r="I1" i="2"/>
  <c r="I44" i="2"/>
  <c r="I84" i="2" s="1"/>
  <c r="I136" i="2" s="1"/>
  <c r="R82" i="1"/>
  <c r="S82" i="1"/>
  <c r="H1" i="2"/>
  <c r="C135" i="1"/>
  <c r="J134" i="1" s="1"/>
  <c r="B1" i="2"/>
  <c r="C1" i="2"/>
  <c r="D1" i="2"/>
  <c r="E1" i="2"/>
  <c r="F1" i="2"/>
  <c r="G1" i="2"/>
  <c r="I43" i="2"/>
  <c r="J3" i="2"/>
  <c r="K3" i="2" s="1"/>
  <c r="A46" i="1"/>
  <c r="AC40" i="4" l="1"/>
  <c r="R40" i="4"/>
  <c r="AA40" i="4"/>
  <c r="P40" i="4"/>
  <c r="P23" i="4"/>
  <c r="A22" i="4"/>
  <c r="AC22" i="4" s="1"/>
  <c r="R23" i="4"/>
  <c r="AC23" i="4"/>
  <c r="A47" i="2"/>
  <c r="AC53" i="4"/>
  <c r="AA53" i="4"/>
  <c r="P53" i="4"/>
  <c r="R53" i="4"/>
  <c r="J44" i="2"/>
  <c r="J84" i="2" s="1"/>
  <c r="J136" i="2" s="1"/>
  <c r="L3" i="2"/>
  <c r="M3" i="2" s="1"/>
  <c r="N3" i="2" s="1"/>
  <c r="P3" i="2" s="1"/>
  <c r="J1" i="2"/>
  <c r="J43" i="2"/>
  <c r="A47" i="1"/>
  <c r="A48" i="2" s="1"/>
  <c r="O46" i="1"/>
  <c r="AA41" i="4" l="1"/>
  <c r="P41" i="4"/>
  <c r="AC41" i="4"/>
  <c r="R41" i="4"/>
  <c r="P22" i="4"/>
  <c r="A21" i="4"/>
  <c r="AC21" i="4" s="1"/>
  <c r="R22" i="4"/>
  <c r="AA22" i="4"/>
  <c r="AC54" i="4"/>
  <c r="AA54" i="4"/>
  <c r="P54" i="4"/>
  <c r="R54" i="4"/>
  <c r="N44" i="2"/>
  <c r="N84" i="2" s="1"/>
  <c r="N136" i="2" s="1"/>
  <c r="N1" i="2"/>
  <c r="K44" i="2"/>
  <c r="K84" i="2" s="1"/>
  <c r="K136" i="2" s="1"/>
  <c r="M44" i="2"/>
  <c r="M84" i="2" s="1"/>
  <c r="M136" i="2" s="1"/>
  <c r="K1" i="2"/>
  <c r="K43" i="2"/>
  <c r="A48" i="1"/>
  <c r="A49" i="2" s="1"/>
  <c r="B49" i="2" s="1"/>
  <c r="O47" i="1"/>
  <c r="B46" i="2"/>
  <c r="B47" i="2"/>
  <c r="B5" i="2"/>
  <c r="B48" i="2"/>
  <c r="AC42" i="4" l="1"/>
  <c r="R42" i="4"/>
  <c r="AA42" i="4"/>
  <c r="P42" i="4"/>
  <c r="A20" i="4"/>
  <c r="AA20" i="4" s="1"/>
  <c r="R21" i="4"/>
  <c r="AA21" i="4"/>
  <c r="P21" i="4"/>
  <c r="AC55" i="4"/>
  <c r="AA55" i="4"/>
  <c r="P55" i="4"/>
  <c r="R55" i="4"/>
  <c r="Q3" i="2"/>
  <c r="R3" i="2" s="1"/>
  <c r="P44" i="2"/>
  <c r="P84" i="2" s="1"/>
  <c r="P136" i="2" s="1"/>
  <c r="P1" i="2"/>
  <c r="L44" i="2"/>
  <c r="L84" i="2" s="1"/>
  <c r="L136" i="2" s="1"/>
  <c r="L1" i="2"/>
  <c r="O44" i="2"/>
  <c r="O84" i="2" s="1"/>
  <c r="O136" i="2" s="1"/>
  <c r="M1" i="2"/>
  <c r="B42" i="2"/>
  <c r="B82" i="2" s="1"/>
  <c r="B134" i="2" s="1"/>
  <c r="M43" i="2"/>
  <c r="L43" i="2"/>
  <c r="B83" i="1"/>
  <c r="A49" i="1"/>
  <c r="A50" i="2" s="1"/>
  <c r="B50" i="2" s="1"/>
  <c r="O48" i="1"/>
  <c r="C5" i="2"/>
  <c r="C49" i="2"/>
  <c r="C47" i="2"/>
  <c r="C48" i="2"/>
  <c r="C46" i="2"/>
  <c r="AA43" i="4" l="1"/>
  <c r="P43" i="4"/>
  <c r="AC43" i="4"/>
  <c r="R43" i="4"/>
  <c r="C50" i="2"/>
  <c r="AC20" i="4"/>
  <c r="A19" i="4"/>
  <c r="R20" i="4"/>
  <c r="P20" i="4"/>
  <c r="AC56" i="4"/>
  <c r="AA56" i="4"/>
  <c r="P56" i="4"/>
  <c r="R56" i="4"/>
  <c r="S3" i="2"/>
  <c r="T3" i="2" s="1"/>
  <c r="R44" i="2"/>
  <c r="R84" i="2" s="1"/>
  <c r="R136" i="2" s="1"/>
  <c r="R1" i="2"/>
  <c r="B135" i="1"/>
  <c r="P82" i="1"/>
  <c r="Q82" i="1" s="1"/>
  <c r="Q44" i="2"/>
  <c r="Q84" i="2" s="1"/>
  <c r="Q136" i="2" s="1"/>
  <c r="O1" i="2"/>
  <c r="C42" i="2"/>
  <c r="C82" i="2" s="1"/>
  <c r="C134" i="2" s="1"/>
  <c r="N43" i="2"/>
  <c r="O43" i="2"/>
  <c r="A50" i="1"/>
  <c r="A51" i="2" s="1"/>
  <c r="C51" i="2" s="1"/>
  <c r="O49" i="1"/>
  <c r="D50" i="2"/>
  <c r="D46" i="2"/>
  <c r="D47" i="2"/>
  <c r="D48" i="2"/>
  <c r="D5" i="2"/>
  <c r="D49" i="2"/>
  <c r="AC44" i="4" l="1"/>
  <c r="R44" i="4"/>
  <c r="P44" i="4"/>
  <c r="AA44" i="4"/>
  <c r="AC19" i="4"/>
  <c r="A18" i="4"/>
  <c r="A17" i="4" s="1"/>
  <c r="A16" i="4" s="1"/>
  <c r="A15" i="4" s="1"/>
  <c r="A14" i="4" s="1"/>
  <c r="A13" i="4" s="1"/>
  <c r="A12" i="4" s="1"/>
  <c r="A11" i="4" s="1"/>
  <c r="A10" i="4" s="1"/>
  <c r="A9" i="4" s="1"/>
  <c r="A8" i="4" s="1"/>
  <c r="A7" i="4" s="1"/>
  <c r="A6" i="4" s="1"/>
  <c r="A5" i="4" s="1"/>
  <c r="A4" i="4" s="1"/>
  <c r="D51" i="2"/>
  <c r="R19" i="4"/>
  <c r="AA19" i="4"/>
  <c r="P19" i="4"/>
  <c r="AC57" i="4"/>
  <c r="AA57" i="4"/>
  <c r="P57" i="4"/>
  <c r="R57" i="4"/>
  <c r="U3" i="2"/>
  <c r="V3" i="2" s="1"/>
  <c r="T44" i="2"/>
  <c r="T84" i="2" s="1"/>
  <c r="T136" i="2" s="1"/>
  <c r="T1" i="2"/>
  <c r="S44" i="2"/>
  <c r="S84" i="2" s="1"/>
  <c r="S136" i="2" s="1"/>
  <c r="Q1" i="2"/>
  <c r="D42" i="2"/>
  <c r="D82" i="2" s="1"/>
  <c r="D134" i="2" s="1"/>
  <c r="Q43" i="2"/>
  <c r="P43" i="2"/>
  <c r="A51" i="1"/>
  <c r="A52" i="2" s="1"/>
  <c r="E52" i="2" s="1"/>
  <c r="O50" i="1"/>
  <c r="E48" i="2"/>
  <c r="E51" i="2"/>
  <c r="E47" i="2"/>
  <c r="B51" i="2"/>
  <c r="E46" i="2"/>
  <c r="E50" i="2"/>
  <c r="E49" i="2"/>
  <c r="E5" i="2"/>
  <c r="AA45" i="4" l="1"/>
  <c r="P45" i="4"/>
  <c r="R45" i="4"/>
  <c r="AC45" i="4"/>
  <c r="D52" i="2"/>
  <c r="B52" i="2"/>
  <c r="R18" i="4"/>
  <c r="AA18" i="4"/>
  <c r="P18" i="4"/>
  <c r="AC18" i="4"/>
  <c r="AC6" i="4"/>
  <c r="AA6" i="4"/>
  <c r="AC58" i="4"/>
  <c r="AA58" i="4"/>
  <c r="P6" i="4"/>
  <c r="R6" i="4"/>
  <c r="P58" i="4"/>
  <c r="R58" i="4"/>
  <c r="W3" i="2"/>
  <c r="X3" i="2" s="1"/>
  <c r="V44" i="2"/>
  <c r="V84" i="2" s="1"/>
  <c r="V136" i="2" s="1"/>
  <c r="V1" i="2"/>
  <c r="U44" i="2"/>
  <c r="U84" i="2" s="1"/>
  <c r="U136" i="2" s="1"/>
  <c r="S1" i="2"/>
  <c r="E42" i="2"/>
  <c r="E82" i="2" s="1"/>
  <c r="E134" i="2" s="1"/>
  <c r="R43" i="2"/>
  <c r="S43" i="2"/>
  <c r="A52" i="1"/>
  <c r="A53" i="2" s="1"/>
  <c r="F53" i="2" s="1"/>
  <c r="O51" i="1"/>
  <c r="C52" i="2"/>
  <c r="F5" i="2"/>
  <c r="F52" i="2"/>
  <c r="F47" i="2"/>
  <c r="F48" i="2"/>
  <c r="F51" i="2"/>
  <c r="F46" i="2"/>
  <c r="F50" i="2"/>
  <c r="F49" i="2"/>
  <c r="AC46" i="4" l="1"/>
  <c r="R46" i="4"/>
  <c r="P46" i="4"/>
  <c r="AA46" i="4"/>
  <c r="AC17" i="4"/>
  <c r="P17" i="4"/>
  <c r="AA17" i="4"/>
  <c r="R17" i="4"/>
  <c r="E53" i="2"/>
  <c r="B53" i="2"/>
  <c r="AC59" i="4"/>
  <c r="AA59" i="4"/>
  <c r="AC5" i="4"/>
  <c r="AA5" i="4"/>
  <c r="P5" i="4"/>
  <c r="R5" i="4"/>
  <c r="P59" i="4"/>
  <c r="R59" i="4"/>
  <c r="X44" i="2"/>
  <c r="X84" i="2" s="1"/>
  <c r="X136" i="2" s="1"/>
  <c r="X1" i="2"/>
  <c r="U1" i="2"/>
  <c r="F42" i="2"/>
  <c r="F82" i="2" s="1"/>
  <c r="F134" i="2" s="1"/>
  <c r="U43" i="2"/>
  <c r="T43" i="2"/>
  <c r="A53" i="1"/>
  <c r="A54" i="2" s="1"/>
  <c r="D54" i="2" s="1"/>
  <c r="O52" i="1"/>
  <c r="E82" i="1"/>
  <c r="E134" i="1"/>
  <c r="G53" i="2"/>
  <c r="D53" i="2"/>
  <c r="G49" i="2"/>
  <c r="C53" i="2"/>
  <c r="G52" i="2"/>
  <c r="G51" i="2"/>
  <c r="G46" i="2"/>
  <c r="G48" i="2"/>
  <c r="G50" i="2"/>
  <c r="G5" i="2"/>
  <c r="G47" i="2"/>
  <c r="AA47" i="4" l="1"/>
  <c r="P47" i="4"/>
  <c r="AC47" i="4"/>
  <c r="R47" i="4"/>
  <c r="AC16" i="4"/>
  <c r="AA16" i="4"/>
  <c r="R16" i="4"/>
  <c r="P16" i="4"/>
  <c r="B54" i="2"/>
  <c r="C54" i="2"/>
  <c r="A85" i="1"/>
  <c r="A86" i="2" s="1"/>
  <c r="D86" i="2" s="1"/>
  <c r="A137" i="1"/>
  <c r="AC4" i="4"/>
  <c r="AA4" i="4"/>
  <c r="AC60" i="4"/>
  <c r="AA60" i="4"/>
  <c r="P60" i="4"/>
  <c r="R60" i="4"/>
  <c r="P4" i="4"/>
  <c r="R4" i="4"/>
  <c r="W1" i="2"/>
  <c r="W44" i="2"/>
  <c r="W84" i="2" s="1"/>
  <c r="W136" i="2" s="1"/>
  <c r="A136" i="1"/>
  <c r="A84" i="1"/>
  <c r="D3" i="4" s="1"/>
  <c r="AE47" i="4" s="1"/>
  <c r="G42" i="2"/>
  <c r="G82" i="2" s="1"/>
  <c r="G134" i="2" s="1"/>
  <c r="V43" i="2"/>
  <c r="W43" i="2"/>
  <c r="A54" i="1"/>
  <c r="A55" i="2" s="1"/>
  <c r="G55" i="2" s="1"/>
  <c r="O53" i="1"/>
  <c r="H49" i="2"/>
  <c r="H52" i="2"/>
  <c r="F54" i="2"/>
  <c r="H46" i="2"/>
  <c r="G54" i="2"/>
  <c r="H51" i="2"/>
  <c r="H5" i="2"/>
  <c r="H53" i="2"/>
  <c r="H50" i="2"/>
  <c r="H54" i="2"/>
  <c r="E54" i="2"/>
  <c r="H47" i="2"/>
  <c r="H48" i="2"/>
  <c r="T47" i="4" l="1"/>
  <c r="T16" i="4"/>
  <c r="T38" i="4"/>
  <c r="AE38" i="4"/>
  <c r="T39" i="4"/>
  <c r="AE39" i="4"/>
  <c r="AE40" i="4"/>
  <c r="T40" i="4"/>
  <c r="AE41" i="4"/>
  <c r="T41" i="4"/>
  <c r="T42" i="4"/>
  <c r="AE42" i="4"/>
  <c r="T43" i="4"/>
  <c r="AE43" i="4"/>
  <c r="AE44" i="4"/>
  <c r="T44" i="4"/>
  <c r="AE45" i="4"/>
  <c r="T45" i="4"/>
  <c r="AE46" i="4"/>
  <c r="T46" i="4"/>
  <c r="T48" i="4"/>
  <c r="P48" i="4"/>
  <c r="AC48" i="4"/>
  <c r="R48" i="4"/>
  <c r="AE48" i="4"/>
  <c r="AA48" i="4"/>
  <c r="AE16" i="4"/>
  <c r="T17" i="4"/>
  <c r="AE17" i="4"/>
  <c r="AA15" i="4"/>
  <c r="R15" i="4"/>
  <c r="AE15" i="4"/>
  <c r="AC15" i="4"/>
  <c r="P15" i="4"/>
  <c r="T15" i="4"/>
  <c r="U1" i="4"/>
  <c r="AF1" i="4"/>
  <c r="B86" i="2"/>
  <c r="H55" i="2"/>
  <c r="C86" i="2"/>
  <c r="G86" i="2"/>
  <c r="E55" i="2"/>
  <c r="B55" i="2"/>
  <c r="F55" i="2"/>
  <c r="C55" i="2"/>
  <c r="D55" i="2"/>
  <c r="A138" i="2"/>
  <c r="I138" i="2" s="1"/>
  <c r="O137" i="1"/>
  <c r="A138" i="1"/>
  <c r="AE4" i="4"/>
  <c r="L3" i="4"/>
  <c r="AE60" i="4"/>
  <c r="AE32" i="4"/>
  <c r="AE33" i="4"/>
  <c r="AE31" i="4"/>
  <c r="AE30" i="4"/>
  <c r="AE34" i="4"/>
  <c r="AE29" i="4"/>
  <c r="AE35" i="4"/>
  <c r="AE36" i="4"/>
  <c r="AE28" i="4"/>
  <c r="AE27" i="4"/>
  <c r="AE37" i="4"/>
  <c r="AE49" i="4"/>
  <c r="AE26" i="4"/>
  <c r="AE25" i="4"/>
  <c r="AE50" i="4"/>
  <c r="AE51" i="4"/>
  <c r="AE24" i="4"/>
  <c r="AE23" i="4"/>
  <c r="AE52" i="4"/>
  <c r="AE53" i="4"/>
  <c r="AE22" i="4"/>
  <c r="AE21" i="4"/>
  <c r="AE54" i="4"/>
  <c r="AE20" i="4"/>
  <c r="AE55" i="4"/>
  <c r="AE19" i="4"/>
  <c r="AE56" i="4"/>
  <c r="AE57" i="4"/>
  <c r="AE18" i="4"/>
  <c r="AE6" i="4"/>
  <c r="AE58" i="4"/>
  <c r="AE59" i="4"/>
  <c r="AE5" i="4"/>
  <c r="T32" i="4"/>
  <c r="T31" i="4"/>
  <c r="T33" i="4"/>
  <c r="T30" i="4"/>
  <c r="T34" i="4"/>
  <c r="T29" i="4"/>
  <c r="T35" i="4"/>
  <c r="T28" i="4"/>
  <c r="T36" i="4"/>
  <c r="T27" i="4"/>
  <c r="T37" i="4"/>
  <c r="T26" i="4"/>
  <c r="T49" i="4"/>
  <c r="T25" i="4"/>
  <c r="T50" i="4"/>
  <c r="T24" i="4"/>
  <c r="T51" i="4"/>
  <c r="T23" i="4"/>
  <c r="T52" i="4"/>
  <c r="T22" i="4"/>
  <c r="T53" i="4"/>
  <c r="T21" i="4"/>
  <c r="T54" i="4"/>
  <c r="T20" i="4"/>
  <c r="T55" i="4"/>
  <c r="T19" i="4"/>
  <c r="T56" i="4"/>
  <c r="T57" i="4"/>
  <c r="T18" i="4"/>
  <c r="T6" i="4"/>
  <c r="T58" i="4"/>
  <c r="T5" i="4"/>
  <c r="T59" i="4"/>
  <c r="T60" i="4"/>
  <c r="T4" i="4"/>
  <c r="E3" i="4"/>
  <c r="V48" i="4" s="1"/>
  <c r="H42" i="2"/>
  <c r="H82" i="2" s="1"/>
  <c r="H134" i="2" s="1"/>
  <c r="X43" i="2"/>
  <c r="A55" i="1"/>
  <c r="O54" i="1"/>
  <c r="F86" i="2"/>
  <c r="I49" i="2"/>
  <c r="I5" i="2"/>
  <c r="E86" i="2"/>
  <c r="I86" i="2"/>
  <c r="C138" i="2"/>
  <c r="H86" i="2"/>
  <c r="I52" i="2"/>
  <c r="I54" i="2"/>
  <c r="I53" i="2"/>
  <c r="I47" i="2"/>
  <c r="I50" i="2"/>
  <c r="I46" i="2"/>
  <c r="I55" i="2"/>
  <c r="I51" i="2"/>
  <c r="I48" i="2"/>
  <c r="A56" i="2" l="1"/>
  <c r="D56" i="2" s="1"/>
  <c r="AG38" i="4"/>
  <c r="V38" i="4"/>
  <c r="AG39" i="4"/>
  <c r="V39" i="4"/>
  <c r="V40" i="4"/>
  <c r="AG40" i="4"/>
  <c r="AG41" i="4"/>
  <c r="V41" i="4"/>
  <c r="V42" i="4"/>
  <c r="AG42" i="4"/>
  <c r="V43" i="4"/>
  <c r="AG43" i="4"/>
  <c r="V44" i="4"/>
  <c r="AG44" i="4"/>
  <c r="V45" i="4"/>
  <c r="AG45" i="4"/>
  <c r="V46" i="4"/>
  <c r="AG46" i="4"/>
  <c r="AG47" i="4"/>
  <c r="V47" i="4"/>
  <c r="AG48" i="4"/>
  <c r="AG17" i="4"/>
  <c r="V17" i="4"/>
  <c r="AG16" i="4"/>
  <c r="V16" i="4"/>
  <c r="AG15" i="4"/>
  <c r="V14" i="4"/>
  <c r="P14" i="4"/>
  <c r="AC14" i="4"/>
  <c r="T14" i="4"/>
  <c r="AG14" i="4"/>
  <c r="AA14" i="4"/>
  <c r="AE14" i="4"/>
  <c r="R14" i="4"/>
  <c r="V15" i="4"/>
  <c r="B138" i="2"/>
  <c r="D138" i="2"/>
  <c r="M3" i="4"/>
  <c r="W1" i="4"/>
  <c r="AH1" i="4"/>
  <c r="A139" i="2"/>
  <c r="C139" i="2" s="1"/>
  <c r="O138" i="1"/>
  <c r="A139" i="1"/>
  <c r="AG32" i="4"/>
  <c r="AG33" i="4"/>
  <c r="AG31" i="4"/>
  <c r="AG30" i="4"/>
  <c r="AG34" i="4"/>
  <c r="AG29" i="4"/>
  <c r="AG35" i="4"/>
  <c r="AG36" i="4"/>
  <c r="AG28" i="4"/>
  <c r="AG27" i="4"/>
  <c r="AG37" i="4"/>
  <c r="AG49" i="4"/>
  <c r="AG26" i="4"/>
  <c r="AG25" i="4"/>
  <c r="AG50" i="4"/>
  <c r="AG51" i="4"/>
  <c r="AG24" i="4"/>
  <c r="AG23" i="4"/>
  <c r="AG52" i="4"/>
  <c r="AG53" i="4"/>
  <c r="AG22" i="4"/>
  <c r="AG21" i="4"/>
  <c r="AG54" i="4"/>
  <c r="AG20" i="4"/>
  <c r="AG55" i="4"/>
  <c r="AG19" i="4"/>
  <c r="AG56" i="4"/>
  <c r="AG57" i="4"/>
  <c r="AG18" i="4"/>
  <c r="AG6" i="4"/>
  <c r="AG58" i="4"/>
  <c r="AG59" i="4"/>
  <c r="AG5" i="4"/>
  <c r="AG4" i="4"/>
  <c r="AG60" i="4"/>
  <c r="V32" i="4"/>
  <c r="V31" i="4"/>
  <c r="V33" i="4"/>
  <c r="V30" i="4"/>
  <c r="V34" i="4"/>
  <c r="V35" i="4"/>
  <c r="V29" i="4"/>
  <c r="V28" i="4"/>
  <c r="V36" i="4"/>
  <c r="V27" i="4"/>
  <c r="V37" i="4"/>
  <c r="V26" i="4"/>
  <c r="V49" i="4"/>
  <c r="V50" i="4"/>
  <c r="V25" i="4"/>
  <c r="V51" i="4"/>
  <c r="V24" i="4"/>
  <c r="V52" i="4"/>
  <c r="V23" i="4"/>
  <c r="V53" i="4"/>
  <c r="V22" i="4"/>
  <c r="V21" i="4"/>
  <c r="V54" i="4"/>
  <c r="V20" i="4"/>
  <c r="V55" i="4"/>
  <c r="V19" i="4"/>
  <c r="V56" i="4"/>
  <c r="V57" i="4"/>
  <c r="V18" i="4"/>
  <c r="V6" i="4"/>
  <c r="V58" i="4"/>
  <c r="V59" i="4"/>
  <c r="V5" i="4"/>
  <c r="V60" i="4"/>
  <c r="V4" i="4"/>
  <c r="I42" i="2"/>
  <c r="I82" i="2" s="1"/>
  <c r="I134" i="2" s="1"/>
  <c r="A56" i="1"/>
  <c r="A57" i="2" s="1"/>
  <c r="G57" i="2" s="1"/>
  <c r="O55" i="1"/>
  <c r="U42" i="1"/>
  <c r="S42" i="1"/>
  <c r="Q42" i="1"/>
  <c r="J51" i="2"/>
  <c r="J50" i="2"/>
  <c r="G138" i="2"/>
  <c r="J138" i="2"/>
  <c r="J52" i="2"/>
  <c r="J47" i="2"/>
  <c r="J5" i="2"/>
  <c r="E138" i="2"/>
  <c r="J54" i="2"/>
  <c r="J55" i="2"/>
  <c r="J86" i="2"/>
  <c r="J48" i="2"/>
  <c r="F138" i="2"/>
  <c r="J46" i="2"/>
  <c r="J49" i="2"/>
  <c r="J53" i="2"/>
  <c r="H138" i="2"/>
  <c r="J56" i="2" l="1"/>
  <c r="G56" i="2"/>
  <c r="B56" i="2"/>
  <c r="E56" i="2"/>
  <c r="H56" i="2"/>
  <c r="I56" i="2"/>
  <c r="C56" i="2"/>
  <c r="F56" i="2"/>
  <c r="AG13" i="4"/>
  <c r="T13" i="4"/>
  <c r="AA13" i="4"/>
  <c r="R13" i="4"/>
  <c r="AE13" i="4"/>
  <c r="V13" i="4"/>
  <c r="P13" i="4"/>
  <c r="AC13" i="4"/>
  <c r="D139" i="2"/>
  <c r="H139" i="2"/>
  <c r="I139" i="2"/>
  <c r="E139" i="2"/>
  <c r="J139" i="2"/>
  <c r="B139" i="2"/>
  <c r="F139" i="2"/>
  <c r="G139" i="2"/>
  <c r="I57" i="2"/>
  <c r="J57" i="2"/>
  <c r="E57" i="2"/>
  <c r="F57" i="2"/>
  <c r="B57" i="2"/>
  <c r="C57" i="2"/>
  <c r="H57" i="2"/>
  <c r="D57" i="2"/>
  <c r="A140" i="2"/>
  <c r="E140" i="2" s="1"/>
  <c r="A140" i="1"/>
  <c r="O139" i="1"/>
  <c r="J42" i="2"/>
  <c r="J82" i="2" s="1"/>
  <c r="J134" i="2" s="1"/>
  <c r="A57" i="1"/>
  <c r="A58" i="2" s="1"/>
  <c r="E58" i="2" s="1"/>
  <c r="O56" i="1"/>
  <c r="C43" i="1"/>
  <c r="K48" i="2"/>
  <c r="K54" i="2"/>
  <c r="K56" i="2"/>
  <c r="K5" i="2"/>
  <c r="K52" i="2"/>
  <c r="K138" i="2"/>
  <c r="K49" i="2"/>
  <c r="K55" i="2"/>
  <c r="K51" i="2"/>
  <c r="K50" i="2"/>
  <c r="K47" i="2"/>
  <c r="K57" i="2"/>
  <c r="K86" i="2"/>
  <c r="K53" i="2"/>
  <c r="K139" i="2"/>
  <c r="K46" i="2"/>
  <c r="AE12" i="4" l="1"/>
  <c r="R12" i="4"/>
  <c r="V12" i="4"/>
  <c r="P12" i="4"/>
  <c r="AC12" i="4"/>
  <c r="T12" i="4"/>
  <c r="AA12" i="4"/>
  <c r="AG12" i="4"/>
  <c r="I58" i="2"/>
  <c r="H140" i="2"/>
  <c r="C140" i="2"/>
  <c r="B58" i="2"/>
  <c r="A141" i="2"/>
  <c r="G141" i="2" s="1"/>
  <c r="A141" i="1"/>
  <c r="O140" i="1"/>
  <c r="L42" i="1"/>
  <c r="D135" i="1"/>
  <c r="K42" i="2"/>
  <c r="K82" i="2" s="1"/>
  <c r="K134" i="2" s="1"/>
  <c r="A58" i="1"/>
  <c r="A59" i="2" s="1"/>
  <c r="J59" i="2" s="1"/>
  <c r="O57" i="1"/>
  <c r="J42" i="1"/>
  <c r="R42" i="1" s="1"/>
  <c r="H42" i="1"/>
  <c r="L49" i="2"/>
  <c r="L53" i="2"/>
  <c r="L48" i="2"/>
  <c r="I140" i="2"/>
  <c r="L52" i="2"/>
  <c r="H58" i="2"/>
  <c r="K140" i="2"/>
  <c r="L86" i="2"/>
  <c r="G58" i="2"/>
  <c r="L58" i="2"/>
  <c r="L54" i="2"/>
  <c r="L138" i="2"/>
  <c r="K58" i="2"/>
  <c r="J140" i="2"/>
  <c r="D140" i="2"/>
  <c r="L139" i="2"/>
  <c r="J58" i="2"/>
  <c r="L47" i="2"/>
  <c r="L50" i="2"/>
  <c r="L57" i="2"/>
  <c r="L55" i="2"/>
  <c r="L46" i="2"/>
  <c r="F58" i="2"/>
  <c r="L140" i="2"/>
  <c r="F140" i="2"/>
  <c r="L56" i="2"/>
  <c r="G140" i="2"/>
  <c r="L51" i="2"/>
  <c r="B140" i="2"/>
  <c r="C58" i="2"/>
  <c r="D58" i="2"/>
  <c r="L5" i="2"/>
  <c r="AC11" i="4" l="1"/>
  <c r="P11" i="4"/>
  <c r="AG11" i="4"/>
  <c r="T11" i="4"/>
  <c r="AA11" i="4"/>
  <c r="R11" i="4"/>
  <c r="AE11" i="4"/>
  <c r="V11" i="4"/>
  <c r="F141" i="2"/>
  <c r="C141" i="2"/>
  <c r="E141" i="2"/>
  <c r="B141" i="2"/>
  <c r="D141" i="2"/>
  <c r="K141" i="2"/>
  <c r="J141" i="2"/>
  <c r="H141" i="2"/>
  <c r="L141" i="2"/>
  <c r="I141" i="2"/>
  <c r="E59" i="2"/>
  <c r="L59" i="2"/>
  <c r="C59" i="2"/>
  <c r="B59" i="2"/>
  <c r="D59" i="2"/>
  <c r="K59" i="2"/>
  <c r="F59" i="2"/>
  <c r="I59" i="2"/>
  <c r="A142" i="2"/>
  <c r="J142" i="2" s="1"/>
  <c r="A142" i="1"/>
  <c r="O141" i="1"/>
  <c r="T42" i="1"/>
  <c r="L42" i="2"/>
  <c r="L82" i="2" s="1"/>
  <c r="L134" i="2" s="1"/>
  <c r="A59" i="1"/>
  <c r="O58" i="1"/>
  <c r="P42" i="1"/>
  <c r="H59" i="2"/>
  <c r="M86" i="2"/>
  <c r="M57" i="2"/>
  <c r="M55" i="2"/>
  <c r="M140" i="2"/>
  <c r="M138" i="2"/>
  <c r="M5" i="2"/>
  <c r="M59" i="2"/>
  <c r="M49" i="2"/>
  <c r="M48" i="2"/>
  <c r="M54" i="2"/>
  <c r="M46" i="2"/>
  <c r="M58" i="2"/>
  <c r="M47" i="2"/>
  <c r="G59" i="2"/>
  <c r="M53" i="2"/>
  <c r="M141" i="2"/>
  <c r="M52" i="2"/>
  <c r="M50" i="2"/>
  <c r="M51" i="2"/>
  <c r="M139" i="2"/>
  <c r="M56" i="2"/>
  <c r="K142" i="2" l="1"/>
  <c r="AG10" i="4"/>
  <c r="AA10" i="4"/>
  <c r="AE10" i="4"/>
  <c r="R10" i="4"/>
  <c r="V10" i="4"/>
  <c r="P10" i="4"/>
  <c r="T10" i="4"/>
  <c r="AC10" i="4"/>
  <c r="C142" i="2"/>
  <c r="B142" i="2"/>
  <c r="H142" i="2"/>
  <c r="F142" i="2"/>
  <c r="I142" i="2"/>
  <c r="L142" i="2"/>
  <c r="G142" i="2"/>
  <c r="E142" i="2"/>
  <c r="M142" i="2"/>
  <c r="D142" i="2"/>
  <c r="A143" i="2"/>
  <c r="H143" i="2" s="1"/>
  <c r="A143" i="1"/>
  <c r="O142" i="1"/>
  <c r="A60" i="2"/>
  <c r="E60" i="2" s="1"/>
  <c r="O59" i="1"/>
  <c r="M42" i="2"/>
  <c r="M82" i="2" s="1"/>
  <c r="M134" i="2" s="1"/>
  <c r="A60" i="1"/>
  <c r="N47" i="2"/>
  <c r="N50" i="2"/>
  <c r="N138" i="2"/>
  <c r="N53" i="2"/>
  <c r="N86" i="2"/>
  <c r="N5" i="2"/>
  <c r="N57" i="2"/>
  <c r="N52" i="2"/>
  <c r="N55" i="2"/>
  <c r="N48" i="2"/>
  <c r="N49" i="2"/>
  <c r="N141" i="2"/>
  <c r="N46" i="2"/>
  <c r="N56" i="2"/>
  <c r="N140" i="2"/>
  <c r="N139" i="2"/>
  <c r="N58" i="2"/>
  <c r="N142" i="2"/>
  <c r="N54" i="2"/>
  <c r="N51" i="2"/>
  <c r="N59" i="2"/>
  <c r="L60" i="2" l="1"/>
  <c r="C143" i="2"/>
  <c r="A61" i="2"/>
  <c r="H61" i="2" s="1"/>
  <c r="AE9" i="4"/>
  <c r="V9" i="4"/>
  <c r="AC9" i="4"/>
  <c r="P9" i="4"/>
  <c r="AG9" i="4"/>
  <c r="T9" i="4"/>
  <c r="AA9" i="4"/>
  <c r="R9" i="4"/>
  <c r="I60" i="2"/>
  <c r="I143" i="2"/>
  <c r="G143" i="2"/>
  <c r="H60" i="2"/>
  <c r="E143" i="2"/>
  <c r="B143" i="2"/>
  <c r="K143" i="2"/>
  <c r="L143" i="2"/>
  <c r="M143" i="2"/>
  <c r="F143" i="2"/>
  <c r="N143" i="2"/>
  <c r="D143" i="2"/>
  <c r="J143" i="2"/>
  <c r="C60" i="2"/>
  <c r="D60" i="2"/>
  <c r="M60" i="2"/>
  <c r="A144" i="2"/>
  <c r="E144" i="2" s="1"/>
  <c r="A144" i="1"/>
  <c r="O143" i="1"/>
  <c r="N42" i="2"/>
  <c r="N82" i="2" s="1"/>
  <c r="N134" i="2" s="1"/>
  <c r="O60" i="1"/>
  <c r="A61" i="1"/>
  <c r="A62" i="2" s="1"/>
  <c r="B62" i="2" s="1"/>
  <c r="H1" i="1"/>
  <c r="Q4" i="1" s="1"/>
  <c r="O55" i="2"/>
  <c r="G60" i="2"/>
  <c r="O56" i="2"/>
  <c r="O141" i="2"/>
  <c r="O50" i="2"/>
  <c r="O49" i="2"/>
  <c r="J60" i="2"/>
  <c r="O52" i="2"/>
  <c r="N60" i="2"/>
  <c r="O54" i="2"/>
  <c r="O60" i="2"/>
  <c r="O48" i="2"/>
  <c r="O57" i="2"/>
  <c r="O140" i="2"/>
  <c r="O58" i="2"/>
  <c r="O139" i="2"/>
  <c r="O138" i="2"/>
  <c r="O46" i="2"/>
  <c r="O5" i="2"/>
  <c r="O59" i="2"/>
  <c r="O47" i="2"/>
  <c r="F60" i="2"/>
  <c r="B60" i="2"/>
  <c r="O142" i="2"/>
  <c r="O86" i="2"/>
  <c r="O143" i="2"/>
  <c r="K60" i="2"/>
  <c r="O53" i="2"/>
  <c r="O51" i="2"/>
  <c r="O61" i="2" l="1"/>
  <c r="P4" i="1"/>
  <c r="D61" i="2"/>
  <c r="J61" i="2"/>
  <c r="I61" i="2"/>
  <c r="C61" i="2"/>
  <c r="E61" i="2"/>
  <c r="N61" i="2"/>
  <c r="M61" i="2"/>
  <c r="F61" i="2"/>
  <c r="G61" i="2"/>
  <c r="B61" i="2"/>
  <c r="L61" i="2"/>
  <c r="K61" i="2"/>
  <c r="AC8" i="4"/>
  <c r="T8" i="4"/>
  <c r="AG8" i="4"/>
  <c r="AA8" i="4"/>
  <c r="V8" i="4"/>
  <c r="AE8" i="4"/>
  <c r="R8" i="4"/>
  <c r="P8" i="4"/>
  <c r="C144" i="2"/>
  <c r="D144" i="2"/>
  <c r="J144" i="2"/>
  <c r="B144" i="2"/>
  <c r="K144" i="2"/>
  <c r="I144" i="2"/>
  <c r="F144" i="2"/>
  <c r="O144" i="2"/>
  <c r="N144" i="2"/>
  <c r="M144" i="2"/>
  <c r="H144" i="2"/>
  <c r="G144" i="2"/>
  <c r="L144" i="2"/>
  <c r="J62" i="2"/>
  <c r="L62" i="2"/>
  <c r="H62" i="2"/>
  <c r="A145" i="2"/>
  <c r="O145" i="2" s="1"/>
  <c r="O144" i="1"/>
  <c r="A145" i="1"/>
  <c r="O42" i="2"/>
  <c r="O82" i="2" s="1"/>
  <c r="O134" i="2" s="1"/>
  <c r="O61" i="1"/>
  <c r="A62" i="1"/>
  <c r="A63" i="2" s="1"/>
  <c r="G63" i="2" s="1"/>
  <c r="I1" i="1"/>
  <c r="G62" i="2"/>
  <c r="P48" i="2"/>
  <c r="P86" i="2"/>
  <c r="K62" i="2"/>
  <c r="P142" i="2"/>
  <c r="P57" i="2"/>
  <c r="P5" i="2"/>
  <c r="P56" i="2"/>
  <c r="O62" i="2"/>
  <c r="P59" i="2"/>
  <c r="M62" i="2"/>
  <c r="P60" i="2"/>
  <c r="P143" i="2"/>
  <c r="P50" i="2"/>
  <c r="P141" i="2"/>
  <c r="P138" i="2"/>
  <c r="C62" i="2"/>
  <c r="G145" i="2"/>
  <c r="I62" i="2"/>
  <c r="P58" i="2"/>
  <c r="D62" i="2"/>
  <c r="P62" i="2"/>
  <c r="P47" i="2"/>
  <c r="P51" i="2"/>
  <c r="P53" i="2"/>
  <c r="P54" i="2"/>
  <c r="P139" i="2"/>
  <c r="E62" i="2"/>
  <c r="F62" i="2"/>
  <c r="P55" i="2"/>
  <c r="P52" i="2"/>
  <c r="P46" i="2"/>
  <c r="P144" i="2"/>
  <c r="N62" i="2"/>
  <c r="P61" i="2"/>
  <c r="P49" i="2"/>
  <c r="P140" i="2"/>
  <c r="H63" i="2" l="1"/>
  <c r="AA7" i="4"/>
  <c r="R7" i="4"/>
  <c r="AE7" i="4"/>
  <c r="V7" i="4"/>
  <c r="AG7" i="4"/>
  <c r="T7" i="4"/>
  <c r="AC7" i="4"/>
  <c r="P7" i="4"/>
  <c r="F63" i="2"/>
  <c r="M63" i="2"/>
  <c r="D145" i="2"/>
  <c r="L145" i="2"/>
  <c r="I145" i="2"/>
  <c r="B145" i="2"/>
  <c r="M145" i="2"/>
  <c r="N145" i="2"/>
  <c r="E145" i="2"/>
  <c r="H145" i="2"/>
  <c r="P145" i="2"/>
  <c r="C145" i="2"/>
  <c r="F145" i="2"/>
  <c r="K145" i="2"/>
  <c r="J145" i="2"/>
  <c r="E63" i="2"/>
  <c r="A146" i="2"/>
  <c r="G146" i="2" s="1"/>
  <c r="A146" i="1"/>
  <c r="O145" i="1"/>
  <c r="P42" i="2"/>
  <c r="P82" i="2" s="1"/>
  <c r="P134" i="2" s="1"/>
  <c r="O62" i="1"/>
  <c r="A63" i="1"/>
  <c r="A64" i="2" s="1"/>
  <c r="K64" i="2" s="1"/>
  <c r="F134" i="1"/>
  <c r="P1" i="1"/>
  <c r="L1" i="1"/>
  <c r="J1" i="1"/>
  <c r="F3" i="1"/>
  <c r="F84" i="1"/>
  <c r="F136" i="1"/>
  <c r="F44" i="1"/>
  <c r="Q140" i="2"/>
  <c r="Q49" i="2"/>
  <c r="B63" i="2"/>
  <c r="Q144" i="2"/>
  <c r="I63" i="2"/>
  <c r="Q56" i="2"/>
  <c r="Q48" i="2"/>
  <c r="Q143" i="2"/>
  <c r="Q47" i="2"/>
  <c r="Q46" i="2"/>
  <c r="D63" i="2"/>
  <c r="Q54" i="2"/>
  <c r="Q52" i="2"/>
  <c r="Q62" i="2"/>
  <c r="Q50" i="2"/>
  <c r="Q55" i="2"/>
  <c r="O63" i="2"/>
  <c r="Q60" i="2"/>
  <c r="Q58" i="2"/>
  <c r="Q142" i="2"/>
  <c r="J63" i="2"/>
  <c r="Q61" i="2"/>
  <c r="Q53" i="2"/>
  <c r="Q57" i="2"/>
  <c r="P63" i="2"/>
  <c r="Q139" i="2"/>
  <c r="Q51" i="2"/>
  <c r="Q145" i="2"/>
  <c r="C63" i="2"/>
  <c r="Q5" i="2"/>
  <c r="Q63" i="2"/>
  <c r="N63" i="2"/>
  <c r="Q86" i="2"/>
  <c r="K63" i="2"/>
  <c r="Q59" i="2"/>
  <c r="Q141" i="2"/>
  <c r="L63" i="2"/>
  <c r="Q138" i="2"/>
  <c r="E146" i="2" l="1"/>
  <c r="C146" i="2"/>
  <c r="J146" i="2"/>
  <c r="K146" i="2"/>
  <c r="L146" i="2"/>
  <c r="D146" i="2"/>
  <c r="B146" i="2"/>
  <c r="H146" i="2"/>
  <c r="I146" i="2"/>
  <c r="N146" i="2"/>
  <c r="O146" i="2"/>
  <c r="M146" i="2"/>
  <c r="P146" i="2"/>
  <c r="F146" i="2"/>
  <c r="Q146" i="2"/>
  <c r="O64" i="2"/>
  <c r="A147" i="2"/>
  <c r="O147" i="2" s="1"/>
  <c r="A147" i="1"/>
  <c r="O146" i="1"/>
  <c r="F60" i="1"/>
  <c r="D133" i="1"/>
  <c r="E40" i="1"/>
  <c r="E41" i="1"/>
  <c r="D81" i="1"/>
  <c r="Q42" i="2"/>
  <c r="Q82" i="2" s="1"/>
  <c r="Q134" i="2" s="1"/>
  <c r="O63" i="1"/>
  <c r="A64" i="1"/>
  <c r="A65" i="2" s="1"/>
  <c r="J65" i="2" s="1"/>
  <c r="T1" i="1"/>
  <c r="M1" i="1"/>
  <c r="R1" i="1"/>
  <c r="K1" i="1"/>
  <c r="L82" i="1"/>
  <c r="T137" i="1" s="1"/>
  <c r="R54" i="1"/>
  <c r="T54" i="1"/>
  <c r="H54" i="1"/>
  <c r="L54" i="1"/>
  <c r="M54" i="1"/>
  <c r="U54" i="1"/>
  <c r="I54" i="1"/>
  <c r="S54" i="1"/>
  <c r="J54" i="1"/>
  <c r="P54" i="1"/>
  <c r="K54" i="1"/>
  <c r="Q54" i="1"/>
  <c r="R143" i="2"/>
  <c r="R48" i="2"/>
  <c r="R56" i="2"/>
  <c r="R145" i="2"/>
  <c r="P64" i="2"/>
  <c r="R46" i="2"/>
  <c r="B64" i="2"/>
  <c r="M64" i="2"/>
  <c r="R50" i="2"/>
  <c r="R144" i="2"/>
  <c r="R47" i="2"/>
  <c r="R62" i="2"/>
  <c r="Q64" i="2"/>
  <c r="R140" i="2"/>
  <c r="R142" i="2"/>
  <c r="I64" i="2"/>
  <c r="R51" i="2"/>
  <c r="R53" i="2"/>
  <c r="R55" i="2"/>
  <c r="J64" i="2"/>
  <c r="G64" i="2"/>
  <c r="R59" i="2"/>
  <c r="F64" i="2"/>
  <c r="R141" i="2"/>
  <c r="R58" i="2"/>
  <c r="R138" i="2"/>
  <c r="H64" i="2"/>
  <c r="R61" i="2"/>
  <c r="R49" i="2"/>
  <c r="R60" i="2"/>
  <c r="R54" i="2"/>
  <c r="R86" i="2"/>
  <c r="R146" i="2"/>
  <c r="R5" i="2"/>
  <c r="N64" i="2"/>
  <c r="E64" i="2"/>
  <c r="R57" i="2"/>
  <c r="R64" i="2"/>
  <c r="C64" i="2"/>
  <c r="L64" i="2"/>
  <c r="D64" i="2"/>
  <c r="R63" i="2"/>
  <c r="R52" i="2"/>
  <c r="R139" i="2"/>
  <c r="H65" i="2" l="1"/>
  <c r="O65" i="2"/>
  <c r="G147" i="2"/>
  <c r="F147" i="2"/>
  <c r="J147" i="2"/>
  <c r="B147" i="2"/>
  <c r="N147" i="2"/>
  <c r="P147" i="2"/>
  <c r="C147" i="2"/>
  <c r="E147" i="2"/>
  <c r="H147" i="2"/>
  <c r="Q147" i="2"/>
  <c r="M147" i="2"/>
  <c r="K147" i="2"/>
  <c r="I147" i="2"/>
  <c r="L147" i="2"/>
  <c r="D147" i="2"/>
  <c r="R147" i="2"/>
  <c r="B65" i="2"/>
  <c r="I65" i="2"/>
  <c r="N65" i="2"/>
  <c r="K65" i="2"/>
  <c r="L65" i="2"/>
  <c r="Q65" i="2"/>
  <c r="R65" i="2"/>
  <c r="P65" i="2"/>
  <c r="G65" i="2"/>
  <c r="F65" i="2"/>
  <c r="C65" i="2"/>
  <c r="D65" i="2"/>
  <c r="M65" i="2"/>
  <c r="E65" i="2"/>
  <c r="A148" i="2"/>
  <c r="H148" i="2" s="1"/>
  <c r="O147" i="1"/>
  <c r="A148" i="1"/>
  <c r="A4" i="2"/>
  <c r="N1" i="1"/>
  <c r="U1" i="1" s="1"/>
  <c r="F54" i="1"/>
  <c r="A45" i="2"/>
  <c r="A85" i="2"/>
  <c r="R42" i="2"/>
  <c r="R82" i="2" s="1"/>
  <c r="R134" i="2" s="1"/>
  <c r="O85" i="1"/>
  <c r="A86" i="1"/>
  <c r="A65" i="1"/>
  <c r="P65" i="1" s="1"/>
  <c r="O64" i="1"/>
  <c r="D54" i="1"/>
  <c r="C54" i="1"/>
  <c r="B54" i="1"/>
  <c r="N54" i="1"/>
  <c r="R134" i="1"/>
  <c r="L134" i="1"/>
  <c r="M137" i="1" s="1"/>
  <c r="T134" i="1"/>
  <c r="J82" i="1"/>
  <c r="K55" i="1"/>
  <c r="Q55" i="1"/>
  <c r="U55" i="1"/>
  <c r="L137" i="1"/>
  <c r="P55" i="1"/>
  <c r="T55" i="1"/>
  <c r="J55" i="1"/>
  <c r="I55" i="1"/>
  <c r="S55" i="1"/>
  <c r="L55" i="1"/>
  <c r="H55" i="1"/>
  <c r="R55" i="1"/>
  <c r="M55" i="1"/>
  <c r="S138" i="2"/>
  <c r="S142" i="2"/>
  <c r="C148" i="2"/>
  <c r="S145" i="2"/>
  <c r="S46" i="2"/>
  <c r="S50" i="2"/>
  <c r="S54" i="2"/>
  <c r="S53" i="2"/>
  <c r="S144" i="2"/>
  <c r="S58" i="2"/>
  <c r="S63" i="2"/>
  <c r="S48" i="2"/>
  <c r="S56" i="2"/>
  <c r="S62" i="2"/>
  <c r="S60" i="2"/>
  <c r="S52" i="2"/>
  <c r="S51" i="2"/>
  <c r="S146" i="2"/>
  <c r="S47" i="2"/>
  <c r="S64" i="2"/>
  <c r="S61" i="2"/>
  <c r="S86" i="2"/>
  <c r="S147" i="2"/>
  <c r="S59" i="2"/>
  <c r="S55" i="2"/>
  <c r="S49" i="2"/>
  <c r="S65" i="2"/>
  <c r="S139" i="2"/>
  <c r="S57" i="2"/>
  <c r="S143" i="2"/>
  <c r="S141" i="2"/>
  <c r="S5" i="2"/>
  <c r="S140" i="2"/>
  <c r="O148" i="2" l="1"/>
  <c r="G148" i="2"/>
  <c r="P148" i="2"/>
  <c r="J148" i="2"/>
  <c r="L148" i="2"/>
  <c r="N148" i="2"/>
  <c r="M148" i="2"/>
  <c r="E148" i="2"/>
  <c r="Q148" i="2"/>
  <c r="F148" i="2"/>
  <c r="S148" i="2"/>
  <c r="I148" i="2"/>
  <c r="K148" i="2"/>
  <c r="D148" i="2"/>
  <c r="B148" i="2"/>
  <c r="R148" i="2"/>
  <c r="M65" i="1"/>
  <c r="U65" i="1"/>
  <c r="A149" i="2"/>
  <c r="J149" i="2" s="1"/>
  <c r="A149" i="1"/>
  <c r="O148" i="1"/>
  <c r="A87" i="2"/>
  <c r="C87" i="2" s="1"/>
  <c r="A137" i="2"/>
  <c r="A66" i="2"/>
  <c r="I66" i="2" s="1"/>
  <c r="S42" i="2"/>
  <c r="S82" i="2" s="1"/>
  <c r="S134" i="2" s="1"/>
  <c r="A87" i="1"/>
  <c r="A88" i="2" s="1"/>
  <c r="O86" i="1"/>
  <c r="A66" i="1"/>
  <c r="O65" i="1"/>
  <c r="F65" i="1"/>
  <c r="E54" i="1"/>
  <c r="D55" i="1"/>
  <c r="C55" i="1"/>
  <c r="N55" i="1"/>
  <c r="B55" i="1"/>
  <c r="F63" i="1"/>
  <c r="F55" i="1"/>
  <c r="H82" i="1"/>
  <c r="H134" i="1"/>
  <c r="P134" i="1"/>
  <c r="I65" i="1"/>
  <c r="L65" i="1"/>
  <c r="S65" i="1"/>
  <c r="T65" i="1"/>
  <c r="J65" i="1"/>
  <c r="H65" i="1"/>
  <c r="Q65" i="1"/>
  <c r="K65" i="1"/>
  <c r="R65" i="1"/>
  <c r="L149" i="2" l="1"/>
  <c r="G149" i="2"/>
  <c r="Q149" i="2"/>
  <c r="D149" i="2"/>
  <c r="O149" i="2"/>
  <c r="B149" i="2"/>
  <c r="F149" i="2"/>
  <c r="M149" i="2"/>
  <c r="H149" i="2"/>
  <c r="S149" i="2"/>
  <c r="P149" i="2"/>
  <c r="R149" i="2"/>
  <c r="N149" i="2"/>
  <c r="C149" i="2"/>
  <c r="K149" i="2"/>
  <c r="E149" i="2"/>
  <c r="I149" i="2"/>
  <c r="E66" i="2"/>
  <c r="K66" i="2"/>
  <c r="S66" i="2"/>
  <c r="M66" i="2"/>
  <c r="H66" i="2"/>
  <c r="G66" i="2"/>
  <c r="P66" i="2"/>
  <c r="L66" i="2"/>
  <c r="R66" i="2"/>
  <c r="J66" i="2"/>
  <c r="N66" i="2"/>
  <c r="Q66" i="2"/>
  <c r="O66" i="2"/>
  <c r="F66" i="2"/>
  <c r="D87" i="2"/>
  <c r="O87" i="2"/>
  <c r="G87" i="2"/>
  <c r="K87" i="2"/>
  <c r="N87" i="2"/>
  <c r="B87" i="2"/>
  <c r="S87" i="2"/>
  <c r="R87" i="2"/>
  <c r="H87" i="2"/>
  <c r="J87" i="2"/>
  <c r="Q87" i="2"/>
  <c r="E87" i="2"/>
  <c r="L87" i="2"/>
  <c r="M87" i="2"/>
  <c r="P87" i="2"/>
  <c r="B66" i="2"/>
  <c r="F87" i="2"/>
  <c r="I87" i="2"/>
  <c r="D66" i="2"/>
  <c r="C66" i="2"/>
  <c r="D65" i="1"/>
  <c r="B65" i="1"/>
  <c r="N65" i="1"/>
  <c r="C65" i="1"/>
  <c r="A150" i="2"/>
  <c r="I150" i="2" s="1"/>
  <c r="O149" i="1"/>
  <c r="A150" i="1"/>
  <c r="A67" i="2"/>
  <c r="T42" i="2"/>
  <c r="T82" i="2" s="1"/>
  <c r="T134" i="2" s="1"/>
  <c r="A88" i="1"/>
  <c r="A89" i="2" s="1"/>
  <c r="O87" i="1"/>
  <c r="A67" i="1"/>
  <c r="O66" i="1"/>
  <c r="F66" i="1"/>
  <c r="E55" i="1"/>
  <c r="F62" i="1"/>
  <c r="G150" i="2" l="1"/>
  <c r="F150" i="2"/>
  <c r="P150" i="2"/>
  <c r="O150" i="2"/>
  <c r="S150" i="2"/>
  <c r="J150" i="2"/>
  <c r="D150" i="2"/>
  <c r="B150" i="2"/>
  <c r="R150" i="2"/>
  <c r="N150" i="2"/>
  <c r="H150" i="2"/>
  <c r="C150" i="2"/>
  <c r="K150" i="2"/>
  <c r="Q150" i="2"/>
  <c r="L150" i="2"/>
  <c r="M150" i="2"/>
  <c r="E150" i="2"/>
  <c r="E65" i="1"/>
  <c r="A151" i="2"/>
  <c r="H151" i="2" s="1"/>
  <c r="O150" i="1"/>
  <c r="A151" i="1"/>
  <c r="A68" i="2"/>
  <c r="U42" i="2"/>
  <c r="U82" i="2" s="1"/>
  <c r="U134" i="2" s="1"/>
  <c r="A89" i="1"/>
  <c r="O88" i="1"/>
  <c r="A68" i="1"/>
  <c r="O67" i="1"/>
  <c r="F67" i="1"/>
  <c r="F64" i="1"/>
  <c r="F61" i="1"/>
  <c r="J151" i="2" l="1"/>
  <c r="A90" i="2"/>
  <c r="O151" i="2"/>
  <c r="Q151" i="2"/>
  <c r="P151" i="2"/>
  <c r="B151" i="2"/>
  <c r="G151" i="2"/>
  <c r="F151" i="2"/>
  <c r="R151" i="2"/>
  <c r="C151" i="2"/>
  <c r="K151" i="2"/>
  <c r="E151" i="2"/>
  <c r="S151" i="2"/>
  <c r="D151" i="2"/>
  <c r="N151" i="2"/>
  <c r="M151" i="2"/>
  <c r="I151" i="2"/>
  <c r="L151" i="2"/>
  <c r="A152" i="2"/>
  <c r="B152" i="2" s="1"/>
  <c r="A152" i="1"/>
  <c r="O151" i="1"/>
  <c r="A69" i="2"/>
  <c r="V42" i="2"/>
  <c r="V82" i="2" s="1"/>
  <c r="V134" i="2" s="1"/>
  <c r="A90" i="1"/>
  <c r="O89" i="1"/>
  <c r="A69" i="1"/>
  <c r="O68" i="1"/>
  <c r="F68" i="1"/>
  <c r="N152" i="2" l="1"/>
  <c r="P152" i="2"/>
  <c r="G152" i="2"/>
  <c r="C152" i="2"/>
  <c r="O152" i="2"/>
  <c r="M152" i="2"/>
  <c r="J152" i="2"/>
  <c r="E152" i="2"/>
  <c r="I152" i="2"/>
  <c r="R152" i="2"/>
  <c r="D152" i="2"/>
  <c r="K152" i="2"/>
  <c r="L152" i="2"/>
  <c r="F152" i="2"/>
  <c r="Q152" i="2"/>
  <c r="S152" i="2"/>
  <c r="H152" i="2"/>
  <c r="A153" i="2"/>
  <c r="P153" i="2" s="1"/>
  <c r="A153" i="1"/>
  <c r="O152" i="1"/>
  <c r="A91" i="2"/>
  <c r="A70" i="2"/>
  <c r="W42" i="2"/>
  <c r="W82" i="2" s="1"/>
  <c r="W134" i="2" s="1"/>
  <c r="A91" i="1"/>
  <c r="A92" i="2" s="1"/>
  <c r="O90" i="1"/>
  <c r="A70" i="1"/>
  <c r="O69" i="1"/>
  <c r="F69" i="1"/>
  <c r="F59" i="1"/>
  <c r="S153" i="2" l="1"/>
  <c r="F153" i="2"/>
  <c r="C153" i="2"/>
  <c r="O153" i="2"/>
  <c r="Q153" i="2"/>
  <c r="M153" i="2"/>
  <c r="D153" i="2"/>
  <c r="H153" i="2"/>
  <c r="B153" i="2"/>
  <c r="G153" i="2"/>
  <c r="I153" i="2"/>
  <c r="R153" i="2"/>
  <c r="E153" i="2"/>
  <c r="L153" i="2"/>
  <c r="N153" i="2"/>
  <c r="K153" i="2"/>
  <c r="J153" i="2"/>
  <c r="A154" i="2"/>
  <c r="B154" i="2" s="1"/>
  <c r="A154" i="1"/>
  <c r="O153" i="1"/>
  <c r="A71" i="2"/>
  <c r="X42" i="2"/>
  <c r="X82" i="2" s="1"/>
  <c r="X134" i="2" s="1"/>
  <c r="A92" i="1"/>
  <c r="O91" i="1"/>
  <c r="A71" i="1"/>
  <c r="O70" i="1"/>
  <c r="F70" i="1"/>
  <c r="F58" i="1"/>
  <c r="K154" i="2" l="1"/>
  <c r="O154" i="2"/>
  <c r="E154" i="2"/>
  <c r="H154" i="2"/>
  <c r="L154" i="2"/>
  <c r="R154" i="2"/>
  <c r="N154" i="2"/>
  <c r="Q154" i="2"/>
  <c r="I154" i="2"/>
  <c r="M154" i="2"/>
  <c r="S154" i="2"/>
  <c r="P154" i="2"/>
  <c r="J154" i="2"/>
  <c r="G154" i="2"/>
  <c r="F154" i="2"/>
  <c r="D154" i="2"/>
  <c r="C154" i="2"/>
  <c r="A155" i="2"/>
  <c r="D155" i="2" s="1"/>
  <c r="A155" i="1"/>
  <c r="O154" i="1"/>
  <c r="A93" i="2"/>
  <c r="A72" i="2"/>
  <c r="A93" i="1"/>
  <c r="A94" i="2" s="1"/>
  <c r="O92" i="1"/>
  <c r="A72" i="1"/>
  <c r="O71" i="1"/>
  <c r="F71" i="1"/>
  <c r="F56" i="1"/>
  <c r="F57" i="1"/>
  <c r="S155" i="2" l="1"/>
  <c r="O155" i="2"/>
  <c r="G155" i="2"/>
  <c r="K155" i="2"/>
  <c r="F155" i="2"/>
  <c r="H155" i="2"/>
  <c r="P155" i="2"/>
  <c r="L155" i="2"/>
  <c r="R155" i="2"/>
  <c r="N155" i="2"/>
  <c r="Q155" i="2"/>
  <c r="M155" i="2"/>
  <c r="J155" i="2"/>
  <c r="B155" i="2"/>
  <c r="C155" i="2"/>
  <c r="I155" i="2"/>
  <c r="E155" i="2"/>
  <c r="A156" i="2"/>
  <c r="G156" i="2" s="1"/>
  <c r="A156" i="1"/>
  <c r="F156" i="1" s="1"/>
  <c r="O155" i="1"/>
  <c r="A73" i="2"/>
  <c r="O93" i="1"/>
  <c r="A94" i="1"/>
  <c r="A95" i="2" s="1"/>
  <c r="A73" i="1"/>
  <c r="O72" i="1"/>
  <c r="F72" i="1"/>
  <c r="F53" i="1"/>
  <c r="M66" i="1"/>
  <c r="Q67" i="1"/>
  <c r="J66" i="1"/>
  <c r="H151" i="1"/>
  <c r="K67" i="1"/>
  <c r="H150" i="1"/>
  <c r="I69" i="1"/>
  <c r="H147" i="1"/>
  <c r="H146" i="1"/>
  <c r="I143" i="1"/>
  <c r="H69" i="1"/>
  <c r="H144" i="1"/>
  <c r="I137" i="1"/>
  <c r="U66" i="1"/>
  <c r="H143" i="1"/>
  <c r="L68" i="1"/>
  <c r="H155" i="1"/>
  <c r="J67" i="1"/>
  <c r="Q69" i="1"/>
  <c r="L69" i="1"/>
  <c r="I153" i="1"/>
  <c r="J68" i="1"/>
  <c r="R67" i="1"/>
  <c r="H149" i="1"/>
  <c r="L67" i="1"/>
  <c r="I155" i="1"/>
  <c r="H142" i="1"/>
  <c r="P67" i="1"/>
  <c r="I150" i="1"/>
  <c r="H148" i="1"/>
  <c r="I66" i="1"/>
  <c r="H145" i="1"/>
  <c r="Q68" i="1"/>
  <c r="I67" i="1"/>
  <c r="H138" i="1"/>
  <c r="R69" i="1"/>
  <c r="I148" i="1"/>
  <c r="K66" i="1"/>
  <c r="P69" i="1"/>
  <c r="P85" i="1"/>
  <c r="H66" i="1"/>
  <c r="I145" i="1"/>
  <c r="H140" i="1"/>
  <c r="S69" i="1"/>
  <c r="P137" i="1"/>
  <c r="H153" i="1"/>
  <c r="J69" i="1"/>
  <c r="H139" i="1"/>
  <c r="H141" i="1"/>
  <c r="P66" i="1"/>
  <c r="U69" i="1"/>
  <c r="T67" i="1"/>
  <c r="S68" i="1"/>
  <c r="H67" i="1"/>
  <c r="Q66" i="1"/>
  <c r="M67" i="1"/>
  <c r="R66" i="1"/>
  <c r="I146" i="1"/>
  <c r="M68" i="1"/>
  <c r="I151" i="1"/>
  <c r="M69" i="1"/>
  <c r="S66" i="1"/>
  <c r="I138" i="1"/>
  <c r="I142" i="1"/>
  <c r="K69" i="1"/>
  <c r="H152" i="1"/>
  <c r="I141" i="1"/>
  <c r="H154" i="1"/>
  <c r="I149" i="1"/>
  <c r="I152" i="1"/>
  <c r="I144" i="1"/>
  <c r="I140" i="1"/>
  <c r="H137" i="1"/>
  <c r="T69" i="1"/>
  <c r="I147" i="1"/>
  <c r="T66" i="1"/>
  <c r="H68" i="1"/>
  <c r="I68" i="1"/>
  <c r="L66" i="1"/>
  <c r="K68" i="1"/>
  <c r="R68" i="1"/>
  <c r="I139" i="1"/>
  <c r="P68" i="1"/>
  <c r="S67" i="1"/>
  <c r="U68" i="1"/>
  <c r="I154" i="1"/>
  <c r="T68" i="1"/>
  <c r="U67" i="1"/>
  <c r="I156" i="1" l="1"/>
  <c r="F156" i="2"/>
  <c r="B156" i="2"/>
  <c r="R156" i="2"/>
  <c r="S156" i="2"/>
  <c r="H156" i="2"/>
  <c r="P156" i="2"/>
  <c r="E156" i="2"/>
  <c r="C156" i="2"/>
  <c r="M156" i="2"/>
  <c r="O156" i="2"/>
  <c r="D156" i="2"/>
  <c r="L156" i="2"/>
  <c r="N156" i="2"/>
  <c r="Q156" i="2"/>
  <c r="I156" i="2"/>
  <c r="K156" i="2"/>
  <c r="J156" i="2"/>
  <c r="H156" i="1"/>
  <c r="A157" i="2"/>
  <c r="F157" i="2" s="1"/>
  <c r="O156" i="1"/>
  <c r="A157" i="1"/>
  <c r="H157" i="1" s="1"/>
  <c r="D68" i="1"/>
  <c r="D67" i="1"/>
  <c r="N66" i="1"/>
  <c r="B66" i="1"/>
  <c r="D69" i="1"/>
  <c r="N69" i="1"/>
  <c r="B69" i="1"/>
  <c r="B68" i="1"/>
  <c r="N68" i="1"/>
  <c r="C67" i="1"/>
  <c r="N67" i="1"/>
  <c r="B67" i="1"/>
  <c r="C66" i="1"/>
  <c r="C68" i="1"/>
  <c r="D66" i="1"/>
  <c r="C69" i="1"/>
  <c r="A74" i="2"/>
  <c r="A95" i="1"/>
  <c r="A96" i="2" s="1"/>
  <c r="O94" i="1"/>
  <c r="A74" i="1"/>
  <c r="O73" i="1"/>
  <c r="F73" i="1"/>
  <c r="F52" i="1"/>
  <c r="F155" i="1"/>
  <c r="F154" i="1"/>
  <c r="F48" i="1"/>
  <c r="N157" i="2" l="1"/>
  <c r="P157" i="2"/>
  <c r="K157" i="2"/>
  <c r="L157" i="2"/>
  <c r="B157" i="2"/>
  <c r="S157" i="2"/>
  <c r="J157" i="2"/>
  <c r="D157" i="2"/>
  <c r="I157" i="1"/>
  <c r="A158" i="2"/>
  <c r="P158" i="2" s="1"/>
  <c r="A158" i="1"/>
  <c r="H158" i="1" s="1"/>
  <c r="O157" i="1"/>
  <c r="F157" i="1"/>
  <c r="E67" i="1"/>
  <c r="E69" i="1"/>
  <c r="E66" i="1"/>
  <c r="E68" i="1"/>
  <c r="A75" i="2"/>
  <c r="A96" i="1"/>
  <c r="A97" i="2" s="1"/>
  <c r="O95" i="1"/>
  <c r="A75" i="1"/>
  <c r="O74" i="1"/>
  <c r="F74" i="1"/>
  <c r="F51" i="1"/>
  <c r="F153" i="1"/>
  <c r="F47" i="1"/>
  <c r="M157" i="2"/>
  <c r="H157" i="2"/>
  <c r="R157" i="2"/>
  <c r="I157" i="2"/>
  <c r="O157" i="2"/>
  <c r="C157" i="2"/>
  <c r="Q157" i="2"/>
  <c r="G157" i="2"/>
  <c r="E157" i="2"/>
  <c r="I158" i="1" l="1"/>
  <c r="G158" i="2"/>
  <c r="H158" i="2"/>
  <c r="D158" i="2"/>
  <c r="N158" i="2"/>
  <c r="E158" i="2"/>
  <c r="L158" i="2"/>
  <c r="Q158" i="2"/>
  <c r="F158" i="2"/>
  <c r="R158" i="2"/>
  <c r="S158" i="2"/>
  <c r="M158" i="2"/>
  <c r="O158" i="2"/>
  <c r="K158" i="2"/>
  <c r="C158" i="2"/>
  <c r="I158" i="2"/>
  <c r="J158" i="2"/>
  <c r="B158" i="2"/>
  <c r="A159" i="2"/>
  <c r="A159" i="1"/>
  <c r="H159" i="1" s="1"/>
  <c r="O158" i="1"/>
  <c r="F158" i="1"/>
  <c r="A76" i="2"/>
  <c r="A97" i="1"/>
  <c r="A98" i="2" s="1"/>
  <c r="O96" i="1"/>
  <c r="A76" i="1"/>
  <c r="O75" i="1"/>
  <c r="F75" i="1"/>
  <c r="F50" i="1"/>
  <c r="F152" i="1"/>
  <c r="F46" i="1"/>
  <c r="I159" i="1" l="1"/>
  <c r="A160" i="1"/>
  <c r="I160" i="1" s="1"/>
  <c r="O159" i="1"/>
  <c r="A160" i="2"/>
  <c r="F159" i="1"/>
  <c r="A77" i="2"/>
  <c r="A98" i="1"/>
  <c r="O97" i="1"/>
  <c r="A77" i="1"/>
  <c r="O76" i="1"/>
  <c r="F76" i="1"/>
  <c r="F49" i="1"/>
  <c r="F151" i="1"/>
  <c r="F45" i="1"/>
  <c r="H160" i="1" l="1"/>
  <c r="A161" i="1"/>
  <c r="H161" i="1" s="1"/>
  <c r="O160" i="1"/>
  <c r="A161" i="2"/>
  <c r="F160" i="1"/>
  <c r="A78" i="2"/>
  <c r="A99" i="2"/>
  <c r="O98" i="1"/>
  <c r="A99" i="1"/>
  <c r="A100" i="2" s="1"/>
  <c r="F98" i="1"/>
  <c r="A78" i="1"/>
  <c r="O77" i="1"/>
  <c r="F77" i="1"/>
  <c r="F97" i="1"/>
  <c r="F150" i="1"/>
  <c r="I161" i="1" l="1"/>
  <c r="A162" i="2"/>
  <c r="O161" i="1"/>
  <c r="A162" i="1"/>
  <c r="H162" i="1" s="1"/>
  <c r="F161" i="1"/>
  <c r="A79" i="2"/>
  <c r="A100" i="1"/>
  <c r="A101" i="2" s="1"/>
  <c r="O99" i="1"/>
  <c r="F99" i="1"/>
  <c r="A79" i="1"/>
  <c r="O78" i="1"/>
  <c r="F78" i="1"/>
  <c r="F96" i="1"/>
  <c r="F149" i="1"/>
  <c r="I162" i="1" l="1"/>
  <c r="F162" i="1"/>
  <c r="A163" i="1"/>
  <c r="I163" i="1" s="1"/>
  <c r="A163" i="2"/>
  <c r="O162" i="1"/>
  <c r="A80" i="2"/>
  <c r="A101" i="1"/>
  <c r="A102" i="2" s="1"/>
  <c r="O100" i="1"/>
  <c r="F100" i="1"/>
  <c r="O79" i="1"/>
  <c r="F79" i="1"/>
  <c r="F95" i="1"/>
  <c r="F148" i="1"/>
  <c r="H163" i="1" l="1"/>
  <c r="A164" i="1"/>
  <c r="H164" i="1" s="1"/>
  <c r="O163" i="1"/>
  <c r="F163" i="1"/>
  <c r="A164" i="2"/>
  <c r="A102" i="1"/>
  <c r="A103" i="2" s="1"/>
  <c r="O101" i="1"/>
  <c r="F101" i="1"/>
  <c r="F94" i="1"/>
  <c r="F147" i="1"/>
  <c r="O164" i="1" l="1"/>
  <c r="F164" i="1"/>
  <c r="A165" i="2"/>
  <c r="A165" i="1"/>
  <c r="I165" i="1" s="1"/>
  <c r="A103" i="1"/>
  <c r="A104" i="2" s="1"/>
  <c r="O102" i="1"/>
  <c r="F102" i="1"/>
  <c r="F93" i="1"/>
  <c r="F146" i="1"/>
  <c r="I164" i="1"/>
  <c r="O165" i="1" l="1"/>
  <c r="F165" i="1"/>
  <c r="A166" i="2"/>
  <c r="A166" i="1"/>
  <c r="I166" i="1" s="1"/>
  <c r="O103" i="1"/>
  <c r="A104" i="1"/>
  <c r="A105" i="2" s="1"/>
  <c r="F103" i="1"/>
  <c r="F92" i="1"/>
  <c r="F145" i="1"/>
  <c r="H165" i="1"/>
  <c r="H166" i="1" l="1"/>
  <c r="A167" i="2"/>
  <c r="A167" i="1"/>
  <c r="H167" i="1" s="1"/>
  <c r="O166" i="1"/>
  <c r="F166" i="1"/>
  <c r="A105" i="1"/>
  <c r="A106" i="2" s="1"/>
  <c r="O104" i="1"/>
  <c r="F104" i="1"/>
  <c r="F91" i="1"/>
  <c r="F144" i="1"/>
  <c r="I167" i="1" l="1"/>
  <c r="A168" i="2"/>
  <c r="A168" i="1"/>
  <c r="H168" i="1" s="1"/>
  <c r="O167" i="1"/>
  <c r="F167" i="1"/>
  <c r="A106" i="1"/>
  <c r="A107" i="2" s="1"/>
  <c r="O105" i="1"/>
  <c r="F105" i="1"/>
  <c r="F90" i="1"/>
  <c r="F143" i="1"/>
  <c r="I168" i="1" l="1"/>
  <c r="A169" i="2"/>
  <c r="A169" i="1"/>
  <c r="H169" i="1" s="1"/>
  <c r="O168" i="1"/>
  <c r="F168" i="1"/>
  <c r="A107" i="1"/>
  <c r="A108" i="2" s="1"/>
  <c r="O106" i="1"/>
  <c r="F106" i="1"/>
  <c r="F89" i="1"/>
  <c r="F142" i="1"/>
  <c r="I169" i="1" l="1"/>
  <c r="A170" i="2"/>
  <c r="F169" i="1"/>
  <c r="A170" i="1"/>
  <c r="I170" i="1" s="1"/>
  <c r="O169" i="1"/>
  <c r="A108" i="1"/>
  <c r="A109" i="2" s="1"/>
  <c r="F107" i="1"/>
  <c r="O107" i="1"/>
  <c r="F88" i="1"/>
  <c r="F141" i="1"/>
  <c r="H170" i="1" l="1"/>
  <c r="A171" i="2"/>
  <c r="F170" i="1"/>
  <c r="A171" i="1"/>
  <c r="I171" i="1" s="1"/>
  <c r="O170" i="1"/>
  <c r="F108" i="1"/>
  <c r="A109" i="1"/>
  <c r="A110" i="2" s="1"/>
  <c r="O108" i="1"/>
  <c r="F87" i="1"/>
  <c r="F140" i="1"/>
  <c r="H171" i="1" l="1"/>
  <c r="A172" i="2"/>
  <c r="A172" i="1"/>
  <c r="I172" i="1" s="1"/>
  <c r="O171" i="1"/>
  <c r="F171" i="1"/>
  <c r="O109" i="1"/>
  <c r="F109" i="1"/>
  <c r="A110" i="1"/>
  <c r="A111" i="2" s="1"/>
  <c r="F86" i="1"/>
  <c r="F139" i="1"/>
  <c r="H172" i="1" l="1"/>
  <c r="A173" i="2"/>
  <c r="A173" i="1"/>
  <c r="H173" i="1" s="1"/>
  <c r="O172" i="1"/>
  <c r="F172" i="1"/>
  <c r="O110" i="1"/>
  <c r="F110" i="1"/>
  <c r="A111" i="1"/>
  <c r="A112" i="2" s="1"/>
  <c r="F85" i="1"/>
  <c r="F138" i="1"/>
  <c r="I173" i="1" l="1"/>
  <c r="A174" i="2"/>
  <c r="A174" i="1"/>
  <c r="H174" i="1" s="1"/>
  <c r="O173" i="1"/>
  <c r="F173" i="1"/>
  <c r="O111" i="1"/>
  <c r="F111" i="1"/>
  <c r="A112" i="1"/>
  <c r="A113" i="2" s="1"/>
  <c r="F137" i="1"/>
  <c r="A175" i="2" l="1"/>
  <c r="A175" i="1"/>
  <c r="I175" i="1" s="1"/>
  <c r="O174" i="1"/>
  <c r="F174" i="1"/>
  <c r="O112" i="1"/>
  <c r="F112" i="1"/>
  <c r="A113" i="1"/>
  <c r="A114" i="2" s="1"/>
  <c r="I174" i="1"/>
  <c r="H175" i="1" l="1"/>
  <c r="A176" i="2"/>
  <c r="A176" i="1"/>
  <c r="H176" i="1" s="1"/>
  <c r="O175" i="1"/>
  <c r="F175" i="1"/>
  <c r="F113" i="1"/>
  <c r="A114" i="1"/>
  <c r="A115" i="2" s="1"/>
  <c r="O113" i="1"/>
  <c r="I176" i="1" l="1"/>
  <c r="A177" i="2"/>
  <c r="A177" i="1"/>
  <c r="H177" i="1" s="1"/>
  <c r="O176" i="1"/>
  <c r="F176" i="1"/>
  <c r="F114" i="1"/>
  <c r="A115" i="1"/>
  <c r="A116" i="2" s="1"/>
  <c r="O114" i="1"/>
  <c r="I177" i="1" l="1"/>
  <c r="A178" i="2"/>
  <c r="A178" i="1"/>
  <c r="H178" i="1" s="1"/>
  <c r="O177" i="1"/>
  <c r="F177" i="1"/>
  <c r="O115" i="1"/>
  <c r="F115" i="1"/>
  <c r="A116" i="1"/>
  <c r="A117" i="2" s="1"/>
  <c r="I178" i="1" l="1"/>
  <c r="A179" i="2"/>
  <c r="A179" i="1"/>
  <c r="H179" i="1" s="1"/>
  <c r="F178" i="1"/>
  <c r="O178" i="1"/>
  <c r="O116" i="1"/>
  <c r="F116" i="1"/>
  <c r="A117" i="1"/>
  <c r="A118" i="2" s="1"/>
  <c r="I179" i="1" l="1"/>
  <c r="A180" i="2"/>
  <c r="A180" i="1"/>
  <c r="I180" i="1" s="1"/>
  <c r="O179" i="1"/>
  <c r="F179" i="1"/>
  <c r="A118" i="1"/>
  <c r="A119" i="2" s="1"/>
  <c r="O117" i="1"/>
  <c r="F117" i="1"/>
  <c r="H180" i="1" l="1"/>
  <c r="A181" i="2"/>
  <c r="A181" i="1"/>
  <c r="H181" i="1" s="1"/>
  <c r="O180" i="1"/>
  <c r="F180" i="1"/>
  <c r="A119" i="1"/>
  <c r="O118" i="1"/>
  <c r="F118" i="1"/>
  <c r="I181" i="1" l="1"/>
  <c r="A182" i="2"/>
  <c r="A182" i="1"/>
  <c r="H182" i="1" s="1"/>
  <c r="O181" i="1"/>
  <c r="F181" i="1"/>
  <c r="A120" i="2"/>
  <c r="A120" i="1"/>
  <c r="A121" i="2" s="1"/>
  <c r="O119" i="1"/>
  <c r="F119" i="1"/>
  <c r="I182" i="1" l="1"/>
  <c r="A183" i="2"/>
  <c r="A183" i="1"/>
  <c r="H183" i="1" s="1"/>
  <c r="F182" i="1"/>
  <c r="O182" i="1"/>
  <c r="A121" i="1"/>
  <c r="A122" i="2" s="1"/>
  <c r="O120" i="1"/>
  <c r="F120" i="1"/>
  <c r="I183" i="1" l="1"/>
  <c r="A184" i="1"/>
  <c r="H184" i="1" s="1"/>
  <c r="O183" i="1"/>
  <c r="F183" i="1"/>
  <c r="A184" i="2"/>
  <c r="A122" i="1"/>
  <c r="A123" i="2" s="1"/>
  <c r="O121" i="1"/>
  <c r="F121" i="1"/>
  <c r="I184" i="1" l="1"/>
  <c r="A185" i="2"/>
  <c r="A185" i="1"/>
  <c r="H185" i="1" s="1"/>
  <c r="F184" i="1"/>
  <c r="O184" i="1"/>
  <c r="F122" i="1"/>
  <c r="A123" i="1"/>
  <c r="A124" i="2" s="1"/>
  <c r="O122" i="1"/>
  <c r="I185" i="1" l="1"/>
  <c r="O185" i="1"/>
  <c r="A186" i="2"/>
  <c r="F185" i="1"/>
  <c r="A186" i="1"/>
  <c r="H186" i="1" s="1"/>
  <c r="A124" i="1"/>
  <c r="A125" i="2" s="1"/>
  <c r="O123" i="1"/>
  <c r="F123" i="1"/>
  <c r="I186" i="1" l="1"/>
  <c r="O186" i="1"/>
  <c r="F186" i="1"/>
  <c r="A187" i="2"/>
  <c r="A187" i="1"/>
  <c r="H187" i="1" s="1"/>
  <c r="A125" i="1"/>
  <c r="A126" i="2" s="1"/>
  <c r="O124" i="1"/>
  <c r="F124" i="1"/>
  <c r="A188" i="2" l="1"/>
  <c r="A188" i="1"/>
  <c r="I188" i="1" s="1"/>
  <c r="F187" i="1"/>
  <c r="O187" i="1"/>
  <c r="A126" i="1"/>
  <c r="A127" i="2" s="1"/>
  <c r="O125" i="1"/>
  <c r="F125" i="1"/>
  <c r="F4" i="1"/>
  <c r="I187" i="1"/>
  <c r="H188" i="1" l="1"/>
  <c r="O188" i="1"/>
  <c r="A189" i="2"/>
  <c r="F188" i="1"/>
  <c r="A189" i="1"/>
  <c r="A127" i="1"/>
  <c r="A128" i="2" s="1"/>
  <c r="O126" i="1"/>
  <c r="F126" i="1"/>
  <c r="A5" i="1"/>
  <c r="H189" i="1" l="1"/>
  <c r="F189" i="1"/>
  <c r="O189" i="1"/>
  <c r="A190" i="2"/>
  <c r="O5" i="1"/>
  <c r="A6" i="2"/>
  <c r="A128" i="1"/>
  <c r="A129" i="2" s="1"/>
  <c r="O127" i="1"/>
  <c r="F127" i="1"/>
  <c r="D137" i="1"/>
  <c r="F5" i="1"/>
  <c r="A6" i="1"/>
  <c r="I189" i="1"/>
  <c r="O6" i="1" l="1"/>
  <c r="A7" i="2"/>
  <c r="A129" i="1"/>
  <c r="A130" i="2" s="1"/>
  <c r="O128" i="1"/>
  <c r="F128" i="1"/>
  <c r="B168" i="1"/>
  <c r="B163" i="1"/>
  <c r="F6" i="1"/>
  <c r="A7" i="1"/>
  <c r="Q7" i="1" l="1"/>
  <c r="O7" i="1"/>
  <c r="A8" i="2"/>
  <c r="A130" i="1"/>
  <c r="O129" i="1"/>
  <c r="F129" i="1"/>
  <c r="F7" i="1"/>
  <c r="A8" i="1"/>
  <c r="A131" i="2" l="1"/>
  <c r="O8" i="1"/>
  <c r="A9" i="2"/>
  <c r="O130" i="1"/>
  <c r="F130" i="1"/>
  <c r="F8" i="1"/>
  <c r="A9" i="1"/>
  <c r="P130" i="1"/>
  <c r="Q9" i="1" l="1"/>
  <c r="O9" i="1"/>
  <c r="A10" i="2"/>
  <c r="F9" i="1"/>
  <c r="A10" i="1"/>
  <c r="O10" i="1" l="1"/>
  <c r="A11" i="2"/>
  <c r="F10" i="1"/>
  <c r="A11" i="1"/>
  <c r="O11" i="1" l="1"/>
  <c r="A12" i="2"/>
  <c r="F11" i="1"/>
  <c r="A12" i="1"/>
  <c r="O12" i="1" l="1"/>
  <c r="A13" i="2"/>
  <c r="F12" i="1"/>
  <c r="A13" i="1"/>
  <c r="O13" i="1" l="1"/>
  <c r="A14" i="2"/>
  <c r="F13" i="1"/>
  <c r="A14" i="1"/>
  <c r="O14" i="1" l="1"/>
  <c r="A15" i="2"/>
  <c r="F14" i="1"/>
  <c r="A15" i="1"/>
  <c r="O15" i="1" l="1"/>
  <c r="A16" i="2"/>
  <c r="F15" i="1"/>
  <c r="A16" i="1"/>
  <c r="O16" i="1" l="1"/>
  <c r="A17" i="2"/>
  <c r="F16" i="1"/>
  <c r="A17" i="1"/>
  <c r="O17" i="1" l="1"/>
  <c r="A18" i="2"/>
  <c r="F17" i="1"/>
  <c r="A18" i="1"/>
  <c r="O18" i="1" l="1"/>
  <c r="A19" i="2"/>
  <c r="F18" i="1"/>
  <c r="A19" i="1"/>
  <c r="O19" i="1" l="1"/>
  <c r="A20" i="2"/>
  <c r="F19" i="1"/>
  <c r="A20" i="1"/>
  <c r="O20" i="1" l="1"/>
  <c r="A21" i="2"/>
  <c r="F20" i="1"/>
  <c r="A21" i="1"/>
  <c r="O21" i="1" l="1"/>
  <c r="A22" i="2"/>
  <c r="F21" i="1"/>
  <c r="A22" i="1"/>
  <c r="O22" i="1" l="1"/>
  <c r="A23" i="2"/>
  <c r="F22" i="1"/>
  <c r="A23" i="1"/>
  <c r="O23" i="1" l="1"/>
  <c r="A24" i="2"/>
  <c r="F23" i="1"/>
  <c r="A24" i="1"/>
  <c r="O24" i="1" l="1"/>
  <c r="A25" i="2"/>
  <c r="F24" i="1"/>
  <c r="A25" i="1"/>
  <c r="O25" i="1" l="1"/>
  <c r="A26" i="2"/>
  <c r="F25" i="1"/>
  <c r="A26" i="1"/>
  <c r="O26" i="1" l="1"/>
  <c r="A27" i="2"/>
  <c r="F26" i="1"/>
  <c r="A27" i="1"/>
  <c r="O27" i="1" l="1"/>
  <c r="A28" i="2"/>
  <c r="F27" i="1"/>
  <c r="A28" i="1"/>
  <c r="O28" i="1" l="1"/>
  <c r="A29" i="2"/>
  <c r="F28" i="1"/>
  <c r="A29" i="1"/>
  <c r="O29" i="1" l="1"/>
  <c r="A30" i="2"/>
  <c r="F29" i="1"/>
  <c r="A30" i="1"/>
  <c r="O30" i="1" l="1"/>
  <c r="A31" i="2"/>
  <c r="F30" i="1"/>
  <c r="A31" i="1"/>
  <c r="O31" i="1" l="1"/>
  <c r="A32" i="2"/>
  <c r="F31" i="1"/>
  <c r="A32" i="1"/>
  <c r="O32" i="1" l="1"/>
  <c r="A33" i="2"/>
  <c r="F32" i="1"/>
  <c r="A33" i="1"/>
  <c r="O33" i="1" l="1"/>
  <c r="A34" i="2"/>
  <c r="F33" i="1"/>
  <c r="A34" i="1"/>
  <c r="O34" i="1" l="1"/>
  <c r="A35" i="2"/>
  <c r="F34" i="1"/>
  <c r="A35" i="1"/>
  <c r="O35" i="1" l="1"/>
  <c r="A36" i="2"/>
  <c r="F35" i="1"/>
  <c r="A36" i="1"/>
  <c r="O36" i="1" l="1"/>
  <c r="A37" i="2"/>
  <c r="F36" i="1"/>
  <c r="A37" i="1"/>
  <c r="O37" i="1" l="1"/>
  <c r="A38" i="2"/>
  <c r="F37" i="1"/>
  <c r="A38" i="1"/>
  <c r="AB13" i="4" l="1"/>
  <c r="J13" i="4" s="1"/>
  <c r="Q13" i="4"/>
  <c r="B13" i="4" s="1"/>
  <c r="AB11" i="4"/>
  <c r="J11" i="4" s="1"/>
  <c r="Q9" i="4"/>
  <c r="B9" i="4" s="1"/>
  <c r="Q7" i="4"/>
  <c r="B7" i="4" s="1"/>
  <c r="AB7" i="4"/>
  <c r="J7" i="4" s="1"/>
  <c r="AB9" i="4"/>
  <c r="J9" i="4" s="1"/>
  <c r="Q11" i="4"/>
  <c r="B11" i="4" s="1"/>
  <c r="O38" i="1"/>
  <c r="A39" i="2"/>
  <c r="F38" i="1"/>
  <c r="Q92" i="1"/>
  <c r="P119" i="1"/>
  <c r="J179" i="1"/>
  <c r="R94" i="1"/>
  <c r="M169" i="1"/>
  <c r="R99" i="1"/>
  <c r="K152" i="1"/>
  <c r="P168" i="1"/>
  <c r="P110" i="1"/>
  <c r="J185" i="1"/>
  <c r="S85" i="1"/>
  <c r="U163" i="1"/>
  <c r="K141" i="1"/>
  <c r="P94" i="1"/>
  <c r="Q101" i="1"/>
  <c r="Q111" i="1"/>
  <c r="Q94" i="1"/>
  <c r="Q119" i="1"/>
  <c r="R130" i="1"/>
  <c r="R96" i="1"/>
  <c r="Q128" i="1"/>
  <c r="P115" i="1"/>
  <c r="J177" i="1"/>
  <c r="K144" i="1"/>
  <c r="P101" i="1"/>
  <c r="R105" i="1"/>
  <c r="R112" i="1"/>
  <c r="P93" i="1"/>
  <c r="R113" i="1"/>
  <c r="R103" i="1"/>
  <c r="P120" i="1"/>
  <c r="S87" i="1"/>
  <c r="J180" i="1"/>
  <c r="P100" i="1"/>
  <c r="P95" i="1"/>
  <c r="S86" i="1"/>
  <c r="Q126" i="1"/>
  <c r="K155" i="1"/>
  <c r="R98" i="1"/>
  <c r="S92" i="1"/>
  <c r="Q118" i="1"/>
  <c r="M170" i="1"/>
  <c r="Q109" i="1"/>
  <c r="K173" i="1"/>
  <c r="J183" i="1"/>
  <c r="P163" i="1"/>
  <c r="K153" i="1"/>
  <c r="P111" i="1"/>
  <c r="J139" i="1"/>
  <c r="Q95" i="1"/>
  <c r="R91" i="1"/>
  <c r="Q100" i="1"/>
  <c r="K146" i="1"/>
  <c r="R101" i="1"/>
  <c r="Q96" i="1"/>
  <c r="K150" i="1"/>
  <c r="Q116" i="1"/>
  <c r="P123" i="1"/>
  <c r="Q125" i="1"/>
  <c r="R122" i="1"/>
  <c r="Q105" i="1"/>
  <c r="K172" i="1"/>
  <c r="J182" i="1"/>
  <c r="Q115" i="1"/>
  <c r="K149" i="1"/>
  <c r="Q117" i="1"/>
  <c r="Q108" i="1"/>
  <c r="M174" i="1"/>
  <c r="R102" i="1"/>
  <c r="K143" i="1"/>
  <c r="P96" i="1"/>
  <c r="Q88" i="1"/>
  <c r="Q124" i="1"/>
  <c r="R129" i="1"/>
  <c r="R100" i="1"/>
  <c r="Q104" i="1"/>
  <c r="Q122" i="1"/>
  <c r="P113" i="1"/>
  <c r="T163" i="1"/>
  <c r="K157" i="1"/>
  <c r="M172" i="1"/>
  <c r="P128" i="1"/>
  <c r="Q98" i="1"/>
  <c r="R128" i="1"/>
  <c r="R104" i="1"/>
  <c r="P126" i="1"/>
  <c r="J181" i="1"/>
  <c r="P109" i="1"/>
  <c r="Q86" i="1"/>
  <c r="J186" i="1"/>
  <c r="S91" i="1"/>
  <c r="P129" i="1"/>
  <c r="P108" i="1"/>
  <c r="R111" i="1"/>
  <c r="Q91" i="1"/>
  <c r="R107" i="1"/>
  <c r="P114" i="1"/>
  <c r="P104" i="1"/>
  <c r="R126" i="1"/>
  <c r="J140" i="1"/>
  <c r="P112" i="1"/>
  <c r="P98" i="1"/>
  <c r="R118" i="1"/>
  <c r="S90" i="1"/>
  <c r="K147" i="1"/>
  <c r="R115" i="1"/>
  <c r="J178" i="1"/>
  <c r="P124" i="1"/>
  <c r="R108" i="1"/>
  <c r="J184" i="1"/>
  <c r="P105" i="1"/>
  <c r="Q93" i="1"/>
  <c r="R92" i="1"/>
  <c r="R123" i="1"/>
  <c r="R127" i="1"/>
  <c r="Q99" i="1"/>
  <c r="R124" i="1"/>
  <c r="Q102" i="1"/>
  <c r="Q130" i="1"/>
  <c r="Q97" i="1"/>
  <c r="P118" i="1"/>
  <c r="U168" i="1"/>
  <c r="R114" i="1"/>
  <c r="Q123" i="1"/>
  <c r="R119" i="1"/>
  <c r="Q87" i="1"/>
  <c r="P99" i="1"/>
  <c r="R93" i="1"/>
  <c r="R116" i="1"/>
  <c r="Q110" i="1"/>
  <c r="Q113" i="1"/>
  <c r="K142" i="1"/>
  <c r="R95" i="1"/>
  <c r="R97" i="1"/>
  <c r="R125" i="1"/>
  <c r="M176" i="1"/>
  <c r="J187" i="1"/>
  <c r="Q89" i="1"/>
  <c r="P102" i="1"/>
  <c r="M175" i="1"/>
  <c r="R121" i="1"/>
  <c r="S88" i="1"/>
  <c r="Q121" i="1"/>
  <c r="M171" i="1"/>
  <c r="Q106" i="1"/>
  <c r="P106" i="1"/>
  <c r="S89" i="1"/>
  <c r="P122" i="1"/>
  <c r="P127" i="1"/>
  <c r="Q85" i="1"/>
  <c r="M173" i="1"/>
  <c r="P107" i="1"/>
  <c r="P97" i="1"/>
  <c r="Q129" i="1"/>
  <c r="Q90" i="1"/>
  <c r="P125" i="1"/>
  <c r="R120" i="1"/>
  <c r="Q114" i="1"/>
  <c r="P117" i="1"/>
  <c r="Q127" i="1"/>
  <c r="K145" i="1"/>
  <c r="P116" i="1"/>
  <c r="K156" i="1"/>
  <c r="Q112" i="1"/>
  <c r="R117" i="1"/>
  <c r="P121" i="1"/>
  <c r="K154" i="1"/>
  <c r="R106" i="1"/>
  <c r="R110" i="1"/>
  <c r="P103" i="1"/>
  <c r="K151" i="1"/>
  <c r="Q107" i="1"/>
  <c r="T168" i="1"/>
  <c r="K148" i="1"/>
  <c r="R109" i="1"/>
  <c r="Q120" i="1"/>
  <c r="Q103" i="1"/>
  <c r="Q132" i="1" l="1"/>
  <c r="Q84" i="1"/>
  <c r="B188" i="1" l="1"/>
  <c r="B178" i="1"/>
  <c r="B182" i="1"/>
  <c r="B162" i="1"/>
  <c r="B151" i="1"/>
  <c r="B187" i="1"/>
  <c r="B137" i="1"/>
  <c r="H136" i="1"/>
  <c r="B184" i="1"/>
  <c r="B140" i="1"/>
  <c r="B139" i="1"/>
  <c r="B155" i="1"/>
  <c r="B173" i="1"/>
  <c r="B147" i="1"/>
  <c r="B148" i="1"/>
  <c r="B161" i="1"/>
  <c r="B159" i="1"/>
  <c r="B167" i="1"/>
  <c r="B141" i="1"/>
  <c r="B176" i="1"/>
  <c r="B160" i="1"/>
  <c r="B170" i="1"/>
  <c r="B186" i="1"/>
  <c r="B174" i="1"/>
  <c r="B164" i="1"/>
  <c r="B166" i="1"/>
  <c r="B185" i="1"/>
  <c r="B183" i="1"/>
  <c r="B143" i="1"/>
  <c r="B157" i="1"/>
  <c r="B149" i="1"/>
  <c r="I136" i="1"/>
  <c r="B177" i="1"/>
  <c r="B150" i="1"/>
  <c r="B153" i="1"/>
  <c r="B138" i="1"/>
  <c r="B144" i="1"/>
  <c r="B145" i="1"/>
  <c r="B152" i="1"/>
  <c r="B171" i="1"/>
  <c r="B165" i="1"/>
  <c r="B154" i="1"/>
  <c r="B181" i="1"/>
  <c r="B175" i="1"/>
  <c r="B158" i="1"/>
  <c r="B156" i="1"/>
  <c r="B179" i="1"/>
  <c r="B142" i="1"/>
  <c r="B169" i="1"/>
  <c r="B189" i="1"/>
  <c r="B172" i="1"/>
  <c r="B146" i="1"/>
  <c r="B180" i="1"/>
  <c r="B136" i="1" l="1"/>
  <c r="I99" i="1" l="1"/>
  <c r="Q57" i="1"/>
  <c r="I8" i="1"/>
  <c r="R161" i="1"/>
  <c r="Q165" i="1"/>
  <c r="I78" i="1"/>
  <c r="U174" i="1"/>
  <c r="Q34" i="1"/>
  <c r="U111" i="1"/>
  <c r="T141" i="1"/>
  <c r="P143" i="1"/>
  <c r="M140" i="1"/>
  <c r="Q153" i="1"/>
  <c r="R181" i="1"/>
  <c r="P88" i="1"/>
  <c r="T165" i="1"/>
  <c r="Q168" i="1"/>
  <c r="T150" i="1"/>
  <c r="K158" i="1"/>
  <c r="I104" i="1"/>
  <c r="S151" i="1"/>
  <c r="Q181" i="1"/>
  <c r="T149" i="1"/>
  <c r="S187" i="1"/>
  <c r="M188" i="1"/>
  <c r="T166" i="1"/>
  <c r="J14" i="1"/>
  <c r="K19" i="1"/>
  <c r="U149" i="1"/>
  <c r="K117" i="1"/>
  <c r="U173" i="1"/>
  <c r="T4" i="1"/>
  <c r="T142" i="1"/>
  <c r="I92" i="1"/>
  <c r="J76" i="1"/>
  <c r="Q152" i="1"/>
  <c r="J143" i="1"/>
  <c r="K137" i="1"/>
  <c r="U177" i="1"/>
  <c r="I28" i="1"/>
  <c r="T89" i="1"/>
  <c r="U97" i="1"/>
  <c r="S113" i="1"/>
  <c r="S152" i="1"/>
  <c r="K166" i="1"/>
  <c r="S64" i="1"/>
  <c r="R175" i="1"/>
  <c r="U112" i="1"/>
  <c r="T56" i="1"/>
  <c r="H97" i="1"/>
  <c r="P183" i="1"/>
  <c r="H117" i="1"/>
  <c r="J167" i="1"/>
  <c r="T187" i="1"/>
  <c r="P147" i="1"/>
  <c r="Q188" i="1"/>
  <c r="T155" i="1"/>
  <c r="S130" i="1"/>
  <c r="T60" i="1"/>
  <c r="P166" i="1"/>
  <c r="R155" i="1"/>
  <c r="S182" i="1"/>
  <c r="I16" i="1"/>
  <c r="S116" i="1"/>
  <c r="R169" i="1"/>
  <c r="S141" i="1"/>
  <c r="U108" i="1"/>
  <c r="L163" i="1"/>
  <c r="I23" i="1"/>
  <c r="M128" i="1"/>
  <c r="L4" i="1"/>
  <c r="S103" i="1"/>
  <c r="L61" i="1"/>
  <c r="P174" i="1"/>
  <c r="U183" i="1"/>
  <c r="L146" i="1"/>
  <c r="Q5" i="1"/>
  <c r="K95" i="1"/>
  <c r="K161" i="1"/>
  <c r="S156" i="1"/>
  <c r="M103" i="1"/>
  <c r="S111" i="1"/>
  <c r="R138" i="1"/>
  <c r="S124" i="1"/>
  <c r="S155" i="1"/>
  <c r="U147" i="1"/>
  <c r="P86" i="1"/>
  <c r="L47" i="1"/>
  <c r="S189" i="1"/>
  <c r="S122" i="1"/>
  <c r="R137" i="1"/>
  <c r="Q187" i="1"/>
  <c r="K5" i="1"/>
  <c r="R149" i="1"/>
  <c r="L180" i="1"/>
  <c r="U166" i="1"/>
  <c r="L48" i="1"/>
  <c r="S175" i="1"/>
  <c r="J17" i="1"/>
  <c r="R187" i="1"/>
  <c r="K162" i="1"/>
  <c r="K138" i="1"/>
  <c r="I101" i="1"/>
  <c r="S105" i="1"/>
  <c r="L22" i="1"/>
  <c r="K164" i="1"/>
  <c r="I9" i="1"/>
  <c r="T170" i="1"/>
  <c r="S137" i="1"/>
  <c r="T169" i="1"/>
  <c r="Q53" i="1"/>
  <c r="U138" i="1"/>
  <c r="M160" i="1"/>
  <c r="P177" i="1"/>
  <c r="K113" i="1"/>
  <c r="S170" i="1"/>
  <c r="J137" i="1"/>
  <c r="P150" i="1"/>
  <c r="U160" i="1"/>
  <c r="P90" i="1"/>
  <c r="U154" i="1"/>
  <c r="T159" i="1"/>
  <c r="J147" i="1"/>
  <c r="R71" i="1"/>
  <c r="S99" i="1"/>
  <c r="T161" i="1"/>
  <c r="L109" i="1"/>
  <c r="Q154" i="1"/>
  <c r="S143" i="1"/>
  <c r="T151" i="1"/>
  <c r="S180" i="1"/>
  <c r="R162" i="1"/>
  <c r="K140" i="1"/>
  <c r="T5" i="1"/>
  <c r="P154" i="1"/>
  <c r="R142" i="1"/>
  <c r="Q151" i="1"/>
  <c r="J165" i="1"/>
  <c r="T158" i="1"/>
  <c r="S160" i="1"/>
  <c r="S146" i="1"/>
  <c r="U109" i="1"/>
  <c r="R153" i="1"/>
  <c r="M167" i="1"/>
  <c r="R59" i="1"/>
  <c r="T156" i="1"/>
  <c r="P146" i="1"/>
  <c r="Q36" i="1"/>
  <c r="U123" i="1"/>
  <c r="T75" i="1"/>
  <c r="Q148" i="1"/>
  <c r="R85" i="1"/>
  <c r="P91" i="1"/>
  <c r="P184" i="1"/>
  <c r="S167" i="1"/>
  <c r="Q147" i="1"/>
  <c r="R146" i="1"/>
  <c r="U169" i="1"/>
  <c r="P89" i="1"/>
  <c r="S161" i="1"/>
  <c r="P162" i="1"/>
  <c r="S107" i="1"/>
  <c r="R186" i="1"/>
  <c r="M111" i="1"/>
  <c r="U157" i="1"/>
  <c r="S169" i="1"/>
  <c r="J34" i="1"/>
  <c r="R182" i="1"/>
  <c r="P185" i="1"/>
  <c r="R176" i="1"/>
  <c r="U137" i="1"/>
  <c r="M127" i="1"/>
  <c r="Q146" i="1"/>
  <c r="U114" i="1"/>
  <c r="Q173" i="1"/>
  <c r="J155" i="1"/>
  <c r="U144" i="1"/>
  <c r="S102" i="1"/>
  <c r="K167" i="1"/>
  <c r="P178" i="1"/>
  <c r="R189" i="1"/>
  <c r="Q149" i="1"/>
  <c r="Q186" i="1"/>
  <c r="P148" i="1"/>
  <c r="M155" i="1"/>
  <c r="L182" i="1"/>
  <c r="J138" i="1"/>
  <c r="M154" i="1"/>
  <c r="U180" i="1"/>
  <c r="U171" i="1"/>
  <c r="L186" i="1"/>
  <c r="S163" i="1"/>
  <c r="U110" i="1"/>
  <c r="L160" i="1"/>
  <c r="T144" i="1"/>
  <c r="M159" i="1"/>
  <c r="P171" i="1"/>
  <c r="S100" i="1"/>
  <c r="H129" i="1"/>
  <c r="S139" i="1"/>
  <c r="Q142" i="1"/>
  <c r="T175" i="1"/>
  <c r="J59" i="1"/>
  <c r="R185" i="1"/>
  <c r="M108" i="1"/>
  <c r="P175" i="1"/>
  <c r="P152" i="1"/>
  <c r="Q174" i="1"/>
  <c r="J145" i="1"/>
  <c r="J22" i="1"/>
  <c r="Q156" i="1"/>
  <c r="R75" i="1"/>
  <c r="S148" i="1"/>
  <c r="H9" i="1"/>
  <c r="J74" i="1"/>
  <c r="P64" i="1"/>
  <c r="Q164" i="1"/>
  <c r="U120" i="1"/>
  <c r="P182" i="1"/>
  <c r="M184" i="1"/>
  <c r="U107" i="1"/>
  <c r="T22" i="1"/>
  <c r="Q170" i="1"/>
  <c r="T147" i="1"/>
  <c r="S165" i="1"/>
  <c r="K105" i="1"/>
  <c r="J161" i="1"/>
  <c r="U46" i="1"/>
  <c r="L14" i="1"/>
  <c r="I11" i="1"/>
  <c r="S104" i="1"/>
  <c r="J168" i="1"/>
  <c r="Q159" i="1"/>
  <c r="U188" i="1"/>
  <c r="I87" i="1"/>
  <c r="P145" i="1"/>
  <c r="U87" i="1"/>
  <c r="J164" i="1"/>
  <c r="I93" i="1"/>
  <c r="J8" i="1"/>
  <c r="S172" i="1"/>
  <c r="I70" i="1"/>
  <c r="Q162" i="1"/>
  <c r="T146" i="1"/>
  <c r="P179" i="1"/>
  <c r="J33" i="1"/>
  <c r="U164" i="1"/>
  <c r="T30" i="1"/>
  <c r="Q137" i="1"/>
  <c r="R184" i="1"/>
  <c r="J149" i="1"/>
  <c r="S145" i="1"/>
  <c r="S106" i="1"/>
  <c r="I108" i="1"/>
  <c r="R177" i="1"/>
  <c r="L159" i="1"/>
  <c r="Q175" i="1"/>
  <c r="U176" i="1"/>
  <c r="T148" i="1"/>
  <c r="M107" i="1"/>
  <c r="S150" i="1"/>
  <c r="J158" i="1"/>
  <c r="R178" i="1"/>
  <c r="T126" i="1"/>
  <c r="P149" i="1"/>
  <c r="R26" i="1"/>
  <c r="T138" i="1"/>
  <c r="Q150" i="1"/>
  <c r="K32" i="1"/>
  <c r="R188" i="1"/>
  <c r="R141" i="1"/>
  <c r="J169" i="1"/>
  <c r="S140" i="1"/>
  <c r="Q184" i="1"/>
  <c r="R165" i="1"/>
  <c r="Q185" i="1"/>
  <c r="R183" i="1"/>
  <c r="R145" i="1"/>
  <c r="P186" i="1"/>
  <c r="S110" i="1"/>
  <c r="Q163" i="1"/>
  <c r="K37" i="1"/>
  <c r="S120" i="1"/>
  <c r="P144" i="1"/>
  <c r="P151" i="1"/>
  <c r="J108" i="1"/>
  <c r="Q180" i="1"/>
  <c r="U178" i="1"/>
  <c r="T145" i="1"/>
  <c r="J128" i="1"/>
  <c r="Q160" i="1"/>
  <c r="J72" i="1"/>
  <c r="P138" i="1"/>
  <c r="L86" i="1"/>
  <c r="M148" i="1"/>
  <c r="U162" i="1"/>
  <c r="T139" i="1"/>
  <c r="T143" i="1"/>
  <c r="T185" i="1"/>
  <c r="S101" i="1"/>
  <c r="S119" i="1"/>
  <c r="S157" i="1"/>
  <c r="S96" i="1"/>
  <c r="U189" i="1"/>
  <c r="Q141" i="1"/>
  <c r="T180" i="1"/>
  <c r="S93" i="1"/>
  <c r="S128" i="1"/>
  <c r="Q25" i="1"/>
  <c r="U187" i="1"/>
  <c r="S16" i="1"/>
  <c r="T179" i="1"/>
  <c r="I110" i="1"/>
  <c r="P159" i="1"/>
  <c r="J113" i="1"/>
  <c r="R140" i="1"/>
  <c r="M63" i="1"/>
  <c r="T177" i="1"/>
  <c r="S179" i="1"/>
  <c r="S121" i="1"/>
  <c r="K30" i="1"/>
  <c r="S144" i="1"/>
  <c r="M126" i="1"/>
  <c r="S126" i="1"/>
  <c r="K168" i="1"/>
  <c r="P157" i="1"/>
  <c r="S158" i="1"/>
  <c r="P156" i="1"/>
  <c r="S112" i="1"/>
  <c r="S117" i="1"/>
  <c r="Q178" i="1"/>
  <c r="K123" i="1"/>
  <c r="H62" i="1"/>
  <c r="R38" i="1"/>
  <c r="S178" i="1"/>
  <c r="L77" i="1"/>
  <c r="R147" i="1"/>
  <c r="T167" i="1"/>
  <c r="T32" i="1"/>
  <c r="Q76" i="1"/>
  <c r="R29" i="1"/>
  <c r="J163" i="1"/>
  <c r="Q179" i="1"/>
  <c r="P155" i="1"/>
  <c r="S153" i="1"/>
  <c r="T116" i="1"/>
  <c r="K110" i="1"/>
  <c r="Q169" i="1"/>
  <c r="S176" i="1"/>
  <c r="T172" i="1"/>
  <c r="U182" i="1"/>
  <c r="P170" i="1"/>
  <c r="S177" i="1"/>
  <c r="R143" i="1"/>
  <c r="I63" i="1"/>
  <c r="R180" i="1"/>
  <c r="U57" i="1"/>
  <c r="P87" i="1"/>
  <c r="J20" i="1"/>
  <c r="L15" i="1"/>
  <c r="L145" i="1"/>
  <c r="L118" i="1"/>
  <c r="S168" i="1"/>
  <c r="Q30" i="1"/>
  <c r="R179" i="1"/>
  <c r="L174" i="1"/>
  <c r="I103" i="1"/>
  <c r="L171" i="1"/>
  <c r="Q24" i="1"/>
  <c r="R90" i="1"/>
  <c r="P181" i="1"/>
  <c r="L169" i="1"/>
  <c r="S114" i="1"/>
  <c r="I26" i="1"/>
  <c r="K86" i="1"/>
  <c r="P180" i="1"/>
  <c r="T154" i="1"/>
  <c r="I98" i="1"/>
  <c r="Q176" i="1"/>
  <c r="R9" i="1"/>
  <c r="Q182" i="1"/>
  <c r="M153" i="1"/>
  <c r="L162" i="1"/>
  <c r="P161" i="1"/>
  <c r="Q157" i="1"/>
  <c r="S173" i="1"/>
  <c r="S94" i="1"/>
  <c r="R164" i="1"/>
  <c r="Q138" i="1"/>
  <c r="R166" i="1"/>
  <c r="M71" i="1"/>
  <c r="K169" i="1"/>
  <c r="Q144" i="1"/>
  <c r="Q167" i="1"/>
  <c r="Q143" i="1"/>
  <c r="U167" i="1"/>
  <c r="P165" i="1"/>
  <c r="K14" i="1"/>
  <c r="S129" i="1"/>
  <c r="M152" i="1"/>
  <c r="J148" i="1"/>
  <c r="T189" i="1"/>
  <c r="S186" i="1"/>
  <c r="K109" i="1"/>
  <c r="U175" i="1"/>
  <c r="K127" i="1"/>
  <c r="K76" i="1"/>
  <c r="H115" i="1"/>
  <c r="S166" i="1"/>
  <c r="H116" i="1"/>
  <c r="J141" i="1"/>
  <c r="L114" i="1"/>
  <c r="S147" i="1"/>
  <c r="U122" i="1"/>
  <c r="U142" i="1"/>
  <c r="K61" i="1"/>
  <c r="P169" i="1"/>
  <c r="T164" i="1"/>
  <c r="T140" i="1"/>
  <c r="U165" i="1"/>
  <c r="T186" i="1"/>
  <c r="T181" i="1"/>
  <c r="T176" i="1"/>
  <c r="T182" i="1"/>
  <c r="M101" i="1"/>
  <c r="P172" i="1"/>
  <c r="T114" i="1"/>
  <c r="U124" i="1"/>
  <c r="M114" i="1"/>
  <c r="K160" i="1"/>
  <c r="J38" i="1"/>
  <c r="U184" i="1"/>
  <c r="I90" i="1"/>
  <c r="H130" i="1"/>
  <c r="M118" i="1"/>
  <c r="T130" i="1"/>
  <c r="H26" i="1"/>
  <c r="J162" i="1"/>
  <c r="T25" i="1"/>
  <c r="P167" i="1"/>
  <c r="K34" i="1"/>
  <c r="I17" i="1"/>
  <c r="H24" i="1"/>
  <c r="M123" i="1"/>
  <c r="K159" i="1"/>
  <c r="U185" i="1"/>
  <c r="R88" i="1"/>
  <c r="K139" i="1"/>
  <c r="U186" i="1"/>
  <c r="R87" i="1"/>
  <c r="T174" i="1"/>
  <c r="J6" i="1"/>
  <c r="T183" i="1"/>
  <c r="U61" i="1"/>
  <c r="U170" i="1"/>
  <c r="Q172" i="1"/>
  <c r="S183" i="1"/>
  <c r="R148" i="1"/>
  <c r="M164" i="1"/>
  <c r="J57" i="1"/>
  <c r="J144" i="1"/>
  <c r="U161" i="1"/>
  <c r="R168" i="1"/>
  <c r="S184" i="1"/>
  <c r="M144" i="1"/>
  <c r="S174" i="1"/>
  <c r="S188" i="1"/>
  <c r="L70" i="1"/>
  <c r="T178" i="1"/>
  <c r="S115" i="1"/>
  <c r="S142" i="1"/>
  <c r="S127" i="1"/>
  <c r="I53" i="1"/>
  <c r="P164" i="1"/>
  <c r="P153" i="1"/>
  <c r="P141" i="1"/>
  <c r="R76" i="1"/>
  <c r="I107" i="1"/>
  <c r="H27" i="1"/>
  <c r="R167" i="1"/>
  <c r="M109" i="1"/>
  <c r="P176" i="1"/>
  <c r="K122" i="1"/>
  <c r="T188" i="1"/>
  <c r="R13" i="1"/>
  <c r="L156" i="1"/>
  <c r="J9" i="1"/>
  <c r="T107" i="1"/>
  <c r="S4" i="1"/>
  <c r="M138" i="1"/>
  <c r="R17" i="1"/>
  <c r="K176" i="1"/>
  <c r="H14" i="1"/>
  <c r="M149" i="1"/>
  <c r="I75" i="1"/>
  <c r="K10" i="1"/>
  <c r="J19" i="1"/>
  <c r="K74" i="1"/>
  <c r="L173" i="1"/>
  <c r="M48" i="1"/>
  <c r="I52" i="1"/>
  <c r="T36" i="1"/>
  <c r="M151" i="1"/>
  <c r="S10" i="1"/>
  <c r="J25" i="1"/>
  <c r="K189" i="1"/>
  <c r="H106" i="1"/>
  <c r="H100" i="1"/>
  <c r="T171" i="1"/>
  <c r="T72" i="1"/>
  <c r="U172" i="1"/>
  <c r="J152" i="1"/>
  <c r="P92" i="1"/>
  <c r="Q29" i="1"/>
  <c r="U139" i="1"/>
  <c r="M73" i="1"/>
  <c r="I73" i="1"/>
  <c r="Q73" i="1"/>
  <c r="J95" i="1"/>
  <c r="K23" i="1"/>
  <c r="L37" i="1"/>
  <c r="H20" i="1"/>
  <c r="U113" i="1"/>
  <c r="I76" i="1"/>
  <c r="H47" i="1"/>
  <c r="R154" i="1"/>
  <c r="L128" i="1"/>
  <c r="P187" i="1"/>
  <c r="K120" i="1"/>
  <c r="J28" i="1"/>
  <c r="L60" i="1"/>
  <c r="M119" i="1"/>
  <c r="Q22" i="1"/>
  <c r="J146" i="1"/>
  <c r="Q71" i="1"/>
  <c r="T109" i="1"/>
  <c r="H114" i="1"/>
  <c r="T12" i="1"/>
  <c r="P74" i="1"/>
  <c r="I94" i="1"/>
  <c r="K13" i="1"/>
  <c r="I117" i="1"/>
  <c r="P11" i="1"/>
  <c r="L178" i="1"/>
  <c r="M57" i="1"/>
  <c r="R8" i="1"/>
  <c r="S162" i="1"/>
  <c r="H22" i="1"/>
  <c r="U116" i="1"/>
  <c r="J116" i="1"/>
  <c r="P23" i="1"/>
  <c r="T95" i="1"/>
  <c r="U141" i="1"/>
  <c r="I13" i="1"/>
  <c r="S125" i="1"/>
  <c r="Q47" i="1"/>
  <c r="K121" i="1"/>
  <c r="L23" i="1"/>
  <c r="R63" i="1"/>
  <c r="L110" i="1"/>
  <c r="H56" i="1"/>
  <c r="Q139" i="1"/>
  <c r="U106" i="1"/>
  <c r="M105" i="1"/>
  <c r="R30" i="1"/>
  <c r="K60" i="1"/>
  <c r="R73" i="1"/>
  <c r="J60" i="1"/>
  <c r="S159" i="1"/>
  <c r="L75" i="1"/>
  <c r="M70" i="1"/>
  <c r="K70" i="1"/>
  <c r="K118" i="1"/>
  <c r="Q33" i="1"/>
  <c r="M141" i="1"/>
  <c r="J16" i="1"/>
  <c r="L181" i="1"/>
  <c r="J97" i="1"/>
  <c r="L179" i="1"/>
  <c r="T152" i="1"/>
  <c r="P10" i="1"/>
  <c r="L18" i="1"/>
  <c r="H45" i="1"/>
  <c r="U152" i="1"/>
  <c r="U74" i="1"/>
  <c r="L21" i="1"/>
  <c r="K126" i="1"/>
  <c r="P158" i="1"/>
  <c r="I119" i="1"/>
  <c r="R89" i="1"/>
  <c r="L98" i="1"/>
  <c r="Q155" i="1"/>
  <c r="T15" i="1"/>
  <c r="Q166" i="1"/>
  <c r="P35" i="1"/>
  <c r="I79" i="1"/>
  <c r="L148" i="1"/>
  <c r="S52" i="1"/>
  <c r="I121" i="1"/>
  <c r="L35" i="1"/>
  <c r="S171" i="1"/>
  <c r="M31" i="1"/>
  <c r="R77" i="1"/>
  <c r="S13" i="1"/>
  <c r="S95" i="1"/>
  <c r="M179" i="1"/>
  <c r="T7" i="1"/>
  <c r="I127" i="1"/>
  <c r="H110" i="1"/>
  <c r="K78" i="1"/>
  <c r="S47" i="1"/>
  <c r="H107" i="1"/>
  <c r="T19" i="1"/>
  <c r="H76" i="1"/>
  <c r="J26" i="1"/>
  <c r="J121" i="1"/>
  <c r="M22" i="1"/>
  <c r="I15" i="1"/>
  <c r="R49" i="1"/>
  <c r="I86" i="1"/>
  <c r="S28" i="1"/>
  <c r="S21" i="1"/>
  <c r="M75" i="1"/>
  <c r="K53" i="1"/>
  <c r="K12" i="1"/>
  <c r="U53" i="1"/>
  <c r="P58" i="1"/>
  <c r="T27" i="1"/>
  <c r="Q19" i="1"/>
  <c r="U151" i="1"/>
  <c r="S38" i="1"/>
  <c r="U8" i="1"/>
  <c r="S30" i="1"/>
  <c r="T52" i="1"/>
  <c r="L62" i="1"/>
  <c r="T26" i="1"/>
  <c r="H78" i="1"/>
  <c r="S123" i="1"/>
  <c r="K85" i="1"/>
  <c r="Q48" i="1"/>
  <c r="I27" i="1"/>
  <c r="L138" i="1"/>
  <c r="K73" i="1"/>
  <c r="R160" i="1"/>
  <c r="T160" i="1"/>
  <c r="M20" i="1"/>
  <c r="U181" i="1"/>
  <c r="L38" i="1"/>
  <c r="M186" i="1"/>
  <c r="K59" i="1"/>
  <c r="M113" i="1"/>
  <c r="S58" i="1"/>
  <c r="I36" i="1"/>
  <c r="J122" i="1"/>
  <c r="T128" i="1"/>
  <c r="Q37" i="1"/>
  <c r="Q52" i="1"/>
  <c r="K93" i="1"/>
  <c r="P188" i="1"/>
  <c r="R172" i="1"/>
  <c r="M121" i="1"/>
  <c r="K100" i="1"/>
  <c r="K107" i="1"/>
  <c r="H72" i="1"/>
  <c r="K33" i="1"/>
  <c r="I112" i="1"/>
  <c r="S164" i="1"/>
  <c r="M72" i="1"/>
  <c r="U86" i="1"/>
  <c r="H118" i="1"/>
  <c r="Q10" i="1"/>
  <c r="Q46" i="1"/>
  <c r="L8" i="1"/>
  <c r="Q183" i="1"/>
  <c r="R144" i="1"/>
  <c r="T105" i="1"/>
  <c r="S108" i="1"/>
  <c r="J171" i="1"/>
  <c r="Q171" i="1"/>
  <c r="K16" i="1"/>
  <c r="U79" i="1"/>
  <c r="U99" i="1"/>
  <c r="S63" i="1"/>
  <c r="L13" i="1"/>
  <c r="K94" i="1"/>
  <c r="H70" i="1"/>
  <c r="R86" i="1"/>
  <c r="T120" i="1"/>
  <c r="P60" i="1"/>
  <c r="J4" i="1"/>
  <c r="P140" i="1"/>
  <c r="Q32" i="1"/>
  <c r="T184" i="1"/>
  <c r="T102" i="1"/>
  <c r="P142" i="1"/>
  <c r="J166" i="1"/>
  <c r="L122" i="1"/>
  <c r="K108" i="1"/>
  <c r="I38" i="1"/>
  <c r="U121" i="1"/>
  <c r="J125" i="1"/>
  <c r="L112" i="1"/>
  <c r="M115" i="1"/>
  <c r="H60" i="1"/>
  <c r="I114" i="1"/>
  <c r="L64" i="1"/>
  <c r="K102" i="1"/>
  <c r="M129" i="1"/>
  <c r="U126" i="1"/>
  <c r="L27" i="1"/>
  <c r="I111" i="1"/>
  <c r="T57" i="1"/>
  <c r="M78" i="1"/>
  <c r="J120" i="1"/>
  <c r="H101" i="1"/>
  <c r="P139" i="1"/>
  <c r="M53" i="1"/>
  <c r="P173" i="1"/>
  <c r="R150" i="1"/>
  <c r="K184" i="1"/>
  <c r="J35" i="1"/>
  <c r="L121" i="1"/>
  <c r="U91" i="1"/>
  <c r="M178" i="1"/>
  <c r="L104" i="1"/>
  <c r="M181" i="1"/>
  <c r="R173" i="1"/>
  <c r="K11" i="1"/>
  <c r="I89" i="1"/>
  <c r="L149" i="1"/>
  <c r="L184" i="1"/>
  <c r="I18" i="1"/>
  <c r="T17" i="1"/>
  <c r="T9" i="1"/>
  <c r="I102" i="1"/>
  <c r="R62" i="1"/>
  <c r="Q177" i="1"/>
  <c r="I32" i="1"/>
  <c r="K111" i="1"/>
  <c r="U129" i="1"/>
  <c r="S33" i="1"/>
  <c r="U128" i="1"/>
  <c r="L58" i="1"/>
  <c r="Q8" i="1"/>
  <c r="T162" i="1"/>
  <c r="L172" i="1"/>
  <c r="U103" i="1"/>
  <c r="Q14" i="1"/>
  <c r="P37" i="1"/>
  <c r="U32" i="1"/>
  <c r="L49" i="1"/>
  <c r="K125" i="1"/>
  <c r="U6" i="1"/>
  <c r="T16" i="1"/>
  <c r="L154" i="1"/>
  <c r="L17" i="1"/>
  <c r="K29" i="1"/>
  <c r="T14" i="1"/>
  <c r="K96" i="1"/>
  <c r="L177" i="1"/>
  <c r="L7" i="1"/>
  <c r="P18" i="1"/>
  <c r="R24" i="1"/>
  <c r="H28" i="1"/>
  <c r="S75" i="1"/>
  <c r="U18" i="1"/>
  <c r="M64" i="1"/>
  <c r="K174" i="1"/>
  <c r="L5" i="1"/>
  <c r="T86" i="1"/>
  <c r="L105" i="1"/>
  <c r="K91" i="1"/>
  <c r="Q18" i="1"/>
  <c r="P21" i="1"/>
  <c r="T101" i="1"/>
  <c r="H21" i="1"/>
  <c r="L167" i="1"/>
  <c r="T173" i="1"/>
  <c r="L150" i="1"/>
  <c r="U140" i="1"/>
  <c r="I96" i="1"/>
  <c r="L165" i="1"/>
  <c r="K130" i="1"/>
  <c r="I30" i="1"/>
  <c r="P160" i="1"/>
  <c r="H128" i="1"/>
  <c r="S45" i="1"/>
  <c r="S181" i="1"/>
  <c r="L185" i="1"/>
  <c r="H50" i="1"/>
  <c r="M38" i="1"/>
  <c r="S154" i="1"/>
  <c r="P20" i="1"/>
  <c r="R174" i="1"/>
  <c r="L28" i="1"/>
  <c r="H6" i="1"/>
  <c r="H34" i="1"/>
  <c r="I29" i="1"/>
  <c r="L51" i="1"/>
  <c r="I61" i="1"/>
  <c r="I100" i="1"/>
  <c r="U28" i="1"/>
  <c r="T153" i="1"/>
  <c r="P70" i="1"/>
  <c r="U118" i="1"/>
  <c r="K165" i="1"/>
  <c r="L52" i="1"/>
  <c r="R20" i="1"/>
  <c r="R156" i="1"/>
  <c r="K104" i="1"/>
  <c r="U12" i="1"/>
  <c r="S98" i="1"/>
  <c r="T106" i="1"/>
  <c r="S109" i="1"/>
  <c r="T119" i="1"/>
  <c r="T58" i="1"/>
  <c r="T96" i="1"/>
  <c r="J119" i="1"/>
  <c r="I34" i="1"/>
  <c r="J173" i="1"/>
  <c r="J75" i="1"/>
  <c r="M74" i="1"/>
  <c r="U50" i="1"/>
  <c r="K28" i="1"/>
  <c r="I35" i="1"/>
  <c r="P48" i="1"/>
  <c r="K103" i="1"/>
  <c r="K64" i="1"/>
  <c r="U143" i="1"/>
  <c r="M106" i="1"/>
  <c r="U63" i="1"/>
  <c r="R64" i="1"/>
  <c r="R4" i="1"/>
  <c r="H119" i="1"/>
  <c r="J50" i="1"/>
  <c r="S138" i="1"/>
  <c r="H92" i="1"/>
  <c r="L36" i="1"/>
  <c r="H25" i="1"/>
  <c r="Q27" i="1"/>
  <c r="M62" i="1"/>
  <c r="R5" i="1"/>
  <c r="I45" i="1"/>
  <c r="H64" i="1"/>
  <c r="K163" i="1"/>
  <c r="J124" i="1"/>
  <c r="R163" i="1"/>
  <c r="K15" i="1"/>
  <c r="U21" i="1"/>
  <c r="R159" i="1"/>
  <c r="H11" i="1"/>
  <c r="R46" i="1"/>
  <c r="T104" i="1"/>
  <c r="R52" i="1"/>
  <c r="U93" i="1"/>
  <c r="M85" i="1"/>
  <c r="M7" i="1"/>
  <c r="K22" i="1"/>
  <c r="R139" i="1"/>
  <c r="I57" i="1"/>
  <c r="M183" i="1"/>
  <c r="J64" i="1"/>
  <c r="L19" i="1"/>
  <c r="S149" i="1"/>
  <c r="T38" i="1"/>
  <c r="M51" i="1"/>
  <c r="R74" i="1"/>
  <c r="K20" i="1"/>
  <c r="M130" i="1"/>
  <c r="Q189" i="1"/>
  <c r="U96" i="1"/>
  <c r="Q161" i="1"/>
  <c r="J90" i="1"/>
  <c r="T99" i="1"/>
  <c r="L78" i="1"/>
  <c r="Q64" i="1"/>
  <c r="H71" i="1"/>
  <c r="M98" i="1"/>
  <c r="U130" i="1"/>
  <c r="J61" i="1"/>
  <c r="L139" i="1"/>
  <c r="K99" i="1"/>
  <c r="L170" i="1"/>
  <c r="P75" i="1"/>
  <c r="S14" i="1"/>
  <c r="T92" i="1"/>
  <c r="K98" i="1"/>
  <c r="M34" i="1"/>
  <c r="P78" i="1"/>
  <c r="L53" i="1"/>
  <c r="U156" i="1"/>
  <c r="Q51" i="1"/>
  <c r="K119" i="1"/>
  <c r="K116" i="1"/>
  <c r="K58" i="1"/>
  <c r="L79" i="1"/>
  <c r="T79" i="1"/>
  <c r="T76" i="1"/>
  <c r="L129" i="1"/>
  <c r="J77" i="1"/>
  <c r="J92" i="1"/>
  <c r="J94" i="1"/>
  <c r="R34" i="1"/>
  <c r="U37" i="1"/>
  <c r="J70" i="1"/>
  <c r="T111" i="1"/>
  <c r="P50" i="1"/>
  <c r="T73" i="1"/>
  <c r="J159" i="1"/>
  <c r="L151" i="1"/>
  <c r="H109" i="1"/>
  <c r="H23" i="1"/>
  <c r="H94" i="1"/>
  <c r="L29" i="1"/>
  <c r="T118" i="1"/>
  <c r="S22" i="1"/>
  <c r="U117" i="1"/>
  <c r="M117" i="1"/>
  <c r="Q75" i="1"/>
  <c r="L9" i="1"/>
  <c r="J86" i="1"/>
  <c r="S185" i="1"/>
  <c r="R61" i="1"/>
  <c r="U125" i="1"/>
  <c r="K106" i="1"/>
  <c r="R78" i="1"/>
  <c r="M124" i="1"/>
  <c r="M165" i="1"/>
  <c r="J111" i="1"/>
  <c r="R152" i="1"/>
  <c r="T33" i="1"/>
  <c r="H15" i="1"/>
  <c r="J53" i="1"/>
  <c r="T94" i="1"/>
  <c r="S70" i="1"/>
  <c r="H37" i="1"/>
  <c r="U115" i="1"/>
  <c r="Q49" i="1"/>
  <c r="I124" i="1"/>
  <c r="K18" i="1"/>
  <c r="M147" i="1"/>
  <c r="U59" i="1"/>
  <c r="L108" i="1"/>
  <c r="S72" i="1"/>
  <c r="M32" i="1"/>
  <c r="U179" i="1"/>
  <c r="M143" i="1"/>
  <c r="L130" i="1"/>
  <c r="U92" i="1"/>
  <c r="R22" i="1"/>
  <c r="K49" i="1"/>
  <c r="T88" i="1"/>
  <c r="K170" i="1"/>
  <c r="J154" i="1"/>
  <c r="K25" i="1"/>
  <c r="I5" i="1"/>
  <c r="S118" i="1"/>
  <c r="H127" i="1"/>
  <c r="U25" i="1"/>
  <c r="K27" i="1"/>
  <c r="U58" i="1"/>
  <c r="J188" i="1"/>
  <c r="M145" i="1"/>
  <c r="T91" i="1"/>
  <c r="H105" i="1"/>
  <c r="R72" i="1"/>
  <c r="U4" i="1"/>
  <c r="J189" i="1"/>
  <c r="R37" i="1"/>
  <c r="H5" i="1"/>
  <c r="J98" i="1"/>
  <c r="I95" i="1"/>
  <c r="S9" i="1"/>
  <c r="T37" i="1"/>
  <c r="J37" i="1"/>
  <c r="T31" i="1"/>
  <c r="S29" i="1"/>
  <c r="T62" i="1"/>
  <c r="J175" i="1"/>
  <c r="J105" i="1"/>
  <c r="K89" i="1"/>
  <c r="M23" i="1"/>
  <c r="P46" i="1"/>
  <c r="U71" i="1"/>
  <c r="J7" i="1"/>
  <c r="Q77" i="1"/>
  <c r="R45" i="1"/>
  <c r="L95" i="1"/>
  <c r="K62" i="1"/>
  <c r="P16" i="1"/>
  <c r="H103" i="1"/>
  <c r="K38" i="1"/>
  <c r="T122" i="1"/>
  <c r="R10" i="1"/>
  <c r="S53" i="1"/>
  <c r="L187" i="1"/>
  <c r="K36" i="1"/>
  <c r="M10" i="1"/>
  <c r="L124" i="1"/>
  <c r="L141" i="1"/>
  <c r="R53" i="1"/>
  <c r="M163" i="1"/>
  <c r="T100" i="1"/>
  <c r="T157" i="1"/>
  <c r="T121" i="1"/>
  <c r="I25" i="1"/>
  <c r="M35" i="1"/>
  <c r="L166" i="1"/>
  <c r="H58" i="1"/>
  <c r="M61" i="1"/>
  <c r="M161" i="1"/>
  <c r="H36" i="1"/>
  <c r="T110" i="1"/>
  <c r="T115" i="1"/>
  <c r="R51" i="1"/>
  <c r="L91" i="1"/>
  <c r="R15" i="1"/>
  <c r="P27" i="1"/>
  <c r="M95" i="1"/>
  <c r="M79" i="1"/>
  <c r="T97" i="1"/>
  <c r="R19" i="1"/>
  <c r="U102" i="1"/>
  <c r="I59" i="1"/>
  <c r="J27" i="1"/>
  <c r="M100" i="1"/>
  <c r="T45" i="1"/>
  <c r="S31" i="1"/>
  <c r="I49" i="1"/>
  <c r="M156" i="1"/>
  <c r="L175" i="1"/>
  <c r="M189" i="1"/>
  <c r="J176" i="1"/>
  <c r="P56" i="1"/>
  <c r="L126" i="1"/>
  <c r="K56" i="1"/>
  <c r="H121" i="1"/>
  <c r="R57" i="1"/>
  <c r="R50" i="1"/>
  <c r="K97" i="1"/>
  <c r="J123" i="1"/>
  <c r="J142" i="1"/>
  <c r="J79" i="1"/>
  <c r="H48" i="1"/>
  <c r="J109" i="1"/>
  <c r="M112" i="1"/>
  <c r="J30" i="1"/>
  <c r="T10" i="1"/>
  <c r="M139" i="1"/>
  <c r="L113" i="1"/>
  <c r="K92" i="1"/>
  <c r="Q60" i="1"/>
  <c r="I126" i="1"/>
  <c r="M24" i="1"/>
  <c r="R31" i="1"/>
  <c r="P189" i="1"/>
  <c r="H4" i="1"/>
  <c r="R70" i="1"/>
  <c r="P71" i="1"/>
  <c r="Q11" i="1"/>
  <c r="R48" i="1"/>
  <c r="I6" i="1"/>
  <c r="L72" i="1"/>
  <c r="T18" i="1"/>
  <c r="J13" i="1"/>
  <c r="L73" i="1"/>
  <c r="J106" i="1"/>
  <c r="U72" i="1"/>
  <c r="K177" i="1"/>
  <c r="S23" i="1"/>
  <c r="K128" i="1"/>
  <c r="J32" i="1"/>
  <c r="L153" i="1"/>
  <c r="J15" i="1"/>
  <c r="L96" i="1"/>
  <c r="J56" i="1"/>
  <c r="S15" i="1"/>
  <c r="J71" i="1"/>
  <c r="R32" i="1"/>
  <c r="J62" i="1"/>
  <c r="P29" i="1"/>
  <c r="S46" i="1"/>
  <c r="M120" i="1"/>
  <c r="S78" i="1"/>
  <c r="M177" i="1"/>
  <c r="U15" i="1"/>
  <c r="T46" i="1"/>
  <c r="U85" i="1"/>
  <c r="H59" i="1"/>
  <c r="K9" i="1"/>
  <c r="L142" i="1"/>
  <c r="S48" i="1"/>
  <c r="L125" i="1"/>
  <c r="J47" i="1"/>
  <c r="I21" i="1"/>
  <c r="H33" i="1"/>
  <c r="U105" i="1"/>
  <c r="T61" i="1"/>
  <c r="H52" i="1"/>
  <c r="T24" i="1"/>
  <c r="L32" i="1"/>
  <c r="S27" i="1"/>
  <c r="T13" i="1"/>
  <c r="M18" i="1"/>
  <c r="K180" i="1"/>
  <c r="T117" i="1"/>
  <c r="Q72" i="1"/>
  <c r="J99" i="1"/>
  <c r="T127" i="1"/>
  <c r="J11" i="1"/>
  <c r="S59" i="1"/>
  <c r="K21" i="1"/>
  <c r="L189" i="1"/>
  <c r="I72" i="1"/>
  <c r="S57" i="1"/>
  <c r="J118" i="1"/>
  <c r="U155" i="1"/>
  <c r="Q74" i="1"/>
  <c r="U23" i="1"/>
  <c r="P9" i="1"/>
  <c r="I91" i="1"/>
  <c r="S5" i="1"/>
  <c r="K101" i="1"/>
  <c r="L183" i="1"/>
  <c r="L74" i="1"/>
  <c r="H102" i="1"/>
  <c r="R79" i="1"/>
  <c r="J107" i="1"/>
  <c r="I122" i="1"/>
  <c r="T113" i="1"/>
  <c r="U10" i="1"/>
  <c r="S34" i="1"/>
  <c r="K187" i="1"/>
  <c r="L30" i="1"/>
  <c r="J31" i="1"/>
  <c r="U62" i="1"/>
  <c r="M102" i="1"/>
  <c r="Q56" i="1"/>
  <c r="L34" i="1"/>
  <c r="U145" i="1"/>
  <c r="M9" i="1"/>
  <c r="Q12" i="1"/>
  <c r="U45" i="1"/>
  <c r="J21" i="1"/>
  <c r="L20" i="1"/>
  <c r="M104" i="1"/>
  <c r="U27" i="1"/>
  <c r="M26" i="1"/>
  <c r="S6" i="1"/>
  <c r="K4" i="1"/>
  <c r="U104" i="1"/>
  <c r="L90" i="1"/>
  <c r="J18" i="1"/>
  <c r="I14" i="1"/>
  <c r="I24" i="1"/>
  <c r="M15" i="1"/>
  <c r="S50" i="1"/>
  <c r="S76" i="1"/>
  <c r="I105" i="1"/>
  <c r="H73" i="1"/>
  <c r="R28" i="1"/>
  <c r="U11" i="1"/>
  <c r="I129" i="1"/>
  <c r="K182" i="1"/>
  <c r="L157" i="1"/>
  <c r="U159" i="1"/>
  <c r="L6" i="1"/>
  <c r="R11" i="1"/>
  <c r="U98" i="1"/>
  <c r="R60" i="1"/>
  <c r="I12" i="1"/>
  <c r="H99" i="1"/>
  <c r="Q63" i="1"/>
  <c r="L33" i="1"/>
  <c r="L50" i="1"/>
  <c r="J150" i="1"/>
  <c r="L76" i="1"/>
  <c r="J36" i="1"/>
  <c r="U22" i="1"/>
  <c r="K188" i="1"/>
  <c r="K124" i="1"/>
  <c r="T8" i="1"/>
  <c r="H51" i="1"/>
  <c r="I31" i="1"/>
  <c r="M146" i="1"/>
  <c r="M37" i="1"/>
  <c r="I77" i="1"/>
  <c r="U88" i="1"/>
  <c r="J110" i="1"/>
  <c r="Q13" i="1"/>
  <c r="M122" i="1"/>
  <c r="H88" i="1"/>
  <c r="J52" i="1"/>
  <c r="H90" i="1"/>
  <c r="M94" i="1"/>
  <c r="H126" i="1"/>
  <c r="U146" i="1"/>
  <c r="T20" i="1"/>
  <c r="U127" i="1"/>
  <c r="T85" i="1"/>
  <c r="M89" i="1"/>
  <c r="S24" i="1"/>
  <c r="H10" i="1"/>
  <c r="Q20" i="1"/>
  <c r="S49" i="1"/>
  <c r="U60" i="1"/>
  <c r="K63" i="1"/>
  <c r="I33" i="1"/>
  <c r="H49" i="1"/>
  <c r="L144" i="1"/>
  <c r="U119" i="1"/>
  <c r="L161" i="1"/>
  <c r="M28" i="1"/>
  <c r="K51" i="1"/>
  <c r="M29" i="1"/>
  <c r="T90" i="1"/>
  <c r="M185" i="1"/>
  <c r="L127" i="1"/>
  <c r="L123" i="1"/>
  <c r="L57" i="1"/>
  <c r="P79" i="1"/>
  <c r="R171" i="1"/>
  <c r="I62" i="1"/>
  <c r="Q38" i="1"/>
  <c r="P15" i="1"/>
  <c r="I64" i="1"/>
  <c r="J24" i="1"/>
  <c r="J23" i="1"/>
  <c r="U150" i="1"/>
  <c r="P19" i="1"/>
  <c r="H35" i="1"/>
  <c r="H38" i="1"/>
  <c r="M180" i="1"/>
  <c r="S7" i="1"/>
  <c r="K75" i="1"/>
  <c r="I20" i="1"/>
  <c r="I19" i="1"/>
  <c r="M92" i="1"/>
  <c r="I128" i="1"/>
  <c r="J48" i="1"/>
  <c r="H91" i="1"/>
  <c r="Q31" i="1"/>
  <c r="I46" i="1"/>
  <c r="J12" i="1"/>
  <c r="K26" i="1"/>
  <c r="R21" i="1"/>
  <c r="H96" i="1"/>
  <c r="J174" i="1"/>
  <c r="J114" i="1"/>
  <c r="L106" i="1"/>
  <c r="T123" i="1"/>
  <c r="P7" i="1"/>
  <c r="J151" i="1"/>
  <c r="P59" i="1"/>
  <c r="H12" i="1"/>
  <c r="T29" i="1"/>
  <c r="K71" i="1"/>
  <c r="J156" i="1"/>
  <c r="T63" i="1"/>
  <c r="Q59" i="1"/>
  <c r="S73" i="1"/>
  <c r="I130" i="1"/>
  <c r="T64" i="1"/>
  <c r="J160" i="1"/>
  <c r="K77" i="1"/>
  <c r="T51" i="1"/>
  <c r="I109" i="1"/>
  <c r="H74" i="1"/>
  <c r="S19" i="1"/>
  <c r="P57" i="1"/>
  <c r="U20" i="1"/>
  <c r="M16" i="1"/>
  <c r="J73" i="1"/>
  <c r="T70" i="1"/>
  <c r="M47" i="1"/>
  <c r="H104" i="1"/>
  <c r="H8" i="1"/>
  <c r="P61" i="1"/>
  <c r="K112" i="1"/>
  <c r="U19" i="1"/>
  <c r="I106" i="1"/>
  <c r="K72" i="1"/>
  <c r="H46" i="1"/>
  <c r="J100" i="1"/>
  <c r="I85" i="1"/>
  <c r="I50" i="1"/>
  <c r="U47" i="1"/>
  <c r="T124" i="1"/>
  <c r="Q17" i="1"/>
  <c r="R7" i="1"/>
  <c r="H98" i="1"/>
  <c r="H111" i="1"/>
  <c r="I115" i="1"/>
  <c r="S71" i="1"/>
  <c r="R58" i="1"/>
  <c r="K185" i="1"/>
  <c r="U51" i="1"/>
  <c r="J104" i="1"/>
  <c r="T53" i="1"/>
  <c r="H75" i="1"/>
  <c r="I113" i="1"/>
  <c r="H112" i="1"/>
  <c r="K115" i="1"/>
  <c r="M162" i="1"/>
  <c r="M14" i="1"/>
  <c r="U148" i="1"/>
  <c r="M157" i="1"/>
  <c r="I51" i="1"/>
  <c r="J96" i="1"/>
  <c r="S12" i="1"/>
  <c r="M77" i="1"/>
  <c r="M150" i="1"/>
  <c r="L147" i="1"/>
  <c r="L158" i="1"/>
  <c r="Q78" i="1"/>
  <c r="M33" i="1"/>
  <c r="L71" i="1"/>
  <c r="P76" i="1"/>
  <c r="H113" i="1"/>
  <c r="L31" i="1"/>
  <c r="U35" i="1"/>
  <c r="H61" i="1"/>
  <c r="T93" i="1"/>
  <c r="J117" i="1"/>
  <c r="P12" i="1"/>
  <c r="I22" i="1"/>
  <c r="I74" i="1"/>
  <c r="P24" i="1"/>
  <c r="L116" i="1"/>
  <c r="U29" i="1"/>
  <c r="M168" i="1"/>
  <c r="K90" i="1"/>
  <c r="L97" i="1"/>
  <c r="H18" i="1"/>
  <c r="P72" i="1"/>
  <c r="M58" i="1"/>
  <c r="M110" i="1"/>
  <c r="L168" i="1"/>
  <c r="J91" i="1"/>
  <c r="H19" i="1"/>
  <c r="Q50" i="1"/>
  <c r="P52" i="1"/>
  <c r="M56" i="1"/>
  <c r="L93" i="1"/>
  <c r="U89" i="1"/>
  <c r="J78" i="1"/>
  <c r="K88" i="1"/>
  <c r="L176" i="1"/>
  <c r="M76" i="1"/>
  <c r="P73" i="1"/>
  <c r="L56" i="1"/>
  <c r="U31" i="1"/>
  <c r="K87" i="1"/>
  <c r="M99" i="1"/>
  <c r="U5" i="1"/>
  <c r="P30" i="1"/>
  <c r="K178" i="1"/>
  <c r="S77" i="1"/>
  <c r="U77" i="1"/>
  <c r="L10" i="1"/>
  <c r="Q45" i="1"/>
  <c r="J157" i="1"/>
  <c r="P14" i="1"/>
  <c r="J127" i="1"/>
  <c r="R36" i="1"/>
  <c r="U70" i="1"/>
  <c r="S25" i="1"/>
  <c r="H123" i="1"/>
  <c r="U7" i="1"/>
  <c r="J49" i="1"/>
  <c r="U56" i="1"/>
  <c r="Q145" i="1"/>
  <c r="K114" i="1"/>
  <c r="P51" i="1"/>
  <c r="U26" i="1"/>
  <c r="S32" i="1"/>
  <c r="M88" i="1"/>
  <c r="R35" i="1"/>
  <c r="I47" i="1"/>
  <c r="P28" i="1"/>
  <c r="M182" i="1"/>
  <c r="J130" i="1"/>
  <c r="H85" i="1"/>
  <c r="U78" i="1"/>
  <c r="Q16" i="1"/>
  <c r="T50" i="1"/>
  <c r="K35" i="1"/>
  <c r="U158" i="1"/>
  <c r="H31" i="1"/>
  <c r="Q70" i="1"/>
  <c r="S62" i="1"/>
  <c r="L16" i="1"/>
  <c r="U52" i="1"/>
  <c r="P53" i="1"/>
  <c r="S79" i="1"/>
  <c r="U94" i="1"/>
  <c r="T98" i="1"/>
  <c r="P5" i="1"/>
  <c r="U76" i="1"/>
  <c r="M30" i="1"/>
  <c r="T71" i="1"/>
  <c r="H124" i="1"/>
  <c r="U14" i="1"/>
  <c r="K179" i="1"/>
  <c r="U24" i="1"/>
  <c r="K47" i="1"/>
  <c r="M158" i="1"/>
  <c r="S11" i="1"/>
  <c r="L12" i="1"/>
  <c r="H63" i="1"/>
  <c r="Q23" i="1"/>
  <c r="L143" i="1"/>
  <c r="L102" i="1"/>
  <c r="H95" i="1"/>
  <c r="J170" i="1"/>
  <c r="T125" i="1"/>
  <c r="I97" i="1"/>
  <c r="T74" i="1"/>
  <c r="R158" i="1"/>
  <c r="S18" i="1"/>
  <c r="P33" i="1"/>
  <c r="R16" i="1"/>
  <c r="U101" i="1"/>
  <c r="U38" i="1"/>
  <c r="R151" i="1"/>
  <c r="H108" i="1"/>
  <c r="Q79" i="1"/>
  <c r="L99" i="1"/>
  <c r="R23" i="1"/>
  <c r="S51" i="1"/>
  <c r="H87" i="1"/>
  <c r="R12" i="1"/>
  <c r="M86" i="1"/>
  <c r="M13" i="1"/>
  <c r="J51" i="1"/>
  <c r="M90" i="1"/>
  <c r="L63" i="1"/>
  <c r="H17" i="1"/>
  <c r="M19" i="1"/>
  <c r="L89" i="1"/>
  <c r="U30" i="1"/>
  <c r="S61" i="1"/>
  <c r="U48" i="1"/>
  <c r="T48" i="1"/>
  <c r="T21" i="1"/>
  <c r="T59" i="1"/>
  <c r="P49" i="1"/>
  <c r="J129" i="1"/>
  <c r="L155" i="1"/>
  <c r="I56" i="1"/>
  <c r="J10" i="1"/>
  <c r="Q26" i="1"/>
  <c r="J87" i="1"/>
  <c r="R6" i="1"/>
  <c r="P63" i="1"/>
  <c r="J103" i="1"/>
  <c r="L59" i="1"/>
  <c r="Q61" i="1"/>
  <c r="H30" i="1"/>
  <c r="R27" i="1"/>
  <c r="M21" i="1"/>
  <c r="I10" i="1"/>
  <c r="P25" i="1"/>
  <c r="L26" i="1"/>
  <c r="M50" i="1"/>
  <c r="J115" i="1"/>
  <c r="T35" i="1"/>
  <c r="L164" i="1"/>
  <c r="I123" i="1"/>
  <c r="U64" i="1"/>
  <c r="L140" i="1"/>
  <c r="K46" i="1"/>
  <c r="S26" i="1"/>
  <c r="P31" i="1"/>
  <c r="M11" i="1"/>
  <c r="J29" i="1"/>
  <c r="M8" i="1"/>
  <c r="K31" i="1"/>
  <c r="T108" i="1"/>
  <c r="U17" i="1"/>
  <c r="M46" i="1"/>
  <c r="H93" i="1"/>
  <c r="J46" i="1"/>
  <c r="P32" i="1"/>
  <c r="R33" i="1"/>
  <c r="K129" i="1"/>
  <c r="U90" i="1"/>
  <c r="Q6" i="1"/>
  <c r="P34" i="1"/>
  <c r="U75" i="1"/>
  <c r="M27" i="1"/>
  <c r="I60" i="1"/>
  <c r="K181" i="1"/>
  <c r="T34" i="1"/>
  <c r="L117" i="1"/>
  <c r="L119" i="1"/>
  <c r="S36" i="1"/>
  <c r="M25" i="1"/>
  <c r="R18" i="1"/>
  <c r="I7" i="1"/>
  <c r="S8" i="1"/>
  <c r="H13" i="1"/>
  <c r="L92" i="1"/>
  <c r="T77" i="1"/>
  <c r="Q15" i="1"/>
  <c r="J126" i="1"/>
  <c r="T28" i="1"/>
  <c r="R25" i="1"/>
  <c r="M93" i="1"/>
  <c r="L188" i="1"/>
  <c r="M142" i="1"/>
  <c r="K52" i="1"/>
  <c r="J172" i="1"/>
  <c r="U95" i="1"/>
  <c r="K48" i="1"/>
  <c r="H53" i="1"/>
  <c r="L85" i="1"/>
  <c r="H89" i="1"/>
  <c r="S20" i="1"/>
  <c r="P36" i="1"/>
  <c r="J153" i="1"/>
  <c r="I48" i="1"/>
  <c r="K7" i="1"/>
  <c r="L94" i="1"/>
  <c r="I88" i="1"/>
  <c r="M187" i="1"/>
  <c r="M17" i="1"/>
  <c r="M36" i="1"/>
  <c r="Q28" i="1"/>
  <c r="J45" i="1"/>
  <c r="L46" i="1"/>
  <c r="T47" i="1"/>
  <c r="L45" i="1"/>
  <c r="Q58" i="1"/>
  <c r="U9" i="1"/>
  <c r="I116" i="1"/>
  <c r="Q158" i="1"/>
  <c r="P17" i="1"/>
  <c r="L88" i="1"/>
  <c r="I120" i="1"/>
  <c r="Q35" i="1"/>
  <c r="T6" i="1"/>
  <c r="P47" i="1"/>
  <c r="M59" i="1"/>
  <c r="T112" i="1"/>
  <c r="H79" i="1"/>
  <c r="M60" i="1"/>
  <c r="P22" i="1"/>
  <c r="T103" i="1"/>
  <c r="M52" i="1"/>
  <c r="H29" i="1"/>
  <c r="R47" i="1"/>
  <c r="L87" i="1"/>
  <c r="J89" i="1"/>
  <c r="J101" i="1"/>
  <c r="K57" i="1"/>
  <c r="L120" i="1"/>
  <c r="I37" i="1"/>
  <c r="M91" i="1"/>
  <c r="I58" i="1"/>
  <c r="H32" i="1"/>
  <c r="M96" i="1"/>
  <c r="Q21" i="1"/>
  <c r="T78" i="1"/>
  <c r="U16" i="1"/>
  <c r="Q62" i="1"/>
  <c r="L115" i="1"/>
  <c r="L101" i="1"/>
  <c r="U100" i="1"/>
  <c r="T129" i="1"/>
  <c r="M87" i="1"/>
  <c r="H7" i="1"/>
  <c r="P26" i="1"/>
  <c r="M97" i="1"/>
  <c r="K24" i="1"/>
  <c r="P77" i="1"/>
  <c r="M166" i="1"/>
  <c r="L11" i="1"/>
  <c r="K6" i="1"/>
  <c r="S74" i="1"/>
  <c r="K79" i="1"/>
  <c r="L25" i="1"/>
  <c r="L111" i="1"/>
  <c r="K50" i="1"/>
  <c r="J5" i="1"/>
  <c r="J102" i="1"/>
  <c r="J63" i="1"/>
  <c r="M12" i="1"/>
  <c r="P38" i="1"/>
  <c r="S56" i="1"/>
  <c r="U49" i="1"/>
  <c r="M4" i="1"/>
  <c r="K186" i="1"/>
  <c r="S17" i="1"/>
  <c r="S37" i="1"/>
  <c r="S60" i="1"/>
  <c r="P6" i="1"/>
  <c r="P62" i="1"/>
  <c r="M6" i="1"/>
  <c r="Q140" i="1"/>
  <c r="S35" i="1"/>
  <c r="L103" i="1"/>
  <c r="L152" i="1"/>
  <c r="J112" i="1"/>
  <c r="T23" i="1"/>
  <c r="H122" i="1"/>
  <c r="M45" i="1"/>
  <c r="I71" i="1"/>
  <c r="H120" i="1"/>
  <c r="H57" i="1"/>
  <c r="J88" i="1"/>
  <c r="P8" i="1"/>
  <c r="L24" i="1"/>
  <c r="R170" i="1"/>
  <c r="R56" i="1"/>
  <c r="L107" i="1"/>
  <c r="U73" i="1"/>
  <c r="K45" i="1"/>
  <c r="I118" i="1"/>
  <c r="P45" i="1"/>
  <c r="R14" i="1"/>
  <c r="U33" i="1"/>
  <c r="H16" i="1"/>
  <c r="M49" i="1"/>
  <c r="M116" i="1"/>
  <c r="U34" i="1"/>
  <c r="R157" i="1"/>
  <c r="M5" i="1"/>
  <c r="U13" i="1"/>
  <c r="K171" i="1"/>
  <c r="M125" i="1"/>
  <c r="K183" i="1"/>
  <c r="U36" i="1"/>
  <c r="H77" i="1"/>
  <c r="H125" i="1"/>
  <c r="T87" i="1"/>
  <c r="J85" i="1"/>
  <c r="J93" i="1"/>
  <c r="K17" i="1"/>
  <c r="T49" i="1"/>
  <c r="T11" i="1"/>
  <c r="K175" i="1"/>
  <c r="U153" i="1"/>
  <c r="H86" i="1"/>
  <c r="P13" i="1"/>
  <c r="L100" i="1"/>
  <c r="I4" i="1"/>
  <c r="S97" i="1"/>
  <c r="K8" i="1"/>
  <c r="I125" i="1"/>
  <c r="O115" i="2"/>
  <c r="C22" i="2"/>
  <c r="S171" i="2"/>
  <c r="V179" i="2"/>
  <c r="Q110" i="2"/>
  <c r="J112" i="2"/>
  <c r="T168" i="2"/>
  <c r="G109" i="2"/>
  <c r="E21" i="2"/>
  <c r="T68" i="2"/>
  <c r="E71" i="2"/>
  <c r="L121" i="2"/>
  <c r="J97" i="2"/>
  <c r="V114" i="2"/>
  <c r="U27" i="2"/>
  <c r="U47" i="2"/>
  <c r="R121" i="2"/>
  <c r="P185" i="2"/>
  <c r="U90" i="2"/>
  <c r="L88" i="2"/>
  <c r="W64" i="2"/>
  <c r="H21" i="2"/>
  <c r="V152" i="2"/>
  <c r="M18" i="2"/>
  <c r="P119" i="2"/>
  <c r="B127" i="2"/>
  <c r="E174" i="2"/>
  <c r="V188" i="2"/>
  <c r="U99" i="2"/>
  <c r="T57" i="2"/>
  <c r="J113" i="2"/>
  <c r="B109" i="2"/>
  <c r="Q169" i="2"/>
  <c r="V95" i="2"/>
  <c r="K177" i="2"/>
  <c r="W71" i="2"/>
  <c r="M130" i="2"/>
  <c r="C73" i="2"/>
  <c r="I94" i="2"/>
  <c r="F91" i="2"/>
  <c r="U164" i="2"/>
  <c r="S77" i="2"/>
  <c r="W129" i="2"/>
  <c r="V167" i="2"/>
  <c r="C120" i="2"/>
  <c r="I29" i="2"/>
  <c r="Q14" i="2"/>
  <c r="H31" i="2"/>
  <c r="W68" i="2"/>
  <c r="C177" i="2"/>
  <c r="C76" i="2"/>
  <c r="L38" i="2"/>
  <c r="D99" i="2"/>
  <c r="S39" i="2"/>
  <c r="U177" i="2"/>
  <c r="V14" i="2"/>
  <c r="U102" i="2"/>
  <c r="B92" i="2"/>
  <c r="V184" i="2"/>
  <c r="B27" i="2"/>
  <c r="P72" i="2"/>
  <c r="L107" i="2"/>
  <c r="N11" i="2"/>
  <c r="M181" i="2"/>
  <c r="J19" i="2"/>
  <c r="Q68" i="2"/>
  <c r="V110" i="2"/>
  <c r="W151" i="2"/>
  <c r="W59" i="2"/>
  <c r="Q117" i="2"/>
  <c r="S163" i="2"/>
  <c r="O104" i="2"/>
  <c r="H123" i="2"/>
  <c r="G122" i="2"/>
  <c r="O92" i="2"/>
  <c r="C90" i="2"/>
  <c r="E187" i="2"/>
  <c r="L110" i="2"/>
  <c r="W104" i="2"/>
  <c r="U167" i="2"/>
  <c r="J131" i="2"/>
  <c r="P13" i="2"/>
  <c r="X62" i="2"/>
  <c r="U105" i="2"/>
  <c r="S68" i="2"/>
  <c r="H113" i="2"/>
  <c r="I9" i="2"/>
  <c r="H19" i="2"/>
  <c r="W100" i="2"/>
  <c r="D130" i="2"/>
  <c r="W21" i="2"/>
  <c r="T75" i="2"/>
  <c r="N172" i="2"/>
  <c r="X166" i="2"/>
  <c r="T12" i="2"/>
  <c r="G172" i="2"/>
  <c r="F31" i="2"/>
  <c r="H98" i="2"/>
  <c r="I74" i="2"/>
  <c r="M174" i="2"/>
  <c r="G97" i="2"/>
  <c r="V93" i="2"/>
  <c r="J180" i="2"/>
  <c r="H92" i="2"/>
  <c r="O25" i="2"/>
  <c r="P123" i="2"/>
  <c r="L101" i="2"/>
  <c r="S190" i="2"/>
  <c r="K164" i="2"/>
  <c r="S89" i="2"/>
  <c r="U17" i="2"/>
  <c r="B183" i="2"/>
  <c r="Q6" i="2"/>
  <c r="M109" i="2"/>
  <c r="F74" i="2"/>
  <c r="P30" i="2"/>
  <c r="V28" i="2"/>
  <c r="G70" i="2"/>
  <c r="V176" i="2"/>
  <c r="K26" i="2"/>
  <c r="F169" i="2"/>
  <c r="W75" i="2"/>
  <c r="B13" i="2"/>
  <c r="J67" i="2"/>
  <c r="J35" i="2"/>
  <c r="P164" i="2"/>
  <c r="M173" i="2"/>
  <c r="L75" i="2"/>
  <c r="K118" i="2"/>
  <c r="J116" i="2"/>
  <c r="V74" i="2"/>
  <c r="P130" i="2"/>
  <c r="M38" i="2"/>
  <c r="I77" i="2"/>
  <c r="P166" i="2"/>
  <c r="U147" i="2"/>
  <c r="I89" i="2"/>
  <c r="I36" i="2"/>
  <c r="F30" i="2"/>
  <c r="V70" i="2"/>
  <c r="W113" i="2"/>
  <c r="O101" i="2"/>
  <c r="I78" i="2"/>
  <c r="O79" i="2"/>
  <c r="P174" i="2"/>
  <c r="S117" i="2"/>
  <c r="I126" i="2"/>
  <c r="X29" i="2"/>
  <c r="T24" i="2"/>
  <c r="N181" i="2"/>
  <c r="S128" i="2"/>
  <c r="O159" i="2"/>
  <c r="N187" i="2"/>
  <c r="X125" i="2"/>
  <c r="B90" i="2"/>
  <c r="X87" i="2"/>
  <c r="J164" i="2"/>
  <c r="J70" i="2"/>
  <c r="V32" i="2"/>
  <c r="J120" i="2"/>
  <c r="D31" i="2"/>
  <c r="O29" i="2"/>
  <c r="F80" i="2"/>
  <c r="R14" i="2"/>
  <c r="L31" i="2"/>
  <c r="H23" i="2"/>
  <c r="V161" i="2"/>
  <c r="Q69" i="2"/>
  <c r="W19" i="2"/>
  <c r="T169" i="2"/>
  <c r="Q79" i="2"/>
  <c r="V117" i="2"/>
  <c r="I122" i="2"/>
  <c r="V22" i="2"/>
  <c r="S15" i="2"/>
  <c r="V61" i="2"/>
  <c r="D24" i="2"/>
  <c r="K169" i="2"/>
  <c r="F105" i="2"/>
  <c r="P7" i="2"/>
  <c r="F15" i="2"/>
  <c r="M30" i="2"/>
  <c r="M69" i="2"/>
  <c r="F167" i="2"/>
  <c r="D169" i="2"/>
  <c r="X150" i="2"/>
  <c r="L177" i="2"/>
  <c r="G11" i="2"/>
  <c r="U119" i="2"/>
  <c r="I114" i="2"/>
  <c r="N68" i="2"/>
  <c r="J160" i="2"/>
  <c r="T121" i="2"/>
  <c r="G26" i="2"/>
  <c r="W169" i="2"/>
  <c r="X95" i="2"/>
  <c r="O175" i="2"/>
  <c r="Q11" i="2"/>
  <c r="V101" i="2"/>
  <c r="I182" i="2"/>
  <c r="T182" i="2"/>
  <c r="H104" i="2"/>
  <c r="H169" i="2"/>
  <c r="U39" i="2"/>
  <c r="B181" i="2"/>
  <c r="U67" i="2"/>
  <c r="Q114" i="2"/>
  <c r="O122" i="2"/>
  <c r="K174" i="2"/>
  <c r="H187" i="2"/>
  <c r="J111" i="2"/>
  <c r="O18" i="2"/>
  <c r="M111" i="2"/>
  <c r="B167" i="2"/>
  <c r="R79" i="2"/>
  <c r="O113" i="2"/>
  <c r="B112" i="2"/>
  <c r="N175" i="2"/>
  <c r="U60" i="2"/>
  <c r="M118" i="2"/>
  <c r="F180" i="2"/>
  <c r="U91" i="2"/>
  <c r="B31" i="2"/>
  <c r="M12" i="2"/>
  <c r="F187" i="2"/>
  <c r="E164" i="2"/>
  <c r="K17" i="2"/>
  <c r="R162" i="2"/>
  <c r="B162" i="2"/>
  <c r="R20" i="2"/>
  <c r="I25" i="2"/>
  <c r="X30" i="2"/>
  <c r="H166" i="2"/>
  <c r="B114" i="2"/>
  <c r="F104" i="2"/>
  <c r="W167" i="2"/>
  <c r="B35" i="2"/>
  <c r="C102" i="2"/>
  <c r="N100" i="2"/>
  <c r="W15" i="2"/>
  <c r="J14" i="2"/>
  <c r="L70" i="2"/>
  <c r="M184" i="2"/>
  <c r="M71" i="2"/>
  <c r="B125" i="2"/>
  <c r="N13" i="2"/>
  <c r="W172" i="2"/>
  <c r="J93" i="2"/>
  <c r="E37" i="2"/>
  <c r="S110" i="2"/>
  <c r="T104" i="2"/>
  <c r="I14" i="2"/>
  <c r="M163" i="2"/>
  <c r="K70" i="2"/>
  <c r="V124" i="2"/>
  <c r="B123" i="2"/>
  <c r="V99" i="2"/>
  <c r="U186" i="2"/>
  <c r="H110" i="2"/>
  <c r="U94" i="2"/>
  <c r="W39" i="2"/>
  <c r="D108" i="2"/>
  <c r="D26" i="2"/>
  <c r="I24" i="2"/>
  <c r="N167" i="2"/>
  <c r="M19" i="2"/>
  <c r="B165" i="2"/>
  <c r="Q9" i="2"/>
  <c r="J106" i="2"/>
  <c r="H116" i="2"/>
  <c r="V47" i="2"/>
  <c r="X32" i="2"/>
  <c r="U109" i="2"/>
  <c r="Q103" i="2"/>
  <c r="N127" i="2"/>
  <c r="L164" i="2"/>
  <c r="T153" i="2"/>
  <c r="E23" i="2"/>
  <c r="M120" i="2"/>
  <c r="X128" i="2"/>
  <c r="G16" i="2"/>
  <c r="O127" i="2"/>
  <c r="Q22" i="2"/>
  <c r="K30" i="2"/>
  <c r="M170" i="2"/>
  <c r="X104" i="2"/>
  <c r="F28" i="2"/>
  <c r="F6" i="2"/>
  <c r="V106" i="2"/>
  <c r="X89" i="2"/>
  <c r="V177" i="2"/>
  <c r="P31" i="2"/>
  <c r="Q13" i="2"/>
  <c r="J26" i="2"/>
  <c r="X101" i="2"/>
  <c r="Q94" i="2"/>
  <c r="C115" i="2"/>
  <c r="J102" i="2"/>
  <c r="X152" i="2"/>
  <c r="R128" i="2"/>
  <c r="L11" i="2"/>
  <c r="I76" i="2"/>
  <c r="M39" i="2"/>
  <c r="P97" i="2"/>
  <c r="W106" i="2"/>
  <c r="I67" i="2"/>
  <c r="H182" i="2"/>
  <c r="U188" i="2"/>
  <c r="U12" i="2"/>
  <c r="W139" i="2"/>
  <c r="W112" i="2"/>
  <c r="H102" i="2"/>
  <c r="L73" i="2"/>
  <c r="J92" i="2"/>
  <c r="V8" i="2"/>
  <c r="O108" i="2"/>
  <c r="F10" i="2"/>
  <c r="K79" i="2"/>
  <c r="R98" i="2"/>
  <c r="S108" i="2"/>
  <c r="V37" i="2"/>
  <c r="N178" i="2"/>
  <c r="I174" i="2"/>
  <c r="W38" i="2"/>
  <c r="O80" i="2"/>
  <c r="F7" i="2"/>
  <c r="F36" i="2"/>
  <c r="H90" i="2"/>
  <c r="M165" i="2"/>
  <c r="N29" i="2"/>
  <c r="C180" i="2"/>
  <c r="V77" i="2"/>
  <c r="T94" i="2"/>
  <c r="M97" i="2"/>
  <c r="D73" i="2"/>
  <c r="M125" i="2"/>
  <c r="N21" i="2"/>
  <c r="E109" i="2"/>
  <c r="U189" i="2"/>
  <c r="K116" i="2"/>
  <c r="N115" i="2"/>
  <c r="M100" i="2"/>
  <c r="E112" i="2"/>
  <c r="B117" i="2"/>
  <c r="P99" i="2"/>
  <c r="S27" i="2"/>
  <c r="R100" i="2"/>
  <c r="L21" i="2"/>
  <c r="U187" i="2"/>
  <c r="N80" i="2"/>
  <c r="M114" i="2"/>
  <c r="I93" i="2"/>
  <c r="C100" i="2"/>
  <c r="D186" i="2"/>
  <c r="W176" i="2"/>
  <c r="Q119" i="2"/>
  <c r="U162" i="2"/>
  <c r="T123" i="2"/>
  <c r="J16" i="2"/>
  <c r="L167" i="2"/>
  <c r="O177" i="2"/>
  <c r="P68" i="2"/>
  <c r="X80" i="2"/>
  <c r="M31" i="2"/>
  <c r="W48" i="2"/>
  <c r="G188" i="2"/>
  <c r="S29" i="2"/>
  <c r="I167" i="2"/>
  <c r="Q35" i="2"/>
  <c r="C131" i="2"/>
  <c r="N164" i="2"/>
  <c r="L130" i="2"/>
  <c r="V86" i="2"/>
  <c r="E186" i="2"/>
  <c r="M166" i="2"/>
  <c r="V100" i="2"/>
  <c r="C161" i="2"/>
  <c r="L106" i="2"/>
  <c r="E98" i="2"/>
  <c r="J128" i="2"/>
  <c r="E78" i="2"/>
  <c r="J172" i="2"/>
  <c r="C179" i="2"/>
  <c r="G95" i="2"/>
  <c r="J190" i="2"/>
  <c r="E126" i="2"/>
  <c r="T49" i="2"/>
  <c r="D80" i="2"/>
  <c r="C104" i="2"/>
  <c r="F174" i="2"/>
  <c r="T25" i="2"/>
  <c r="I7" i="2"/>
  <c r="V151" i="2"/>
  <c r="C101" i="2"/>
  <c r="U139" i="2"/>
  <c r="R95" i="2"/>
  <c r="Q80" i="2"/>
  <c r="U14" i="2"/>
  <c r="I70" i="2"/>
  <c r="T105" i="2"/>
  <c r="T103" i="2"/>
  <c r="X138" i="2"/>
  <c r="T184" i="2"/>
  <c r="O90" i="2"/>
  <c r="H69" i="2"/>
  <c r="K111" i="2"/>
  <c r="K71" i="2"/>
  <c r="S114" i="2"/>
  <c r="T150" i="2"/>
  <c r="O72" i="2"/>
  <c r="C184" i="2"/>
  <c r="V65" i="2"/>
  <c r="M127" i="2"/>
  <c r="C31" i="2"/>
  <c r="U157" i="2"/>
  <c r="N25" i="2"/>
  <c r="L32" i="2"/>
  <c r="E29" i="2"/>
  <c r="H89" i="2"/>
  <c r="S111" i="2"/>
  <c r="T14" i="2"/>
  <c r="U110" i="2"/>
  <c r="D173" i="2"/>
  <c r="T157" i="2"/>
  <c r="L80" i="2"/>
  <c r="P35" i="2"/>
  <c r="G164" i="2"/>
  <c r="X90" i="2"/>
  <c r="E32" i="2"/>
  <c r="L128" i="2"/>
  <c r="F173" i="2"/>
  <c r="N93" i="2"/>
  <c r="S185" i="2"/>
  <c r="C119" i="2"/>
  <c r="U33" i="2"/>
  <c r="B18" i="2"/>
  <c r="X17" i="2"/>
  <c r="M7" i="2"/>
  <c r="I15" i="2"/>
  <c r="K68" i="2"/>
  <c r="E99" i="2"/>
  <c r="W174" i="2"/>
  <c r="K159" i="2"/>
  <c r="M92" i="2"/>
  <c r="W109" i="2"/>
  <c r="N117" i="2"/>
  <c r="Q188" i="2"/>
  <c r="K163" i="2"/>
  <c r="S93" i="2"/>
  <c r="P165" i="2"/>
  <c r="J30" i="2"/>
  <c r="E115" i="2"/>
  <c r="W61" i="2"/>
  <c r="M33" i="2"/>
  <c r="G98" i="2"/>
  <c r="F118" i="2"/>
  <c r="E74" i="2"/>
  <c r="T106" i="2"/>
  <c r="F33" i="2"/>
  <c r="N94" i="2"/>
  <c r="P77" i="2"/>
  <c r="V118" i="2"/>
  <c r="B15" i="2"/>
  <c r="V59" i="2"/>
  <c r="H71" i="2"/>
  <c r="D28" i="2"/>
  <c r="P187" i="2"/>
  <c r="R126" i="2"/>
  <c r="L26" i="2"/>
  <c r="P181" i="2"/>
  <c r="J25" i="2"/>
  <c r="K120" i="2"/>
  <c r="V64" i="2"/>
  <c r="S112" i="2"/>
  <c r="G126" i="2"/>
  <c r="I169" i="2"/>
  <c r="U87" i="2"/>
  <c r="X63" i="2"/>
  <c r="I73" i="2"/>
  <c r="K10" i="2"/>
  <c r="W70" i="2"/>
  <c r="B119" i="2"/>
  <c r="N37" i="2"/>
  <c r="B169" i="2"/>
  <c r="R8" i="2"/>
  <c r="G161" i="2"/>
  <c r="H188" i="2"/>
  <c r="P161" i="2"/>
  <c r="R180" i="2"/>
  <c r="Q179" i="2"/>
  <c r="X110" i="2"/>
  <c r="N101" i="2"/>
  <c r="V79" i="2"/>
  <c r="G74" i="2"/>
  <c r="J168" i="2"/>
  <c r="G25" i="2"/>
  <c r="X96" i="2"/>
  <c r="T111" i="2"/>
  <c r="O15" i="2"/>
  <c r="O176" i="2"/>
  <c r="B113" i="2"/>
  <c r="K80" i="2"/>
  <c r="E111" i="2"/>
  <c r="V97" i="2"/>
  <c r="V73" i="2"/>
  <c r="V18" i="2"/>
  <c r="E125" i="2"/>
  <c r="F94" i="2"/>
  <c r="V138" i="2"/>
  <c r="J96" i="2"/>
  <c r="L98" i="2"/>
  <c r="R70" i="2"/>
  <c r="U79" i="2"/>
  <c r="Q120" i="2"/>
  <c r="O166" i="2"/>
  <c r="D127" i="2"/>
  <c r="M180" i="2"/>
  <c r="F69" i="2"/>
  <c r="C181" i="2"/>
  <c r="Q105" i="2"/>
  <c r="B190" i="2"/>
  <c r="E116" i="2"/>
  <c r="K128" i="2"/>
  <c r="V115" i="2"/>
  <c r="V145" i="2"/>
  <c r="M101" i="2"/>
  <c r="T38" i="2"/>
  <c r="C188" i="2"/>
  <c r="E175" i="2"/>
  <c r="J99" i="2"/>
  <c r="R16" i="2"/>
  <c r="U152" i="2"/>
  <c r="T20" i="2"/>
  <c r="T62" i="2"/>
  <c r="I11" i="2"/>
  <c r="Q104" i="2"/>
  <c r="Q30" i="2"/>
  <c r="B124" i="2"/>
  <c r="T76" i="2"/>
  <c r="V60" i="2"/>
  <c r="F160" i="2"/>
  <c r="S13" i="2"/>
  <c r="G72" i="2"/>
  <c r="N79" i="2"/>
  <c r="O8" i="2"/>
  <c r="X171" i="2"/>
  <c r="K162" i="2"/>
  <c r="W58" i="2"/>
  <c r="D131" i="2"/>
  <c r="X51" i="2"/>
  <c r="V46" i="2"/>
  <c r="N126" i="2"/>
  <c r="G118" i="2"/>
  <c r="L37" i="2"/>
  <c r="C185" i="2"/>
  <c r="F188" i="2"/>
  <c r="P184" i="2"/>
  <c r="S9" i="2"/>
  <c r="I125" i="2"/>
  <c r="U106" i="2"/>
  <c r="G23" i="2"/>
  <c r="O124" i="2"/>
  <c r="Q180" i="2"/>
  <c r="G34" i="2"/>
  <c r="M79" i="2"/>
  <c r="K189" i="2"/>
  <c r="K25" i="2"/>
  <c r="B168" i="2"/>
  <c r="V25" i="2"/>
  <c r="M169" i="2"/>
  <c r="W117" i="2"/>
  <c r="E176" i="2"/>
  <c r="H120" i="2"/>
  <c r="U75" i="2"/>
  <c r="C176" i="2"/>
  <c r="D175" i="2"/>
  <c r="E110" i="2"/>
  <c r="L20" i="2"/>
  <c r="H121" i="2"/>
  <c r="Q166" i="2"/>
  <c r="J101" i="2"/>
  <c r="J126" i="2"/>
  <c r="L6" i="2"/>
  <c r="X20" i="2"/>
  <c r="G18" i="2"/>
  <c r="E35" i="2"/>
  <c r="W12" i="2"/>
  <c r="P179" i="2"/>
  <c r="I164" i="2"/>
  <c r="W114" i="2"/>
  <c r="O109" i="2"/>
  <c r="V94" i="2"/>
  <c r="V140" i="2"/>
  <c r="U98" i="2"/>
  <c r="K39" i="2"/>
  <c r="K131" i="2"/>
  <c r="K12" i="2"/>
  <c r="D174" i="2"/>
  <c r="W33" i="2"/>
  <c r="F101" i="2"/>
  <c r="S159" i="2"/>
  <c r="V169" i="2"/>
  <c r="F39" i="2"/>
  <c r="C172" i="2"/>
  <c r="U37" i="2"/>
  <c r="G88" i="2"/>
  <c r="S22" i="2"/>
  <c r="T167" i="2"/>
  <c r="R165" i="2"/>
  <c r="W159" i="2"/>
  <c r="D171" i="2"/>
  <c r="E128" i="2"/>
  <c r="T100" i="2"/>
  <c r="P176" i="2"/>
  <c r="K175" i="2"/>
  <c r="W102" i="2"/>
  <c r="C28" i="2"/>
  <c r="R76" i="2"/>
  <c r="L126" i="2"/>
  <c r="Q113" i="2"/>
  <c r="P23" i="2"/>
  <c r="X120" i="2"/>
  <c r="J185" i="2"/>
  <c r="J76" i="2"/>
  <c r="B96" i="2"/>
  <c r="S168" i="2"/>
  <c r="G116" i="2"/>
  <c r="K126" i="2"/>
  <c r="F96" i="2"/>
  <c r="T124" i="2"/>
  <c r="L74" i="2"/>
  <c r="V11" i="2"/>
  <c r="B26" i="2"/>
  <c r="T118" i="2"/>
  <c r="Q78" i="2"/>
  <c r="M162" i="2"/>
  <c r="E67" i="2"/>
  <c r="K37" i="2"/>
  <c r="Q175" i="2"/>
  <c r="Q124" i="2"/>
  <c r="U112" i="2"/>
  <c r="M177" i="2"/>
  <c r="T183" i="2"/>
  <c r="V75" i="2"/>
  <c r="G167" i="2"/>
  <c r="H184" i="2"/>
  <c r="C95" i="2"/>
  <c r="B177" i="2"/>
  <c r="S16" i="2"/>
  <c r="D126" i="2"/>
  <c r="H78" i="2"/>
  <c r="W152" i="2"/>
  <c r="D123" i="2"/>
  <c r="F119" i="2"/>
  <c r="D116" i="2"/>
  <c r="M23" i="2"/>
  <c r="I112" i="2"/>
  <c r="V164" i="2"/>
  <c r="G94" i="2"/>
  <c r="C173" i="2"/>
  <c r="V107" i="2"/>
  <c r="F124" i="2"/>
  <c r="G171" i="2"/>
  <c r="L109" i="2"/>
  <c r="U149" i="2"/>
  <c r="S71" i="2"/>
  <c r="K35" i="2"/>
  <c r="W124" i="2"/>
  <c r="G175" i="2"/>
  <c r="X38" i="2"/>
  <c r="C34" i="2"/>
  <c r="F181" i="2"/>
  <c r="W161" i="2"/>
  <c r="X56" i="2"/>
  <c r="N33" i="2"/>
  <c r="E189" i="2"/>
  <c r="X169" i="2"/>
  <c r="V112" i="2"/>
  <c r="O26" i="2"/>
  <c r="W25" i="2"/>
  <c r="H95" i="2"/>
  <c r="O180" i="2"/>
  <c r="P88" i="2"/>
  <c r="G17" i="2"/>
  <c r="X155" i="2"/>
  <c r="W182" i="2"/>
  <c r="H159" i="2"/>
  <c r="V165" i="2"/>
  <c r="R72" i="2"/>
  <c r="W146" i="2"/>
  <c r="W23" i="2"/>
  <c r="D164" i="2"/>
  <c r="R112" i="2"/>
  <c r="W130" i="2"/>
  <c r="P27" i="2"/>
  <c r="R103" i="2"/>
  <c r="O33" i="2"/>
  <c r="F121" i="2"/>
  <c r="W126" i="2"/>
  <c r="J79" i="2"/>
  <c r="N95" i="2"/>
  <c r="O187" i="2"/>
  <c r="G129" i="2"/>
  <c r="S122" i="2"/>
  <c r="S175" i="2"/>
  <c r="S125" i="2"/>
  <c r="B72" i="2"/>
  <c r="F122" i="2"/>
  <c r="V139" i="2"/>
  <c r="G184" i="2"/>
  <c r="J39" i="2"/>
  <c r="K190" i="2"/>
  <c r="U140" i="2"/>
  <c r="J10" i="2"/>
  <c r="E6" i="2"/>
  <c r="K113" i="2"/>
  <c r="T114" i="2"/>
  <c r="E31" i="2"/>
  <c r="B19" i="2"/>
  <c r="T9" i="2"/>
  <c r="M167" i="2"/>
  <c r="J95" i="2"/>
  <c r="G174" i="2"/>
  <c r="S160" i="2"/>
  <c r="V56" i="2"/>
  <c r="D101" i="2"/>
  <c r="M131" i="2"/>
  <c r="V159" i="2"/>
  <c r="O110" i="2"/>
  <c r="L186" i="2"/>
  <c r="S184" i="2"/>
  <c r="L162" i="2"/>
  <c r="B36" i="2"/>
  <c r="P159" i="2"/>
  <c r="L9" i="2"/>
  <c r="M76" i="2"/>
  <c r="F103" i="2"/>
  <c r="T92" i="2"/>
  <c r="G177" i="2"/>
  <c r="C118" i="2"/>
  <c r="K185" i="2"/>
  <c r="U178" i="2"/>
  <c r="N120" i="2"/>
  <c r="O13" i="2"/>
  <c r="V150" i="2"/>
  <c r="X111" i="2"/>
  <c r="G14" i="2"/>
  <c r="I121" i="2"/>
  <c r="J77" i="2"/>
  <c r="G96" i="2"/>
  <c r="T11" i="2"/>
  <c r="V15" i="2"/>
  <c r="L114" i="2"/>
  <c r="F17" i="2"/>
  <c r="C189" i="2"/>
  <c r="G15" i="2"/>
  <c r="J80" i="2"/>
  <c r="Q172" i="2"/>
  <c r="I188" i="2"/>
  <c r="E108" i="2"/>
  <c r="R37" i="2"/>
  <c r="E77" i="2"/>
  <c r="F12" i="2"/>
  <c r="S20" i="2"/>
  <c r="I161" i="2"/>
  <c r="M24" i="2"/>
  <c r="B22" i="2"/>
  <c r="H70" i="2"/>
  <c r="M78" i="2"/>
  <c r="U35" i="2"/>
  <c r="I119" i="2"/>
  <c r="L176" i="2"/>
  <c r="F89" i="2"/>
  <c r="V50" i="2"/>
  <c r="J173" i="2"/>
  <c r="E70" i="2"/>
  <c r="U68" i="2"/>
  <c r="X12" i="2"/>
  <c r="K32" i="2"/>
  <c r="F70" i="2"/>
  <c r="B174" i="2"/>
  <c r="E173" i="2"/>
  <c r="S70" i="2"/>
  <c r="U138" i="2"/>
  <c r="L169" i="2"/>
  <c r="P111" i="2"/>
  <c r="R88" i="2"/>
  <c r="U180" i="2"/>
  <c r="W160" i="2"/>
  <c r="B38" i="2"/>
  <c r="X118" i="2"/>
  <c r="U18" i="2"/>
  <c r="D109" i="2"/>
  <c r="O162" i="2"/>
  <c r="U165" i="2"/>
  <c r="K100" i="2"/>
  <c r="G28" i="2"/>
  <c r="I168" i="2"/>
  <c r="R94" i="2"/>
  <c r="R187" i="2"/>
  <c r="K101" i="2"/>
  <c r="C39" i="2"/>
  <c r="K102" i="2"/>
  <c r="R104" i="2"/>
  <c r="W74" i="2"/>
  <c r="U26" i="2"/>
  <c r="M117" i="2"/>
  <c r="P28" i="2"/>
  <c r="Q189" i="2"/>
  <c r="C7" i="2"/>
  <c r="V55" i="2"/>
  <c r="R93" i="2"/>
  <c r="O178" i="2"/>
  <c r="C69" i="2"/>
  <c r="H29" i="2"/>
  <c r="E118" i="2"/>
  <c r="N182" i="2"/>
  <c r="E94" i="2"/>
  <c r="T8" i="2"/>
  <c r="B25" i="2"/>
  <c r="Q39" i="2"/>
  <c r="Q129" i="2"/>
  <c r="U64" i="2"/>
  <c r="T32" i="2"/>
  <c r="E184" i="2"/>
  <c r="N105" i="2"/>
  <c r="E27" i="2"/>
  <c r="P19" i="2"/>
  <c r="Q89" i="2"/>
  <c r="X179" i="2"/>
  <c r="I186" i="2"/>
  <c r="C67" i="2"/>
  <c r="X114" i="2"/>
  <c r="U55" i="2"/>
  <c r="T47" i="2"/>
  <c r="T146" i="2"/>
  <c r="U36" i="2"/>
  <c r="T90" i="2"/>
  <c r="J159" i="2"/>
  <c r="R27" i="2"/>
  <c r="E75" i="2"/>
  <c r="N76" i="2"/>
  <c r="S36" i="2"/>
  <c r="T185" i="2"/>
  <c r="G166" i="2"/>
  <c r="G189" i="2"/>
  <c r="G100" i="2"/>
  <c r="K184" i="2"/>
  <c r="S75" i="2"/>
  <c r="Q73" i="2"/>
  <c r="L175" i="2"/>
  <c r="M116" i="2"/>
  <c r="H35" i="2"/>
  <c r="N27" i="2"/>
  <c r="D106" i="2"/>
  <c r="V69" i="2"/>
  <c r="N130" i="2"/>
  <c r="G180" i="2"/>
  <c r="N9" i="2"/>
  <c r="R115" i="2"/>
  <c r="S24" i="2"/>
  <c r="O21" i="2"/>
  <c r="V62" i="2"/>
  <c r="L187" i="2"/>
  <c r="V156" i="2"/>
  <c r="X146" i="2"/>
  <c r="Q77" i="2"/>
  <c r="E166" i="2"/>
  <c r="N70" i="2"/>
  <c r="U25" i="2"/>
  <c r="D30" i="2"/>
  <c r="Q98" i="2"/>
  <c r="K125" i="2"/>
  <c r="G27" i="2"/>
  <c r="X177" i="2"/>
  <c r="W18" i="2"/>
  <c r="G179" i="2"/>
  <c r="V189" i="2"/>
  <c r="U179" i="2"/>
  <c r="W131" i="2"/>
  <c r="G128" i="2"/>
  <c r="H67" i="2"/>
  <c r="W108" i="2"/>
  <c r="N185" i="2"/>
  <c r="R33" i="2"/>
  <c r="J98" i="2"/>
  <c r="W89" i="2"/>
  <c r="D160" i="2"/>
  <c r="X162" i="2"/>
  <c r="K93" i="2"/>
  <c r="U166" i="2"/>
  <c r="G71" i="2"/>
  <c r="H80" i="2"/>
  <c r="L168" i="2"/>
  <c r="C79" i="2"/>
  <c r="P8" i="2"/>
  <c r="R107" i="2"/>
  <c r="D128" i="2"/>
  <c r="N118" i="2"/>
  <c r="I123" i="2"/>
  <c r="T172" i="2"/>
  <c r="E16" i="2"/>
  <c r="B73" i="2"/>
  <c r="H105" i="2"/>
  <c r="F179" i="2"/>
  <c r="N91" i="2"/>
  <c r="I128" i="2"/>
  <c r="O97" i="2"/>
  <c r="W107" i="2"/>
  <c r="S179" i="2"/>
  <c r="N122" i="2"/>
  <c r="G76" i="2"/>
  <c r="N7" i="2"/>
  <c r="T28" i="2"/>
  <c r="D183" i="2"/>
  <c r="J121" i="2"/>
  <c r="Q176" i="2"/>
  <c r="S10" i="2"/>
  <c r="Q15" i="2"/>
  <c r="U57" i="2"/>
  <c r="P32" i="2"/>
  <c r="S73" i="2"/>
  <c r="F165" i="2"/>
  <c r="S6" i="2"/>
  <c r="J78" i="2"/>
  <c r="K11" i="2"/>
  <c r="X54" i="2"/>
  <c r="C170" i="2"/>
  <c r="D103" i="2"/>
  <c r="P36" i="2"/>
  <c r="N16" i="2"/>
  <c r="V33" i="2"/>
  <c r="D181" i="2"/>
  <c r="L125" i="2"/>
  <c r="V88" i="2"/>
  <c r="R188" i="2"/>
  <c r="P74" i="2"/>
  <c r="O32" i="2"/>
  <c r="F102" i="2"/>
  <c r="E76" i="2"/>
  <c r="D36" i="2"/>
  <c r="Q174" i="2"/>
  <c r="E106" i="2"/>
  <c r="O36" i="2"/>
  <c r="I115" i="2"/>
  <c r="L171" i="2"/>
  <c r="O78" i="2"/>
  <c r="R31" i="2"/>
  <c r="U23" i="2"/>
  <c r="K106" i="2"/>
  <c r="E119" i="2"/>
  <c r="T72" i="2"/>
  <c r="V31" i="2"/>
  <c r="W29" i="2"/>
  <c r="L180" i="2"/>
  <c r="F159" i="2"/>
  <c r="F37" i="2"/>
  <c r="C96" i="2"/>
  <c r="O34" i="2"/>
  <c r="H75" i="2"/>
  <c r="J36" i="2"/>
  <c r="R69" i="2"/>
  <c r="T117" i="2"/>
  <c r="C36" i="2"/>
  <c r="X23" i="2"/>
  <c r="J169" i="2"/>
  <c r="R11" i="2"/>
  <c r="C77" i="2"/>
  <c r="G29" i="2"/>
  <c r="O91" i="2"/>
  <c r="H176" i="2"/>
  <c r="L104" i="2"/>
  <c r="M121" i="2"/>
  <c r="H168" i="2"/>
  <c r="P127" i="2"/>
  <c r="E18" i="2"/>
  <c r="V168" i="2"/>
  <c r="I71" i="2"/>
  <c r="P124" i="2"/>
  <c r="B160" i="2"/>
  <c r="W154" i="2"/>
  <c r="C75" i="2"/>
  <c r="S21" i="2"/>
  <c r="O129" i="2"/>
  <c r="K73" i="2"/>
  <c r="J171" i="2"/>
  <c r="X53" i="2"/>
  <c r="H125" i="2"/>
  <c r="P12" i="2"/>
  <c r="U144" i="2"/>
  <c r="D21" i="2"/>
  <c r="W184" i="2"/>
  <c r="R38" i="2"/>
  <c r="Q25" i="2"/>
  <c r="D14" i="2"/>
  <c r="H178" i="2"/>
  <c r="F127" i="2"/>
  <c r="L97" i="2"/>
  <c r="O103" i="2"/>
  <c r="F88" i="2"/>
  <c r="M93" i="2"/>
  <c r="M37" i="2"/>
  <c r="E103" i="2"/>
  <c r="N125" i="2"/>
  <c r="P26" i="2"/>
  <c r="E181" i="2"/>
  <c r="C23" i="2"/>
  <c r="W183" i="2"/>
  <c r="Q184" i="2"/>
  <c r="C16" i="2"/>
  <c r="K122" i="2"/>
  <c r="M182" i="2"/>
  <c r="W14" i="2"/>
  <c r="T13" i="2"/>
  <c r="L181" i="2"/>
  <c r="N161" i="2"/>
  <c r="S33" i="2"/>
  <c r="R161" i="2"/>
  <c r="J18" i="2"/>
  <c r="E180" i="2"/>
  <c r="P39" i="2"/>
  <c r="F71" i="2"/>
  <c r="B75" i="2"/>
  <c r="D118" i="2"/>
  <c r="S19" i="2"/>
  <c r="F19" i="2"/>
  <c r="Q71" i="2"/>
  <c r="H24" i="2"/>
  <c r="W54" i="2"/>
  <c r="V48" i="2"/>
  <c r="D107" i="2"/>
  <c r="S17" i="2"/>
  <c r="L12" i="2"/>
  <c r="F189" i="2"/>
  <c r="D18" i="2"/>
  <c r="I6" i="2"/>
  <c r="P110" i="2"/>
  <c r="M98" i="2"/>
  <c r="F163" i="2"/>
  <c r="M129" i="2"/>
  <c r="T160" i="2"/>
  <c r="I90" i="2"/>
  <c r="P108" i="2"/>
  <c r="K24" i="2"/>
  <c r="V141" i="2"/>
  <c r="X50" i="2"/>
  <c r="X186" i="2"/>
  <c r="X106" i="2"/>
  <c r="W96" i="2"/>
  <c r="U155" i="2"/>
  <c r="H7" i="2"/>
  <c r="W65" i="2"/>
  <c r="V90" i="2"/>
  <c r="N96" i="2"/>
  <c r="M104" i="2"/>
  <c r="S106" i="2"/>
  <c r="F20" i="2"/>
  <c r="V54" i="2"/>
  <c r="K168" i="2"/>
  <c r="S8" i="2"/>
  <c r="X129" i="2"/>
  <c r="K179" i="2"/>
  <c r="T175" i="2"/>
  <c r="T112" i="2"/>
  <c r="K23" i="2"/>
  <c r="F98" i="2"/>
  <c r="B178" i="2"/>
  <c r="D93" i="2"/>
  <c r="C18" i="2"/>
  <c r="X173" i="2"/>
  <c r="X67" i="2"/>
  <c r="R108" i="2"/>
  <c r="O12" i="2"/>
  <c r="N24" i="2"/>
  <c r="K27" i="2"/>
  <c r="T155" i="2"/>
  <c r="V89" i="2"/>
  <c r="C20" i="2"/>
  <c r="S103" i="2"/>
  <c r="O128" i="2"/>
  <c r="C171" i="2"/>
  <c r="N31" i="2"/>
  <c r="H14" i="2"/>
  <c r="E131" i="2"/>
  <c r="O6" i="2"/>
  <c r="C6" i="2"/>
  <c r="C126" i="2"/>
  <c r="B89" i="2"/>
  <c r="H174" i="2"/>
  <c r="H170" i="2"/>
  <c r="P76" i="2"/>
  <c r="T5" i="2"/>
  <c r="I183" i="2"/>
  <c r="R181" i="2"/>
  <c r="L15" i="2"/>
  <c r="B8" i="2"/>
  <c r="B67" i="2"/>
  <c r="D112" i="2"/>
  <c r="M67" i="2"/>
  <c r="X139" i="2"/>
  <c r="L117" i="2"/>
  <c r="M91" i="2"/>
  <c r="O93" i="2"/>
  <c r="G77" i="2"/>
  <c r="O74" i="2"/>
  <c r="R173" i="2"/>
  <c r="W164" i="2"/>
  <c r="S126" i="2"/>
  <c r="F9" i="2"/>
  <c r="J17" i="2"/>
  <c r="Q185" i="2"/>
  <c r="O118" i="2"/>
  <c r="U65" i="2"/>
  <c r="I118" i="2"/>
  <c r="H74" i="2"/>
  <c r="T140" i="2"/>
  <c r="S28" i="2"/>
  <c r="B115" i="2"/>
  <c r="V160" i="2"/>
  <c r="I34" i="2"/>
  <c r="R110" i="2"/>
  <c r="K74" i="2"/>
  <c r="H8" i="2"/>
  <c r="H130" i="2"/>
  <c r="X141" i="2"/>
  <c r="V125" i="2"/>
  <c r="G30" i="2"/>
  <c r="P92" i="2"/>
  <c r="R163" i="2"/>
  <c r="G190" i="2"/>
  <c r="K178" i="2"/>
  <c r="J162" i="2"/>
  <c r="M35" i="2"/>
  <c r="K36" i="2"/>
  <c r="V129" i="2"/>
  <c r="I19" i="2"/>
  <c r="T74" i="2"/>
  <c r="T154" i="2"/>
  <c r="B105" i="2"/>
  <c r="W168" i="2"/>
  <c r="D76" i="2"/>
  <c r="H177" i="2"/>
  <c r="K187" i="2"/>
  <c r="R130" i="2"/>
  <c r="M16" i="2"/>
  <c r="D120" i="2"/>
  <c r="X182" i="2"/>
  <c r="G24" i="2"/>
  <c r="Q95" i="2"/>
  <c r="I79" i="2"/>
  <c r="S91" i="2"/>
  <c r="S38" i="2"/>
  <c r="W181" i="2"/>
  <c r="W171" i="2"/>
  <c r="X46" i="2"/>
  <c r="D38" i="2"/>
  <c r="I107" i="2"/>
  <c r="D100" i="2"/>
  <c r="R29" i="2"/>
  <c r="I187" i="2"/>
  <c r="T179" i="2"/>
  <c r="L118" i="2"/>
  <c r="I159" i="2"/>
  <c r="W101" i="2"/>
  <c r="V21" i="2"/>
  <c r="P90" i="2"/>
  <c r="X151" i="2"/>
  <c r="J71" i="2"/>
  <c r="X183" i="2"/>
  <c r="W7" i="2"/>
  <c r="D188" i="2"/>
  <c r="I23" i="2"/>
  <c r="M28" i="2"/>
  <c r="N108" i="2"/>
  <c r="P129" i="2"/>
  <c r="P113" i="2"/>
  <c r="G92" i="2"/>
  <c r="G73" i="2"/>
  <c r="F113" i="2"/>
  <c r="B106" i="2"/>
  <c r="W8" i="2"/>
  <c r="P69" i="2"/>
  <c r="L90" i="2"/>
  <c r="J107" i="2"/>
  <c r="B126" i="2"/>
  <c r="G121" i="2"/>
  <c r="G124" i="2"/>
  <c r="Q88" i="2"/>
  <c r="N186" i="2"/>
  <c r="X14" i="2"/>
  <c r="C123" i="2"/>
  <c r="D185" i="2"/>
  <c r="S164" i="2"/>
  <c r="R177" i="2"/>
  <c r="V9" i="2"/>
  <c r="N20" i="2"/>
  <c r="S178" i="2"/>
  <c r="F90" i="2"/>
  <c r="D117" i="2"/>
  <c r="T89" i="2"/>
  <c r="B7" i="2"/>
  <c r="I104" i="2"/>
  <c r="U130" i="2"/>
  <c r="J186" i="2"/>
  <c r="X112" i="2"/>
  <c r="N72" i="2"/>
  <c r="P34" i="2"/>
  <c r="M102" i="2"/>
  <c r="S11" i="2"/>
  <c r="U190" i="2"/>
  <c r="P70" i="2"/>
  <c r="O172" i="2"/>
  <c r="L71" i="2"/>
  <c r="G181" i="2"/>
  <c r="B120" i="2"/>
  <c r="G130" i="2"/>
  <c r="X76" i="2"/>
  <c r="K119" i="2"/>
  <c r="V10" i="2"/>
  <c r="J122" i="2"/>
  <c r="H101" i="2"/>
  <c r="G170" i="2"/>
  <c r="D19" i="2"/>
  <c r="W120" i="2"/>
  <c r="L72" i="2"/>
  <c r="V122" i="2"/>
  <c r="K186" i="2"/>
  <c r="R23" i="2"/>
  <c r="L16" i="2"/>
  <c r="H118" i="2"/>
  <c r="W162" i="2"/>
  <c r="W153" i="2"/>
  <c r="U56" i="2"/>
  <c r="S119" i="2"/>
  <c r="R32" i="2"/>
  <c r="S26" i="2"/>
  <c r="M27" i="2"/>
  <c r="H103" i="2"/>
  <c r="R170" i="2"/>
  <c r="N90" i="2"/>
  <c r="U93" i="2"/>
  <c r="X188" i="2"/>
  <c r="F18" i="2"/>
  <c r="U53" i="2"/>
  <c r="T39" i="2"/>
  <c r="R6" i="2"/>
  <c r="F166" i="2"/>
  <c r="L19" i="2"/>
  <c r="T174" i="2"/>
  <c r="Q27" i="2"/>
  <c r="V162" i="2"/>
  <c r="Q187" i="2"/>
  <c r="J6" i="2"/>
  <c r="C92" i="2"/>
  <c r="I117" i="2"/>
  <c r="J187" i="2"/>
  <c r="T79" i="2"/>
  <c r="O116" i="2"/>
  <c r="U121" i="2"/>
  <c r="X37" i="2"/>
  <c r="J125" i="2"/>
  <c r="U31" i="2"/>
  <c r="F185" i="2"/>
  <c r="O96" i="2"/>
  <c r="V12" i="2"/>
  <c r="M89" i="2"/>
  <c r="M36" i="2"/>
  <c r="O94" i="2"/>
  <c r="Q167" i="2"/>
  <c r="W186" i="2"/>
  <c r="J129" i="2"/>
  <c r="N75" i="2"/>
  <c r="B166" i="2"/>
  <c r="B91" i="2"/>
  <c r="W10" i="2"/>
  <c r="X174" i="2"/>
  <c r="R131" i="2"/>
  <c r="W46" i="2"/>
  <c r="S188" i="2"/>
  <c r="K38" i="2"/>
  <c r="X6" i="2"/>
  <c r="C128" i="2"/>
  <c r="J165" i="2"/>
  <c r="E127" i="2"/>
  <c r="E177" i="2"/>
  <c r="E114" i="2"/>
  <c r="T73" i="2"/>
  <c r="D189" i="2"/>
  <c r="E13" i="2"/>
  <c r="P107" i="2"/>
  <c r="I33" i="2"/>
  <c r="N113" i="2"/>
  <c r="L183" i="2"/>
  <c r="M8" i="2"/>
  <c r="C109" i="2"/>
  <c r="F38" i="2"/>
  <c r="V123" i="2"/>
  <c r="B28" i="2"/>
  <c r="D114" i="2"/>
  <c r="X148" i="2"/>
  <c r="L190" i="2"/>
  <c r="U153" i="2"/>
  <c r="H165" i="2"/>
  <c r="H126" i="2"/>
  <c r="F106" i="2"/>
  <c r="J9" i="2"/>
  <c r="R125" i="2"/>
  <c r="H119" i="2"/>
  <c r="F131" i="2"/>
  <c r="M96" i="2"/>
  <c r="U126" i="2"/>
  <c r="S177" i="2"/>
  <c r="C106" i="2"/>
  <c r="Q160" i="2"/>
  <c r="T152" i="2"/>
  <c r="V39" i="2"/>
  <c r="X159" i="2"/>
  <c r="D29" i="2"/>
  <c r="V146" i="2"/>
  <c r="V87" i="2"/>
  <c r="L119" i="2"/>
  <c r="P189" i="2"/>
  <c r="K9" i="2"/>
  <c r="H6" i="2"/>
  <c r="T80" i="2"/>
  <c r="D187" i="2"/>
  <c r="X165" i="2"/>
  <c r="B131" i="2"/>
  <c r="D122" i="2"/>
  <c r="I31" i="2"/>
  <c r="P180" i="2"/>
  <c r="N71" i="2"/>
  <c r="C124" i="2"/>
  <c r="J109" i="2"/>
  <c r="F111" i="2"/>
  <c r="J174" i="2"/>
  <c r="C117" i="2"/>
  <c r="V185" i="2"/>
  <c r="H108" i="2"/>
  <c r="X153" i="2"/>
  <c r="E107" i="2"/>
  <c r="F93" i="2"/>
  <c r="C13" i="2"/>
  <c r="O38" i="2"/>
  <c r="F32" i="2"/>
  <c r="E15" i="2"/>
  <c r="M175" i="2"/>
  <c r="Q159" i="2"/>
  <c r="W47" i="2"/>
  <c r="J94" i="2"/>
  <c r="N160" i="2"/>
  <c r="U78" i="2"/>
  <c r="K173" i="2"/>
  <c r="T87" i="2"/>
  <c r="C11" i="2"/>
  <c r="K76" i="2"/>
  <c r="R167" i="2"/>
  <c r="V119" i="2"/>
  <c r="T29" i="2"/>
  <c r="N92" i="2"/>
  <c r="K117" i="2"/>
  <c r="X47" i="2"/>
  <c r="K28" i="2"/>
  <c r="B173" i="2"/>
  <c r="U8" i="2"/>
  <c r="H131" i="2"/>
  <c r="O11" i="2"/>
  <c r="G69" i="2"/>
  <c r="C21" i="2"/>
  <c r="L95" i="2"/>
  <c r="I166" i="2"/>
  <c r="R119" i="2"/>
  <c r="Q29" i="2"/>
  <c r="W123" i="2"/>
  <c r="B78" i="2"/>
  <c r="I28" i="2"/>
  <c r="Q36" i="2"/>
  <c r="C130" i="2"/>
  <c r="V36" i="2"/>
  <c r="C10" i="2"/>
  <c r="R111" i="2"/>
  <c r="W49" i="2"/>
  <c r="N165" i="2"/>
  <c r="K182" i="2"/>
  <c r="G80" i="2"/>
  <c r="G13" i="2"/>
  <c r="J176" i="2"/>
  <c r="T149" i="2"/>
  <c r="P17" i="2"/>
  <c r="W122" i="2"/>
  <c r="R39" i="2"/>
  <c r="N12" i="2"/>
  <c r="R105" i="2"/>
  <c r="J170" i="2"/>
  <c r="B130" i="2"/>
  <c r="O126" i="2"/>
  <c r="D102" i="2"/>
  <c r="X57" i="2"/>
  <c r="L34" i="2"/>
  <c r="I95" i="2"/>
  <c r="S105" i="2"/>
  <c r="L18" i="2"/>
  <c r="U19" i="2"/>
  <c r="L68" i="2"/>
  <c r="N102" i="2"/>
  <c r="J91" i="2"/>
  <c r="M188" i="2"/>
  <c r="N128" i="2"/>
  <c r="O181" i="2"/>
  <c r="N22" i="2"/>
  <c r="U48" i="2"/>
  <c r="D17" i="2"/>
  <c r="U171" i="2"/>
  <c r="C29" i="2"/>
  <c r="H28" i="2"/>
  <c r="R185" i="2"/>
  <c r="T139" i="2"/>
  <c r="H91" i="2"/>
  <c r="N18" i="2"/>
  <c r="P167" i="2"/>
  <c r="X103" i="2"/>
  <c r="B29" i="2"/>
  <c r="F177" i="2"/>
  <c r="B184" i="2"/>
  <c r="M68" i="2"/>
  <c r="M99" i="2"/>
  <c r="E69" i="2"/>
  <c r="G67" i="2"/>
  <c r="E80" i="2"/>
  <c r="I39" i="2"/>
  <c r="V154" i="2"/>
  <c r="J7" i="2"/>
  <c r="M72" i="2"/>
  <c r="K96" i="2"/>
  <c r="R179" i="2"/>
  <c r="I103" i="2"/>
  <c r="B116" i="2"/>
  <c r="T145" i="2"/>
  <c r="L14" i="2"/>
  <c r="S107" i="2"/>
  <c r="J124" i="2"/>
  <c r="T64" i="2"/>
  <c r="X7" i="2"/>
  <c r="X157" i="2"/>
  <c r="H122" i="2"/>
  <c r="I12" i="2"/>
  <c r="X185" i="2"/>
  <c r="K129" i="2"/>
  <c r="U128" i="2"/>
  <c r="X92" i="2"/>
  <c r="P106" i="2"/>
  <c r="C37" i="2"/>
  <c r="X160" i="2"/>
  <c r="U174" i="2"/>
  <c r="V174" i="2"/>
  <c r="L161" i="2"/>
  <c r="W99" i="2"/>
  <c r="U104" i="2"/>
  <c r="P21" i="2"/>
  <c r="R89" i="2"/>
  <c r="Q16" i="2"/>
  <c r="U11" i="2"/>
  <c r="U107" i="2"/>
  <c r="C74" i="2"/>
  <c r="L23" i="2"/>
  <c r="Q18" i="2"/>
  <c r="U145" i="2"/>
  <c r="D7" i="2"/>
  <c r="B97" i="2"/>
  <c r="V166" i="2"/>
  <c r="D89" i="2"/>
  <c r="K78" i="2"/>
  <c r="R18" i="2"/>
  <c r="G115" i="2"/>
  <c r="S69" i="2"/>
  <c r="H162" i="2"/>
  <c r="H30" i="2"/>
  <c r="Q190" i="2"/>
  <c r="W60" i="2"/>
  <c r="T50" i="2"/>
  <c r="E20" i="2"/>
  <c r="I35" i="2"/>
  <c r="X123" i="2"/>
  <c r="X143" i="2"/>
  <c r="Q102" i="2"/>
  <c r="P89" i="2"/>
  <c r="X33" i="2"/>
  <c r="R35" i="2"/>
  <c r="X144" i="2"/>
  <c r="L127" i="2"/>
  <c r="I162" i="2"/>
  <c r="B80" i="2"/>
  <c r="F120" i="2"/>
  <c r="W158" i="2"/>
  <c r="U70" i="2"/>
  <c r="E68" i="2"/>
  <c r="T97" i="2"/>
  <c r="I80" i="2"/>
  <c r="I17" i="2"/>
  <c r="K103" i="2"/>
  <c r="G107" i="2"/>
  <c r="C112" i="2"/>
  <c r="T115" i="2"/>
  <c r="U101" i="2"/>
  <c r="K29" i="2"/>
  <c r="U71" i="2"/>
  <c r="N35" i="2"/>
  <c r="V24" i="2"/>
  <c r="N14" i="2"/>
  <c r="U169" i="2"/>
  <c r="V175" i="2"/>
  <c r="X77" i="2"/>
  <c r="U173" i="2"/>
  <c r="L103" i="2"/>
  <c r="B20" i="2"/>
  <c r="O170" i="2"/>
  <c r="W128" i="2"/>
  <c r="B188" i="2"/>
  <c r="Q26" i="2"/>
  <c r="X124" i="2"/>
  <c r="F164" i="2"/>
  <c r="U159" i="2"/>
  <c r="C162" i="2"/>
  <c r="R122" i="2"/>
  <c r="N73" i="2"/>
  <c r="J130" i="2"/>
  <c r="T147" i="2"/>
  <c r="U15" i="2"/>
  <c r="J115" i="2"/>
  <c r="T159" i="2"/>
  <c r="G183" i="2"/>
  <c r="Q70" i="2"/>
  <c r="E26" i="2"/>
  <c r="W28" i="2"/>
  <c r="R15" i="2"/>
  <c r="Q75" i="2"/>
  <c r="X58" i="2"/>
  <c r="G110" i="2"/>
  <c r="T6" i="2"/>
  <c r="W116" i="2"/>
  <c r="X52" i="2"/>
  <c r="U182" i="2"/>
  <c r="W31" i="2"/>
  <c r="B23" i="2"/>
  <c r="S76" i="2"/>
  <c r="N116" i="2"/>
  <c r="K16" i="2"/>
  <c r="X88" i="2"/>
  <c r="D165" i="2"/>
  <c r="K115" i="2"/>
  <c r="H179" i="2"/>
  <c r="F168" i="2"/>
  <c r="J74" i="2"/>
  <c r="D94" i="2"/>
  <c r="Q183" i="2"/>
  <c r="R22" i="2"/>
  <c r="L113" i="2"/>
  <c r="P168" i="2"/>
  <c r="P114" i="2"/>
  <c r="T128" i="2"/>
  <c r="D15" i="2"/>
  <c r="P102" i="2"/>
  <c r="F92" i="2"/>
  <c r="R129" i="2"/>
  <c r="D25" i="2"/>
  <c r="X158" i="2"/>
  <c r="N124" i="2"/>
  <c r="S95" i="2"/>
  <c r="T122" i="2"/>
  <c r="Q8" i="2"/>
  <c r="U58" i="2"/>
  <c r="F182" i="2"/>
  <c r="X49" i="2"/>
  <c r="I181" i="2"/>
  <c r="T53" i="2"/>
  <c r="M6" i="2"/>
  <c r="O77" i="2"/>
  <c r="L94" i="2"/>
  <c r="T95" i="2"/>
  <c r="I68" i="2"/>
  <c r="U10" i="2"/>
  <c r="B159" i="2"/>
  <c r="B24" i="2"/>
  <c r="U21" i="2"/>
  <c r="G36" i="2"/>
  <c r="B70" i="2"/>
  <c r="L102" i="2"/>
  <c r="T163" i="2"/>
  <c r="E38" i="2"/>
  <c r="J23" i="2"/>
  <c r="Q24" i="2"/>
  <c r="X35" i="2"/>
  <c r="C110" i="2"/>
  <c r="N67" i="2"/>
  <c r="C164" i="2"/>
  <c r="Q21" i="2"/>
  <c r="V34" i="2"/>
  <c r="O119" i="2"/>
  <c r="N103" i="2"/>
  <c r="Q32" i="2"/>
  <c r="K15" i="2"/>
  <c r="J72" i="2"/>
  <c r="P178" i="2"/>
  <c r="N162" i="2"/>
  <c r="N10" i="2"/>
  <c r="T77" i="2"/>
  <c r="H96" i="2"/>
  <c r="F162" i="2"/>
  <c r="X105" i="2"/>
  <c r="W119" i="2"/>
  <c r="W20" i="2"/>
  <c r="V104" i="2"/>
  <c r="T107" i="2"/>
  <c r="K6" i="2"/>
  <c r="J33" i="2"/>
  <c r="J163" i="2"/>
  <c r="X59" i="2"/>
  <c r="B37" i="2"/>
  <c r="H18" i="2"/>
  <c r="X167" i="2"/>
  <c r="W11" i="2"/>
  <c r="C89" i="2"/>
  <c r="M190" i="2"/>
  <c r="T170" i="2"/>
  <c r="X60" i="2"/>
  <c r="D170" i="2"/>
  <c r="S34" i="2"/>
  <c r="T34" i="2"/>
  <c r="X99" i="2"/>
  <c r="R118" i="2"/>
  <c r="E24" i="2"/>
  <c r="S67" i="2"/>
  <c r="L77" i="2"/>
  <c r="V98" i="2"/>
  <c r="E72" i="2"/>
  <c r="F77" i="2"/>
  <c r="H11" i="2"/>
  <c r="C178" i="2"/>
  <c r="W138" i="2"/>
  <c r="H37" i="2"/>
  <c r="R71" i="2"/>
  <c r="U185" i="2"/>
  <c r="I173" i="2"/>
  <c r="K166" i="2"/>
  <c r="F184" i="2"/>
  <c r="C105" i="2"/>
  <c r="U62" i="2"/>
  <c r="H77" i="2"/>
  <c r="L111" i="2"/>
  <c r="X145" i="2"/>
  <c r="R160" i="2"/>
  <c r="L25" i="2"/>
  <c r="O185" i="2"/>
  <c r="S31" i="2"/>
  <c r="G99" i="2"/>
  <c r="M90" i="2"/>
  <c r="V173" i="2"/>
  <c r="J11" i="2"/>
  <c r="N174" i="2"/>
  <c r="O71" i="2"/>
  <c r="R80" i="2"/>
  <c r="G33" i="2"/>
  <c r="R21" i="2"/>
  <c r="T66" i="2"/>
  <c r="O184" i="2"/>
  <c r="M112" i="2"/>
  <c r="I30" i="2"/>
  <c r="S90" i="2"/>
  <c r="K171" i="2"/>
  <c r="S99" i="2"/>
  <c r="L79" i="2"/>
  <c r="W94" i="2"/>
  <c r="U124" i="2"/>
  <c r="L35" i="2"/>
  <c r="K109" i="2"/>
  <c r="B34" i="2"/>
  <c r="O161" i="2"/>
  <c r="Q162" i="2"/>
  <c r="H111" i="2"/>
  <c r="S37" i="2"/>
  <c r="X164" i="2"/>
  <c r="K22" i="2"/>
  <c r="H99" i="2"/>
  <c r="K183" i="2"/>
  <c r="R67" i="2"/>
  <c r="F73" i="2"/>
  <c r="Q19" i="2"/>
  <c r="W170" i="2"/>
  <c r="U74" i="2"/>
  <c r="U95" i="2"/>
  <c r="U156" i="2"/>
  <c r="U108" i="2"/>
  <c r="F116" i="2"/>
  <c r="X39" i="2"/>
  <c r="J175" i="2"/>
  <c r="N6" i="2"/>
  <c r="I176" i="2"/>
  <c r="R17" i="2"/>
  <c r="J161" i="2"/>
  <c r="U9" i="2"/>
  <c r="C94" i="2"/>
  <c r="J166" i="2"/>
  <c r="M74" i="2"/>
  <c r="K165" i="2"/>
  <c r="J8" i="2"/>
  <c r="C38" i="2"/>
  <c r="C160" i="2"/>
  <c r="P98" i="2"/>
  <c r="F97" i="2"/>
  <c r="X100" i="2"/>
  <c r="U172" i="2"/>
  <c r="E11" i="2"/>
  <c r="T61" i="2"/>
  <c r="B118" i="2"/>
  <c r="T69" i="2"/>
  <c r="S169" i="2"/>
  <c r="X178" i="2"/>
  <c r="U59" i="2"/>
  <c r="G19" i="2"/>
  <c r="H164" i="2"/>
  <c r="V126" i="2"/>
  <c r="F24" i="2"/>
  <c r="X116" i="2"/>
  <c r="L29" i="2"/>
  <c r="R184" i="2"/>
  <c r="U158" i="2"/>
  <c r="D125" i="2"/>
  <c r="X115" i="2"/>
  <c r="H189" i="2"/>
  <c r="O190" i="2"/>
  <c r="S18" i="2"/>
  <c r="V121" i="2"/>
  <c r="C107" i="2"/>
  <c r="P94" i="2"/>
  <c r="V183" i="2"/>
  <c r="I98" i="2"/>
  <c r="G103" i="2"/>
  <c r="E105" i="2"/>
  <c r="R26" i="2"/>
  <c r="S113" i="2"/>
  <c r="V92" i="2"/>
  <c r="M29" i="2"/>
  <c r="D75" i="2"/>
  <c r="W173" i="2"/>
  <c r="X34" i="2"/>
  <c r="E178" i="2"/>
  <c r="M14" i="2"/>
  <c r="D88" i="2"/>
  <c r="I190" i="2"/>
  <c r="M103" i="2"/>
  <c r="P100" i="2"/>
  <c r="N88" i="2"/>
  <c r="V178" i="2"/>
  <c r="E25" i="2"/>
  <c r="J123" i="2"/>
  <c r="X140" i="2"/>
  <c r="X73" i="2"/>
  <c r="O130" i="2"/>
  <c r="O174" i="2"/>
  <c r="G9" i="2"/>
  <c r="J127" i="2"/>
  <c r="T21" i="2"/>
  <c r="C26" i="2"/>
  <c r="H32" i="2"/>
  <c r="S165" i="2"/>
  <c r="H13" i="2"/>
  <c r="S186" i="2"/>
  <c r="N177" i="2"/>
  <c r="R171" i="2"/>
  <c r="C33" i="2"/>
  <c r="E92" i="2"/>
  <c r="W163" i="2"/>
  <c r="K114" i="2"/>
  <c r="Q130" i="2"/>
  <c r="R34" i="2"/>
  <c r="O117" i="2"/>
  <c r="P20" i="2"/>
  <c r="S187" i="2"/>
  <c r="R182" i="2"/>
  <c r="M123" i="2"/>
  <c r="H22" i="2"/>
  <c r="T142" i="2"/>
  <c r="Q165" i="2"/>
  <c r="F109" i="2"/>
  <c r="D35" i="2"/>
  <c r="K13" i="2"/>
  <c r="G32" i="2"/>
  <c r="H38" i="2"/>
  <c r="T181" i="2"/>
  <c r="H27" i="2"/>
  <c r="S182" i="2"/>
  <c r="D159" i="2"/>
  <c r="B6" i="2"/>
  <c r="N17" i="2"/>
  <c r="X130" i="2"/>
  <c r="U7" i="2"/>
  <c r="Q100" i="2"/>
  <c r="E167" i="2"/>
  <c r="W72" i="2"/>
  <c r="K104" i="2"/>
  <c r="W115" i="2"/>
  <c r="X175" i="2"/>
  <c r="U184" i="2"/>
  <c r="K188" i="2"/>
  <c r="S88" i="2"/>
  <c r="U92" i="2"/>
  <c r="W50" i="2"/>
  <c r="Q28" i="2"/>
  <c r="Q74" i="2"/>
  <c r="I91" i="2"/>
  <c r="T23" i="2"/>
  <c r="W178" i="2"/>
  <c r="U113" i="2"/>
  <c r="H107" i="2"/>
  <c r="B186" i="2"/>
  <c r="M70" i="2"/>
  <c r="P177" i="2"/>
  <c r="N180" i="2"/>
  <c r="O17" i="2"/>
  <c r="L178" i="2"/>
  <c r="W180" i="2"/>
  <c r="W67" i="2"/>
  <c r="D105" i="2"/>
  <c r="W91" i="2"/>
  <c r="M183" i="2"/>
  <c r="C98" i="2"/>
  <c r="V172" i="2"/>
  <c r="V6" i="2"/>
  <c r="P183" i="2"/>
  <c r="G93" i="2"/>
  <c r="O16" i="2"/>
  <c r="V102" i="2"/>
  <c r="X170" i="2"/>
  <c r="V5" i="2"/>
  <c r="V153" i="2"/>
  <c r="H190" i="2"/>
  <c r="C108" i="2"/>
  <c r="I165" i="2"/>
  <c r="Q37" i="2"/>
  <c r="S32" i="2"/>
  <c r="R113" i="2"/>
  <c r="X163" i="2"/>
  <c r="G186" i="2"/>
  <c r="H36" i="2"/>
  <c r="H33" i="2"/>
  <c r="X142" i="2"/>
  <c r="I18" i="2"/>
  <c r="S181" i="2"/>
  <c r="B189" i="2"/>
  <c r="D69" i="2"/>
  <c r="L22" i="2"/>
  <c r="T78" i="2"/>
  <c r="D68" i="2"/>
  <c r="Q127" i="2"/>
  <c r="O163" i="2"/>
  <c r="N89" i="2"/>
  <c r="Q93" i="2"/>
  <c r="W127" i="2"/>
  <c r="R109" i="2"/>
  <c r="G117" i="2"/>
  <c r="T189" i="2"/>
  <c r="G120" i="2"/>
  <c r="J103" i="2"/>
  <c r="O23" i="2"/>
  <c r="X25" i="2"/>
  <c r="K124" i="2"/>
  <c r="O160" i="2"/>
  <c r="V20" i="2"/>
  <c r="T164" i="2"/>
  <c r="V29" i="2"/>
  <c r="X93" i="2"/>
  <c r="T86" i="2"/>
  <c r="S25" i="2"/>
  <c r="S123" i="2"/>
  <c r="G185" i="2"/>
  <c r="T33" i="2"/>
  <c r="Q112" i="2"/>
  <c r="W79" i="2"/>
  <c r="C113" i="2"/>
  <c r="P121" i="2"/>
  <c r="Q170" i="2"/>
  <c r="O168" i="2"/>
  <c r="I105" i="2"/>
  <c r="G112" i="2"/>
  <c r="T88" i="2"/>
  <c r="U161" i="2"/>
  <c r="H34" i="2"/>
  <c r="T31" i="2"/>
  <c r="R169" i="2"/>
  <c r="W142" i="2"/>
  <c r="O182" i="2"/>
  <c r="Q161" i="2"/>
  <c r="V149" i="2"/>
  <c r="D96" i="2"/>
  <c r="S78" i="2"/>
  <c r="X127" i="2"/>
  <c r="R97" i="2"/>
  <c r="U28" i="2"/>
  <c r="W53" i="2"/>
  <c r="V186" i="2"/>
  <c r="K105" i="2"/>
  <c r="P14" i="2"/>
  <c r="P117" i="2"/>
  <c r="K181" i="2"/>
  <c r="S102" i="2"/>
  <c r="E33" i="2"/>
  <c r="T60" i="2"/>
  <c r="F123" i="2"/>
  <c r="P162" i="2"/>
  <c r="X126" i="2"/>
  <c r="U20" i="2"/>
  <c r="J20" i="2"/>
  <c r="V155" i="2"/>
  <c r="G35" i="2"/>
  <c r="L67" i="2"/>
  <c r="C116" i="2"/>
  <c r="I170" i="2"/>
  <c r="U125" i="2"/>
  <c r="Q164" i="2"/>
  <c r="T113" i="2"/>
  <c r="M171" i="2"/>
  <c r="K21" i="2"/>
  <c r="W155" i="2"/>
  <c r="R25" i="2"/>
  <c r="P29" i="2"/>
  <c r="I175" i="2"/>
  <c r="X122" i="2"/>
  <c r="T143" i="2"/>
  <c r="V148" i="2"/>
  <c r="U122" i="2"/>
  <c r="X27" i="2"/>
  <c r="T120" i="2"/>
  <c r="S121" i="2"/>
  <c r="H186" i="2"/>
  <c r="U96" i="2"/>
  <c r="K31" i="2"/>
  <c r="R189" i="2"/>
  <c r="V49" i="2"/>
  <c r="W90" i="2"/>
  <c r="L99" i="2"/>
  <c r="H175" i="2"/>
  <c r="E172" i="2"/>
  <c r="V127" i="2"/>
  <c r="V68" i="2"/>
  <c r="O22" i="2"/>
  <c r="L122" i="2"/>
  <c r="X70" i="2"/>
  <c r="T27" i="2"/>
  <c r="G102" i="2"/>
  <c r="T93" i="2"/>
  <c r="F172" i="2"/>
  <c r="U72" i="2"/>
  <c r="F34" i="2"/>
  <c r="O67" i="2"/>
  <c r="X94" i="2"/>
  <c r="D39" i="2"/>
  <c r="O19" i="2"/>
  <c r="S174" i="2"/>
  <c r="W147" i="2"/>
  <c r="B100" i="2"/>
  <c r="B88" i="2"/>
  <c r="U22" i="2"/>
  <c r="P163" i="2"/>
  <c r="U163" i="2"/>
  <c r="G168" i="2"/>
  <c r="B98" i="2"/>
  <c r="M22" i="2"/>
  <c r="L8" i="2"/>
  <c r="R13" i="2"/>
  <c r="V63" i="2"/>
  <c r="P170" i="2"/>
  <c r="F13" i="2"/>
  <c r="F72" i="2"/>
  <c r="Q76" i="2"/>
  <c r="W141" i="2"/>
  <c r="I131" i="2"/>
  <c r="J32" i="2"/>
  <c r="H94" i="2"/>
  <c r="U88" i="2"/>
  <c r="T98" i="2"/>
  <c r="V27" i="2"/>
  <c r="S80" i="2"/>
  <c r="L28" i="2"/>
  <c r="M34" i="2"/>
  <c r="I102" i="2"/>
  <c r="C174" i="2"/>
  <c r="N78" i="2"/>
  <c r="D92" i="2"/>
  <c r="D179" i="2"/>
  <c r="X172" i="2"/>
  <c r="E124" i="2"/>
  <c r="W190" i="2"/>
  <c r="R28" i="2"/>
  <c r="W51" i="2"/>
  <c r="C24" i="2"/>
  <c r="O165" i="2"/>
  <c r="N171" i="2"/>
  <c r="W27" i="2"/>
  <c r="B164" i="2"/>
  <c r="E169" i="2"/>
  <c r="N30" i="2"/>
  <c r="I124" i="2"/>
  <c r="N28" i="2"/>
  <c r="S94" i="2"/>
  <c r="O179" i="2"/>
  <c r="J69" i="2"/>
  <c r="C166" i="2"/>
  <c r="I32" i="2"/>
  <c r="S14" i="2"/>
  <c r="X119" i="2"/>
  <c r="K121" i="2"/>
  <c r="X21" i="2"/>
  <c r="G162" i="2"/>
  <c r="H106" i="2"/>
  <c r="P37" i="2"/>
  <c r="B30" i="2"/>
  <c r="G159" i="2"/>
  <c r="W177" i="2"/>
  <c r="C12" i="2"/>
  <c r="S96" i="2"/>
  <c r="G187" i="2"/>
  <c r="M186" i="2"/>
  <c r="B17" i="2"/>
  <c r="U114" i="2"/>
  <c r="W145" i="2"/>
  <c r="R164" i="2"/>
  <c r="Q178" i="2"/>
  <c r="B179" i="2"/>
  <c r="L105" i="2"/>
  <c r="I88" i="2"/>
  <c r="L170" i="2"/>
  <c r="K167" i="2"/>
  <c r="T148" i="2"/>
  <c r="K69" i="2"/>
  <c r="H117" i="2"/>
  <c r="V128" i="2"/>
  <c r="I106" i="2"/>
  <c r="F21" i="2"/>
  <c r="E22" i="2"/>
  <c r="V67" i="2"/>
  <c r="K180" i="2"/>
  <c r="L92" i="2"/>
  <c r="I75" i="2"/>
  <c r="M26" i="2"/>
  <c r="B77" i="2"/>
  <c r="W13" i="2"/>
  <c r="E179" i="2"/>
  <c r="E17" i="2"/>
  <c r="T101" i="2"/>
  <c r="L17" i="2"/>
  <c r="T7" i="2"/>
  <c r="F68" i="2"/>
  <c r="K77" i="2"/>
  <c r="K107" i="2"/>
  <c r="T125" i="2"/>
  <c r="V78" i="2"/>
  <c r="F128" i="2"/>
  <c r="W125" i="2"/>
  <c r="K110" i="2"/>
  <c r="L159" i="2"/>
  <c r="D72" i="2"/>
  <c r="X190" i="2"/>
  <c r="V158" i="2"/>
  <c r="W55" i="2"/>
  <c r="K172" i="2"/>
  <c r="T17" i="2"/>
  <c r="V17" i="2"/>
  <c r="I13" i="2"/>
  <c r="N111" i="2"/>
  <c r="O111" i="2"/>
  <c r="B79" i="2"/>
  <c r="H100" i="2"/>
  <c r="C168" i="2"/>
  <c r="C175" i="2"/>
  <c r="U117" i="2"/>
  <c r="Q126" i="2"/>
  <c r="O121" i="2"/>
  <c r="W87" i="2"/>
  <c r="U73" i="2"/>
  <c r="L33" i="2"/>
  <c r="O167" i="2"/>
  <c r="J114" i="2"/>
  <c r="Q67" i="2"/>
  <c r="B12" i="2"/>
  <c r="D168" i="2"/>
  <c r="U24" i="2"/>
  <c r="D10" i="2"/>
  <c r="O20" i="2"/>
  <c r="X149" i="2"/>
  <c r="R176" i="2"/>
  <c r="E36" i="2"/>
  <c r="B39" i="2"/>
  <c r="X107" i="2"/>
  <c r="R174" i="2"/>
  <c r="P182" i="2"/>
  <c r="Q23" i="2"/>
  <c r="R190" i="2"/>
  <c r="R116" i="2"/>
  <c r="U168" i="2"/>
  <c r="F27" i="2"/>
  <c r="L91" i="2"/>
  <c r="C68" i="2"/>
  <c r="D79" i="2"/>
  <c r="V7" i="2"/>
  <c r="Q122" i="2"/>
  <c r="S23" i="2"/>
  <c r="R75" i="2"/>
  <c r="O37" i="2"/>
  <c r="J188" i="2"/>
  <c r="S104" i="2"/>
  <c r="B94" i="2"/>
  <c r="G127" i="2"/>
  <c r="D27" i="2"/>
  <c r="U175" i="2"/>
  <c r="R186" i="2"/>
  <c r="T26" i="2"/>
  <c r="E89" i="2"/>
  <c r="F175" i="2"/>
  <c r="W121" i="2"/>
  <c r="M13" i="2"/>
  <c r="G108" i="2"/>
  <c r="O24" i="2"/>
  <c r="H112" i="2"/>
  <c r="K160" i="2"/>
  <c r="V38" i="2"/>
  <c r="I100" i="2"/>
  <c r="M94" i="2"/>
  <c r="P175" i="2"/>
  <c r="R183" i="2"/>
  <c r="W165" i="2"/>
  <c r="J181" i="2"/>
  <c r="X187" i="2"/>
  <c r="V58" i="2"/>
  <c r="N179" i="2"/>
  <c r="H160" i="2"/>
  <c r="N23" i="2"/>
  <c r="T177" i="2"/>
  <c r="H26" i="2"/>
  <c r="N168" i="2"/>
  <c r="J118" i="2"/>
  <c r="L163" i="2"/>
  <c r="R91" i="2"/>
  <c r="P169" i="2"/>
  <c r="K99" i="2"/>
  <c r="Q34" i="2"/>
  <c r="F16" i="2"/>
  <c r="E120" i="2"/>
  <c r="W52" i="2"/>
  <c r="W76" i="2"/>
  <c r="N129" i="2"/>
  <c r="P128" i="2"/>
  <c r="F161" i="2"/>
  <c r="G31" i="2"/>
  <c r="V187" i="2"/>
  <c r="W157" i="2"/>
  <c r="L129" i="2"/>
  <c r="Q115" i="2"/>
  <c r="Q171" i="2"/>
  <c r="K8" i="2"/>
  <c r="B187" i="2"/>
  <c r="T131" i="2"/>
  <c r="S74" i="2"/>
  <c r="E171" i="2"/>
  <c r="O188" i="2"/>
  <c r="R78" i="2"/>
  <c r="H171" i="2"/>
  <c r="M75" i="2"/>
  <c r="E162" i="2"/>
  <c r="L172" i="2"/>
  <c r="V35" i="2"/>
  <c r="Q116" i="2"/>
  <c r="F35" i="2"/>
  <c r="V80" i="2"/>
  <c r="T51" i="2"/>
  <c r="F78" i="2"/>
  <c r="U34" i="2"/>
  <c r="N99" i="2"/>
  <c r="H127" i="2"/>
  <c r="P6" i="2"/>
  <c r="U5" i="2"/>
  <c r="F186" i="2"/>
  <c r="X161" i="2"/>
  <c r="K161" i="2"/>
  <c r="L182" i="2"/>
  <c r="T138" i="2"/>
  <c r="P109" i="2"/>
  <c r="K127" i="2"/>
  <c r="K34" i="2"/>
  <c r="L120" i="2"/>
  <c r="F99" i="2"/>
  <c r="V103" i="2"/>
  <c r="S35" i="2"/>
  <c r="X131" i="2"/>
  <c r="U129" i="2"/>
  <c r="O70" i="2"/>
  <c r="C182" i="2"/>
  <c r="G160" i="2"/>
  <c r="X97" i="2"/>
  <c r="U32" i="2"/>
  <c r="U181" i="2"/>
  <c r="U183" i="2"/>
  <c r="I108" i="2"/>
  <c r="S167" i="2"/>
  <c r="L116" i="2"/>
  <c r="G163" i="2"/>
  <c r="F178" i="2"/>
  <c r="U89" i="2"/>
  <c r="S7" i="2"/>
  <c r="Q72" i="2"/>
  <c r="E104" i="2"/>
  <c r="P160" i="2"/>
  <c r="F130" i="2"/>
  <c r="J68" i="2"/>
  <c r="V131" i="2"/>
  <c r="D70" i="2"/>
  <c r="K92" i="2"/>
  <c r="K97" i="2"/>
  <c r="N104" i="2"/>
  <c r="S162" i="2"/>
  <c r="E190" i="2"/>
  <c r="I184" i="2"/>
  <c r="T130" i="2"/>
  <c r="F79" i="2"/>
  <c r="G38" i="2"/>
  <c r="U52" i="2"/>
  <c r="L123" i="2"/>
  <c r="P10" i="2"/>
  <c r="Q123" i="2"/>
  <c r="H172" i="2"/>
  <c r="T116" i="2"/>
  <c r="I21" i="2"/>
  <c r="O35" i="2"/>
  <c r="T59" i="2"/>
  <c r="G21" i="2"/>
  <c r="B163" i="2"/>
  <c r="O123" i="2"/>
  <c r="G131" i="2"/>
  <c r="W62" i="2"/>
  <c r="G178" i="2"/>
  <c r="W6" i="2"/>
  <c r="T55" i="2"/>
  <c r="V120" i="2"/>
  <c r="U170" i="2"/>
  <c r="V72" i="2"/>
  <c r="S166" i="2"/>
  <c r="T19" i="2"/>
  <c r="P188" i="2"/>
  <c r="W103" i="2"/>
  <c r="K91" i="2"/>
  <c r="J110" i="2"/>
  <c r="P75" i="2"/>
  <c r="K94" i="2"/>
  <c r="D32" i="2"/>
  <c r="N112" i="2"/>
  <c r="I69" i="2"/>
  <c r="W166" i="2"/>
  <c r="R120" i="2"/>
  <c r="M15" i="2"/>
  <c r="W32" i="2"/>
  <c r="I8" i="2"/>
  <c r="P101" i="2"/>
  <c r="R9" i="2"/>
  <c r="D190" i="2"/>
  <c r="I10" i="2"/>
  <c r="U100" i="2"/>
  <c r="T22" i="2"/>
  <c r="J178" i="2"/>
  <c r="M106" i="2"/>
  <c r="T58" i="2"/>
  <c r="I185" i="2"/>
  <c r="T99" i="2"/>
  <c r="I37" i="2"/>
  <c r="U16" i="2"/>
  <c r="K7" i="2"/>
  <c r="M21" i="2"/>
  <c r="F8" i="2"/>
  <c r="I92" i="2"/>
  <c r="T37" i="2"/>
  <c r="G105" i="2"/>
  <c r="B171" i="2"/>
  <c r="R90" i="2"/>
  <c r="B185" i="2"/>
  <c r="X181" i="2"/>
  <c r="J15" i="2"/>
  <c r="U46" i="2"/>
  <c r="P71" i="2"/>
  <c r="P112" i="2"/>
  <c r="W80" i="2"/>
  <c r="J29" i="2"/>
  <c r="H15" i="2"/>
  <c r="W144" i="2"/>
  <c r="W98" i="2"/>
  <c r="M10" i="2"/>
  <c r="K89" i="2"/>
  <c r="J88" i="2"/>
  <c r="E123" i="2"/>
  <c r="C122" i="2"/>
  <c r="D178" i="2"/>
  <c r="E90" i="2"/>
  <c r="H181" i="2"/>
  <c r="D162" i="2"/>
  <c r="E30" i="2"/>
  <c r="O171" i="2"/>
  <c r="S127" i="2"/>
  <c r="U127" i="2"/>
  <c r="L165" i="2"/>
  <c r="B103" i="2"/>
  <c r="T54" i="2"/>
  <c r="B180" i="2"/>
  <c r="G7" i="2"/>
  <c r="U160" i="2"/>
  <c r="M126" i="2"/>
  <c r="N170" i="2"/>
  <c r="X156" i="2"/>
  <c r="S79" i="2"/>
  <c r="W22" i="2"/>
  <c r="J104" i="2"/>
  <c r="W9" i="2"/>
  <c r="G182" i="2"/>
  <c r="N121" i="2"/>
  <c r="M178" i="2"/>
  <c r="L30" i="2"/>
  <c r="B129" i="2"/>
  <c r="S97" i="2"/>
  <c r="E168" i="2"/>
  <c r="E95" i="2"/>
  <c r="J13" i="2"/>
  <c r="O98" i="2"/>
  <c r="J89" i="2"/>
  <c r="H109" i="2"/>
  <c r="D8" i="2"/>
  <c r="M32" i="2"/>
  <c r="T129" i="2"/>
  <c r="I120" i="2"/>
  <c r="C30" i="2"/>
  <c r="W5" i="2"/>
  <c r="O69" i="2"/>
  <c r="E8" i="2"/>
  <c r="G113" i="2"/>
  <c r="C32" i="2"/>
  <c r="J31" i="2"/>
  <c r="G22" i="2"/>
  <c r="U120" i="2"/>
  <c r="H9" i="2"/>
  <c r="T15" i="2"/>
  <c r="B9" i="2"/>
  <c r="T30" i="2"/>
  <c r="L173" i="2"/>
  <c r="S183" i="2"/>
  <c r="N119" i="2"/>
  <c r="Q182" i="2"/>
  <c r="U148" i="2"/>
  <c r="K14" i="2"/>
  <c r="X61" i="2"/>
  <c r="X68" i="2"/>
  <c r="X79" i="2"/>
  <c r="U141" i="2"/>
  <c r="N183" i="2"/>
  <c r="D77" i="2"/>
  <c r="R123" i="2"/>
  <c r="D12" i="2"/>
  <c r="S72" i="2"/>
  <c r="D95" i="2"/>
  <c r="E117" i="2"/>
  <c r="Q125" i="2"/>
  <c r="M77" i="2"/>
  <c r="P115" i="2"/>
  <c r="L166" i="2"/>
  <c r="V51" i="2"/>
  <c r="P96" i="2"/>
  <c r="W86" i="2"/>
  <c r="R77" i="2"/>
  <c r="D20" i="2"/>
  <c r="J12" i="2"/>
  <c r="T67" i="2"/>
  <c r="F176" i="2"/>
  <c r="Q99" i="2"/>
  <c r="U6" i="2"/>
  <c r="W118" i="2"/>
  <c r="I172" i="2"/>
  <c r="T56" i="2"/>
  <c r="J28" i="2"/>
  <c r="K18" i="2"/>
  <c r="T165" i="2"/>
  <c r="Q168" i="2"/>
  <c r="L78" i="2"/>
  <c r="O106" i="2"/>
  <c r="P91" i="2"/>
  <c r="H79" i="2"/>
  <c r="X86" i="2"/>
  <c r="W188" i="2"/>
  <c r="S172" i="2"/>
  <c r="J100" i="2"/>
  <c r="U54" i="2"/>
  <c r="H129" i="2"/>
  <c r="M17" i="2"/>
  <c r="C163" i="2"/>
  <c r="I99" i="2"/>
  <c r="O114" i="2"/>
  <c r="M119" i="2"/>
  <c r="N169" i="2"/>
  <c r="X24" i="2"/>
  <c r="S115" i="2"/>
  <c r="O100" i="2"/>
  <c r="S98" i="2"/>
  <c r="W17" i="2"/>
  <c r="L179" i="2"/>
  <c r="T156" i="2"/>
  <c r="V105" i="2"/>
  <c r="W63" i="2"/>
  <c r="R124" i="2"/>
  <c r="F22" i="2"/>
  <c r="W66" i="2"/>
  <c r="R68" i="2"/>
  <c r="J184" i="2"/>
  <c r="J22" i="2"/>
  <c r="S118" i="2"/>
  <c r="J183" i="2"/>
  <c r="D115" i="2"/>
  <c r="T180" i="2"/>
  <c r="C97" i="2"/>
  <c r="I180" i="2"/>
  <c r="L93" i="2"/>
  <c r="S173" i="2"/>
  <c r="Q186" i="2"/>
  <c r="U69" i="2"/>
  <c r="H72" i="2"/>
  <c r="M11" i="2"/>
  <c r="C17" i="2"/>
  <c r="E182" i="2"/>
  <c r="V157" i="2"/>
  <c r="V171" i="2"/>
  <c r="Q131" i="2"/>
  <c r="M115" i="2"/>
  <c r="I171" i="2"/>
  <c r="X102" i="2"/>
  <c r="C111" i="2"/>
  <c r="Q20" i="2"/>
  <c r="E113" i="2"/>
  <c r="X65" i="2"/>
  <c r="L69" i="2"/>
  <c r="Q31" i="2"/>
  <c r="R10" i="2"/>
  <c r="B69" i="2"/>
  <c r="W111" i="2"/>
  <c r="G6" i="2"/>
  <c r="E14" i="2"/>
  <c r="N184" i="2"/>
  <c r="W110" i="2"/>
  <c r="X9" i="2"/>
  <c r="T102" i="2"/>
  <c r="H163" i="2"/>
  <c r="E34" i="2"/>
  <c r="U123" i="2"/>
  <c r="O125" i="2"/>
  <c r="H88" i="2"/>
  <c r="B68" i="2"/>
  <c r="L131" i="2"/>
  <c r="U38" i="2"/>
  <c r="E39" i="2"/>
  <c r="H180" i="2"/>
  <c r="B111" i="2"/>
  <c r="D71" i="2"/>
  <c r="Q109" i="2"/>
  <c r="R168" i="2"/>
  <c r="D163" i="2"/>
  <c r="R73" i="2"/>
  <c r="F14" i="2"/>
  <c r="V23" i="2"/>
  <c r="H115" i="2"/>
  <c r="D97" i="2"/>
  <c r="N38" i="2"/>
  <c r="M168" i="2"/>
  <c r="I101" i="2"/>
  <c r="O131" i="2"/>
  <c r="C9" i="2"/>
  <c r="U80" i="2"/>
  <c r="G169" i="2"/>
  <c r="F29" i="2"/>
  <c r="N190" i="2"/>
  <c r="X13" i="2"/>
  <c r="I96" i="2"/>
  <c r="N36" i="2"/>
  <c r="E10" i="2"/>
  <c r="F126" i="2"/>
  <c r="W37" i="2"/>
  <c r="O89" i="2"/>
  <c r="L89" i="2"/>
  <c r="P118" i="2"/>
  <c r="V170" i="2"/>
  <c r="O88" i="2"/>
  <c r="P126" i="2"/>
  <c r="X74" i="2"/>
  <c r="V13" i="2"/>
  <c r="G101" i="2"/>
  <c r="D119" i="2"/>
  <c r="M80" i="2"/>
  <c r="G10" i="2"/>
  <c r="N69" i="2"/>
  <c r="R92" i="2"/>
  <c r="P33" i="2"/>
  <c r="C159" i="2"/>
  <c r="R12" i="2"/>
  <c r="C99" i="2"/>
  <c r="M164" i="2"/>
  <c r="O164" i="2"/>
  <c r="X176" i="2"/>
  <c r="M110" i="2"/>
  <c r="H128" i="2"/>
  <c r="X108" i="2"/>
  <c r="N123" i="2"/>
  <c r="X5" i="2"/>
  <c r="F183" i="2"/>
  <c r="C125" i="2"/>
  <c r="X10" i="2"/>
  <c r="D13" i="2"/>
  <c r="W88" i="2"/>
  <c r="U13" i="2"/>
  <c r="W56" i="2"/>
  <c r="U29" i="2"/>
  <c r="H185" i="2"/>
  <c r="R19" i="2"/>
  <c r="B101" i="2"/>
  <c r="U50" i="2"/>
  <c r="D113" i="2"/>
  <c r="V76" i="2"/>
  <c r="P105" i="2"/>
  <c r="E73" i="2"/>
  <c r="X48" i="2"/>
  <c r="R159" i="2"/>
  <c r="K98" i="2"/>
  <c r="D33" i="2"/>
  <c r="H183" i="2"/>
  <c r="W92" i="2"/>
  <c r="W36" i="2"/>
  <c r="D37" i="2"/>
  <c r="L188" i="2"/>
  <c r="P120" i="2"/>
  <c r="N8" i="2"/>
  <c r="F26" i="2"/>
  <c r="L76" i="2"/>
  <c r="C91" i="2"/>
  <c r="C72" i="2"/>
  <c r="B71" i="2"/>
  <c r="B21" i="2"/>
  <c r="P9" i="2"/>
  <c r="M122" i="2"/>
  <c r="T188" i="2"/>
  <c r="J179" i="2"/>
  <c r="K130" i="2"/>
  <c r="L13" i="2"/>
  <c r="T36" i="2"/>
  <c r="X189" i="2"/>
  <c r="G90" i="2"/>
  <c r="J34" i="2"/>
  <c r="L39" i="2"/>
  <c r="N188" i="2"/>
  <c r="Q107" i="2"/>
  <c r="B16" i="2"/>
  <c r="K108" i="2"/>
  <c r="U30" i="2"/>
  <c r="G39" i="2"/>
  <c r="Q90" i="2"/>
  <c r="U146" i="2"/>
  <c r="P172" i="2"/>
  <c r="D90" i="2"/>
  <c r="F110" i="2"/>
  <c r="T166" i="2"/>
  <c r="C186" i="2"/>
  <c r="V57" i="2"/>
  <c r="K20" i="2"/>
  <c r="Q106" i="2"/>
  <c r="R36" i="2"/>
  <c r="W69" i="2"/>
  <c r="R99" i="2"/>
  <c r="E170" i="2"/>
  <c r="N131" i="2"/>
  <c r="V108" i="2"/>
  <c r="K123" i="2"/>
  <c r="F129" i="2"/>
  <c r="X36" i="2"/>
  <c r="H114" i="2"/>
  <c r="T190" i="2"/>
  <c r="V163" i="2"/>
  <c r="L124" i="2"/>
  <c r="U154" i="2"/>
  <c r="T10" i="2"/>
  <c r="U142" i="2"/>
  <c r="D182" i="2"/>
  <c r="B99" i="2"/>
  <c r="W149" i="2"/>
  <c r="T144" i="2"/>
  <c r="C190" i="2"/>
  <c r="J27" i="2"/>
  <c r="P18" i="2"/>
  <c r="Q181" i="2"/>
  <c r="I26" i="2"/>
  <c r="T71" i="2"/>
  <c r="N98" i="2"/>
  <c r="W78" i="2"/>
  <c r="B10" i="2"/>
  <c r="I177" i="2"/>
  <c r="K33" i="2"/>
  <c r="J21" i="2"/>
  <c r="U61" i="2"/>
  <c r="X109" i="2"/>
  <c r="J38" i="2"/>
  <c r="R178" i="2"/>
  <c r="N97" i="2"/>
  <c r="J75" i="2"/>
  <c r="V66" i="2"/>
  <c r="D91" i="2"/>
  <c r="T65" i="2"/>
  <c r="J119" i="2"/>
  <c r="C19" i="2"/>
  <c r="D167" i="2"/>
  <c r="P16" i="2"/>
  <c r="I20" i="2"/>
  <c r="D98" i="2"/>
  <c r="G75" i="2"/>
  <c r="H20" i="2"/>
  <c r="F171" i="2"/>
  <c r="S101" i="2"/>
  <c r="G91" i="2"/>
  <c r="D74" i="2"/>
  <c r="W148" i="2"/>
  <c r="U66" i="2"/>
  <c r="J177" i="2"/>
  <c r="X18" i="2"/>
  <c r="T151" i="2"/>
  <c r="P22" i="2"/>
  <c r="O14" i="2"/>
  <c r="V30" i="2"/>
  <c r="T96" i="2"/>
  <c r="S130" i="2"/>
  <c r="C15" i="2"/>
  <c r="C70" i="2"/>
  <c r="X15" i="2"/>
  <c r="J24" i="2"/>
  <c r="L184" i="2"/>
  <c r="B122" i="2"/>
  <c r="N39" i="2"/>
  <c r="C129" i="2"/>
  <c r="N77" i="2"/>
  <c r="E9" i="2"/>
  <c r="L96" i="2"/>
  <c r="U115" i="2"/>
  <c r="N74" i="2"/>
  <c r="O186" i="2"/>
  <c r="Q173" i="2"/>
  <c r="F112" i="2"/>
  <c r="E121" i="2"/>
  <c r="B176" i="2"/>
  <c r="G8" i="2"/>
  <c r="R24" i="2"/>
  <c r="D6" i="2"/>
  <c r="F170" i="2"/>
  <c r="H76" i="2"/>
  <c r="B170" i="2"/>
  <c r="F190" i="2"/>
  <c r="T18" i="2"/>
  <c r="V143" i="2"/>
  <c r="S131" i="2"/>
  <c r="U151" i="2"/>
  <c r="Q17" i="2"/>
  <c r="U143" i="2"/>
  <c r="K90" i="2"/>
  <c r="B33" i="2"/>
  <c r="G176" i="2"/>
  <c r="P93" i="2"/>
  <c r="P80" i="2"/>
  <c r="D176" i="2"/>
  <c r="G89" i="2"/>
  <c r="S161" i="2"/>
  <c r="K19" i="2"/>
  <c r="H97" i="2"/>
  <c r="W73" i="2"/>
  <c r="Q92" i="2"/>
  <c r="T158" i="2"/>
  <c r="Q128" i="2"/>
  <c r="L189" i="2"/>
  <c r="S124" i="2"/>
  <c r="U111" i="2"/>
  <c r="F114" i="2"/>
  <c r="D184" i="2"/>
  <c r="B175" i="2"/>
  <c r="I178" i="2"/>
  <c r="X28" i="2"/>
  <c r="R172" i="2"/>
  <c r="S12" i="2"/>
  <c r="I179" i="2"/>
  <c r="O76" i="2"/>
  <c r="T186" i="2"/>
  <c r="T178" i="2"/>
  <c r="P186" i="2"/>
  <c r="C25" i="2"/>
  <c r="N34" i="2"/>
  <c r="X19" i="2"/>
  <c r="X55" i="2"/>
  <c r="P103" i="2"/>
  <c r="W95" i="2"/>
  <c r="E100" i="2"/>
  <c r="V116" i="2"/>
  <c r="D110" i="2"/>
  <c r="J189" i="2"/>
  <c r="Q91" i="2"/>
  <c r="M108" i="2"/>
  <c r="E165" i="2"/>
  <c r="W140" i="2"/>
  <c r="F25" i="2"/>
  <c r="O27" i="2"/>
  <c r="T63" i="2"/>
  <c r="I189" i="2"/>
  <c r="P11" i="2"/>
  <c r="F76" i="2"/>
  <c r="N109" i="2"/>
  <c r="O169" i="2"/>
  <c r="K170" i="2"/>
  <c r="D111" i="2"/>
  <c r="U77" i="2"/>
  <c r="C8" i="2"/>
  <c r="U76" i="2"/>
  <c r="H39" i="2"/>
  <c r="N32" i="2"/>
  <c r="C35" i="2"/>
  <c r="B172" i="2"/>
  <c r="T109" i="2"/>
  <c r="E130" i="2"/>
  <c r="I38" i="2"/>
  <c r="D34" i="2"/>
  <c r="C165" i="2"/>
  <c r="V109" i="2"/>
  <c r="B182" i="2"/>
  <c r="V71" i="2"/>
  <c r="L36" i="2"/>
  <c r="M107" i="2"/>
  <c r="I127" i="2"/>
  <c r="C167" i="2"/>
  <c r="T187" i="2"/>
  <c r="T48" i="2"/>
  <c r="T161" i="2"/>
  <c r="F107" i="2"/>
  <c r="J182" i="2"/>
  <c r="U97" i="2"/>
  <c r="I22" i="2"/>
  <c r="E93" i="2"/>
  <c r="W185" i="2"/>
  <c r="S116" i="2"/>
  <c r="L24" i="2"/>
  <c r="H68" i="2"/>
  <c r="G111" i="2"/>
  <c r="Q7" i="2"/>
  <c r="B74" i="2"/>
  <c r="V96" i="2"/>
  <c r="B108" i="2"/>
  <c r="N176" i="2"/>
  <c r="O183" i="2"/>
  <c r="N15" i="2"/>
  <c r="M161" i="2"/>
  <c r="E96" i="2"/>
  <c r="J108" i="2"/>
  <c r="G104" i="2"/>
  <c r="D180" i="2"/>
  <c r="W97" i="2"/>
  <c r="N26" i="2"/>
  <c r="R96" i="2"/>
  <c r="P95" i="2"/>
  <c r="G123" i="2"/>
  <c r="I27" i="2"/>
  <c r="S189" i="2"/>
  <c r="H93" i="2"/>
  <c r="X64" i="2"/>
  <c r="Q101" i="2"/>
  <c r="R101" i="2"/>
  <c r="V181" i="2"/>
  <c r="R7" i="2"/>
  <c r="N106" i="2"/>
  <c r="P131" i="2"/>
  <c r="O107" i="2"/>
  <c r="W187" i="2"/>
  <c r="O95" i="2"/>
  <c r="E129" i="2"/>
  <c r="D23" i="2"/>
  <c r="J73" i="2"/>
  <c r="Q38" i="2"/>
  <c r="T176" i="2"/>
  <c r="F100" i="2"/>
  <c r="O105" i="2"/>
  <c r="N189" i="2"/>
  <c r="T108" i="2"/>
  <c r="M159" i="2"/>
  <c r="U63" i="2"/>
  <c r="U116" i="2"/>
  <c r="C93" i="2"/>
  <c r="F23" i="2"/>
  <c r="I130" i="2"/>
  <c r="V111" i="2"/>
  <c r="X98" i="2"/>
  <c r="T70" i="2"/>
  <c r="H17" i="2"/>
  <c r="P79" i="2"/>
  <c r="B128" i="2"/>
  <c r="D129" i="2"/>
  <c r="I16" i="2"/>
  <c r="B102" i="2"/>
  <c r="K72" i="2"/>
  <c r="M172" i="2"/>
  <c r="W26" i="2"/>
  <c r="E7" i="2"/>
  <c r="N114" i="2"/>
  <c r="L112" i="2"/>
  <c r="X66" i="2"/>
  <c r="K176" i="2"/>
  <c r="I110" i="2"/>
  <c r="M25" i="2"/>
  <c r="B76" i="2"/>
  <c r="F95" i="2"/>
  <c r="C187" i="2"/>
  <c r="H167" i="2"/>
  <c r="C169" i="2"/>
  <c r="I111" i="2"/>
  <c r="R30" i="2"/>
  <c r="G119" i="2"/>
  <c r="G125" i="2"/>
  <c r="G114" i="2"/>
  <c r="P67" i="2"/>
  <c r="W156" i="2"/>
  <c r="G79" i="2"/>
  <c r="O173" i="2"/>
  <c r="J90" i="2"/>
  <c r="P116" i="2"/>
  <c r="R74" i="2"/>
  <c r="T171" i="2"/>
  <c r="P173" i="2"/>
  <c r="F108" i="2"/>
  <c r="O39" i="2"/>
  <c r="N110" i="2"/>
  <c r="R127" i="2"/>
  <c r="G12" i="2"/>
  <c r="M176" i="2"/>
  <c r="H124" i="2"/>
  <c r="T127" i="2"/>
  <c r="X11" i="2"/>
  <c r="B95" i="2"/>
  <c r="E161" i="2"/>
  <c r="D78" i="2"/>
  <c r="G165" i="2"/>
  <c r="B107" i="2"/>
  <c r="O73" i="2"/>
  <c r="D124" i="2"/>
  <c r="T162" i="2"/>
  <c r="L174" i="2"/>
  <c r="V52" i="2"/>
  <c r="D161" i="2"/>
  <c r="P73" i="2"/>
  <c r="I160" i="2"/>
  <c r="X121" i="2"/>
  <c r="O102" i="2"/>
  <c r="O9" i="2"/>
  <c r="S120" i="2"/>
  <c r="V26" i="2"/>
  <c r="R117" i="2"/>
  <c r="N19" i="2"/>
  <c r="U103" i="2"/>
  <c r="E101" i="2"/>
  <c r="I116" i="2"/>
  <c r="M73" i="2"/>
  <c r="J117" i="2"/>
  <c r="O7" i="2"/>
  <c r="M9" i="2"/>
  <c r="V147" i="2"/>
  <c r="Q118" i="2"/>
  <c r="C71" i="2"/>
  <c r="L160" i="2"/>
  <c r="E185" i="2"/>
  <c r="D22" i="2"/>
  <c r="X117" i="2"/>
  <c r="W105" i="2"/>
  <c r="E88" i="2"/>
  <c r="H25" i="2"/>
  <c r="T91" i="2"/>
  <c r="V182" i="2"/>
  <c r="X69" i="2"/>
  <c r="P122" i="2"/>
  <c r="F11" i="2"/>
  <c r="H73" i="2"/>
  <c r="Q12" i="2"/>
  <c r="F117" i="2"/>
  <c r="N163" i="2"/>
  <c r="I109" i="2"/>
  <c r="W77" i="2"/>
  <c r="M95" i="2"/>
  <c r="L10" i="2"/>
  <c r="O112" i="2"/>
  <c r="W30" i="2"/>
  <c r="C183" i="2"/>
  <c r="X26" i="2"/>
  <c r="D177" i="2"/>
  <c r="S170" i="2"/>
  <c r="G78" i="2"/>
  <c r="S109" i="2"/>
  <c r="Q163" i="2"/>
  <c r="G173" i="2"/>
  <c r="X180" i="2"/>
  <c r="S180" i="2"/>
  <c r="U86" i="2"/>
  <c r="H10" i="2"/>
  <c r="T52" i="2"/>
  <c r="X113" i="2"/>
  <c r="D11" i="2"/>
  <c r="D166" i="2"/>
  <c r="V144" i="2"/>
  <c r="H16" i="2"/>
  <c r="O99" i="2"/>
  <c r="S100" i="2"/>
  <c r="H173" i="2"/>
  <c r="V130" i="2"/>
  <c r="K67" i="2"/>
  <c r="H12" i="2"/>
  <c r="C14" i="2"/>
  <c r="R166" i="2"/>
  <c r="P78" i="2"/>
  <c r="D104" i="2"/>
  <c r="C121" i="2"/>
  <c r="T119" i="2"/>
  <c r="B11" i="2"/>
  <c r="Q177" i="2"/>
  <c r="H161" i="2"/>
  <c r="U118" i="2"/>
  <c r="M20" i="2"/>
  <c r="R106" i="2"/>
  <c r="T141" i="2"/>
  <c r="O75" i="2"/>
  <c r="E28" i="2"/>
  <c r="K95" i="2"/>
  <c r="G37" i="2"/>
  <c r="M160" i="2"/>
  <c r="S176" i="2"/>
  <c r="P15" i="2"/>
  <c r="W189" i="2"/>
  <c r="Q33" i="2"/>
  <c r="O31" i="2"/>
  <c r="E159" i="2"/>
  <c r="B121" i="2"/>
  <c r="Q111" i="2"/>
  <c r="W175" i="2"/>
  <c r="I97" i="2"/>
  <c r="E19" i="2"/>
  <c r="C27" i="2"/>
  <c r="E188" i="2"/>
  <c r="O30" i="2"/>
  <c r="O28" i="2"/>
  <c r="C114" i="2"/>
  <c r="X147" i="2"/>
  <c r="L115" i="2"/>
  <c r="S129" i="2"/>
  <c r="E122" i="2"/>
  <c r="U49" i="2"/>
  <c r="W16" i="2"/>
  <c r="C103" i="2"/>
  <c r="G20" i="2"/>
  <c r="V91" i="2"/>
  <c r="V142" i="2"/>
  <c r="B161" i="2"/>
  <c r="O120" i="2"/>
  <c r="P125" i="2"/>
  <c r="C127" i="2"/>
  <c r="G68" i="2"/>
  <c r="P104" i="2"/>
  <c r="L27" i="2"/>
  <c r="I129" i="2"/>
  <c r="N166" i="2"/>
  <c r="F75" i="2"/>
  <c r="E183" i="2"/>
  <c r="X91" i="2"/>
  <c r="E160" i="2"/>
  <c r="Q97" i="2"/>
  <c r="B32" i="2"/>
  <c r="X168" i="2"/>
  <c r="D172" i="2"/>
  <c r="X31" i="2"/>
  <c r="L108" i="2"/>
  <c r="W143" i="2"/>
  <c r="L7" i="2"/>
  <c r="X72" i="2"/>
  <c r="Q96" i="2"/>
  <c r="P38" i="2"/>
  <c r="U150" i="2"/>
  <c r="X8" i="2"/>
  <c r="D121" i="2"/>
  <c r="M124" i="2"/>
  <c r="P24" i="2"/>
  <c r="B104" i="2"/>
  <c r="T46" i="2"/>
  <c r="X71" i="2"/>
  <c r="F125" i="2"/>
  <c r="V53" i="2"/>
  <c r="M179" i="2"/>
  <c r="E12" i="2"/>
  <c r="B110" i="2"/>
  <c r="M105" i="2"/>
  <c r="M189" i="2"/>
  <c r="M113" i="2"/>
  <c r="V19" i="2"/>
  <c r="V113" i="2"/>
  <c r="M187" i="2"/>
  <c r="W34" i="2"/>
  <c r="T35" i="2"/>
  <c r="T110" i="2"/>
  <c r="D67" i="2"/>
  <c r="C88" i="2"/>
  <c r="O189" i="2"/>
  <c r="W24" i="2"/>
  <c r="W179" i="2"/>
  <c r="X75" i="2"/>
  <c r="X22" i="2"/>
  <c r="D16" i="2"/>
  <c r="F67" i="2"/>
  <c r="I72" i="2"/>
  <c r="E97" i="2"/>
  <c r="Q108" i="2"/>
  <c r="M128" i="2"/>
  <c r="D9" i="2"/>
  <c r="W93" i="2"/>
  <c r="P190" i="2"/>
  <c r="T126" i="2"/>
  <c r="K112" i="2"/>
  <c r="P171" i="2"/>
  <c r="M185" i="2"/>
  <c r="X78" i="2"/>
  <c r="K88" i="2"/>
  <c r="L185" i="2"/>
  <c r="T16" i="2"/>
  <c r="T173" i="2"/>
  <c r="R114" i="2"/>
  <c r="E102" i="2"/>
  <c r="V190" i="2"/>
  <c r="N173" i="2"/>
  <c r="M88" i="2"/>
  <c r="E163" i="2"/>
  <c r="U51" i="2"/>
  <c r="W35" i="2"/>
  <c r="W57" i="2"/>
  <c r="L100" i="2"/>
  <c r="B14" i="2"/>
  <c r="I163" i="2"/>
  <c r="X16" i="2"/>
  <c r="V16" i="2"/>
  <c r="O10" i="2"/>
  <c r="Q10" i="2"/>
  <c r="B93" i="2"/>
  <c r="S30" i="2"/>
  <c r="I113" i="2"/>
  <c r="E91" i="2"/>
  <c r="K75" i="2"/>
  <c r="E79" i="2"/>
  <c r="F115" i="2"/>
  <c r="R175" i="2"/>
  <c r="N107" i="2"/>
  <c r="V180" i="2"/>
  <c r="C78" i="2"/>
  <c r="U176" i="2"/>
  <c r="W150" i="2"/>
  <c r="R102" i="2"/>
  <c r="X154" i="2"/>
  <c r="P25" i="2"/>
  <c r="S92" i="2"/>
  <c r="U131" i="2"/>
  <c r="O68" i="2"/>
  <c r="J105" i="2"/>
  <c r="G106" i="2"/>
  <c r="C80" i="2"/>
  <c r="X184" i="2"/>
  <c r="J37" i="2"/>
  <c r="N159" i="2"/>
  <c r="Q121" i="2"/>
  <c r="J167" i="2"/>
  <c r="N189" i="1" l="1"/>
  <c r="Y141" i="2"/>
  <c r="V140" i="1" s="1"/>
  <c r="W140" i="1" s="1"/>
  <c r="Y158" i="2"/>
  <c r="V157" i="1" s="1"/>
  <c r="W157" i="1" s="1"/>
  <c r="Y151" i="2"/>
  <c r="V150" i="1" s="1"/>
  <c r="W150" i="1" s="1"/>
  <c r="Y144" i="2"/>
  <c r="V143" i="1" s="1"/>
  <c r="W143" i="1" s="1"/>
  <c r="Y156" i="2"/>
  <c r="V155" i="1" s="1"/>
  <c r="W155" i="1" s="1"/>
  <c r="Y138" i="2"/>
  <c r="V137" i="1" s="1"/>
  <c r="W137" i="1" s="1"/>
  <c r="Y148" i="2"/>
  <c r="V147" i="1" s="1"/>
  <c r="W147" i="1" s="1"/>
  <c r="Y143" i="2"/>
  <c r="V142" i="1" s="1"/>
  <c r="W142" i="1" s="1"/>
  <c r="Y86" i="2"/>
  <c r="V85" i="1" s="1"/>
  <c r="Y142" i="2"/>
  <c r="V141" i="1" s="1"/>
  <c r="W141" i="1" s="1"/>
  <c r="Y147" i="2"/>
  <c r="V146" i="1" s="1"/>
  <c r="W146" i="1" s="1"/>
  <c r="Y145" i="2"/>
  <c r="V144" i="1" s="1"/>
  <c r="W144" i="1" s="1"/>
  <c r="Y139" i="2"/>
  <c r="V138" i="1" s="1"/>
  <c r="W138" i="1" s="1"/>
  <c r="Y149" i="2"/>
  <c r="V148" i="1" s="1"/>
  <c r="W148" i="1" s="1"/>
  <c r="Y87" i="2"/>
  <c r="V86" i="1" s="1"/>
  <c r="W86" i="1" s="1"/>
  <c r="Y152" i="2"/>
  <c r="V151" i="1" s="1"/>
  <c r="W151" i="1" s="1"/>
  <c r="Y154" i="2"/>
  <c r="V153" i="1" s="1"/>
  <c r="W153" i="1" s="1"/>
  <c r="Y140" i="2"/>
  <c r="V139" i="1" s="1"/>
  <c r="W139" i="1" s="1"/>
  <c r="Y155" i="2"/>
  <c r="V154" i="1" s="1"/>
  <c r="W154" i="1" s="1"/>
  <c r="Y146" i="2"/>
  <c r="V145" i="1" s="1"/>
  <c r="W145" i="1" s="1"/>
  <c r="Y157" i="2"/>
  <c r="V156" i="1" s="1"/>
  <c r="W156" i="1" s="1"/>
  <c r="Y150" i="2"/>
  <c r="V149" i="1" s="1"/>
  <c r="W149" i="1" s="1"/>
  <c r="Y153" i="2"/>
  <c r="V152" i="1" s="1"/>
  <c r="W152" i="1" s="1"/>
  <c r="N183" i="1"/>
  <c r="N186" i="1"/>
  <c r="N153" i="1"/>
  <c r="N172" i="1"/>
  <c r="N181" i="1"/>
  <c r="N170" i="1"/>
  <c r="N179" i="1"/>
  <c r="N157" i="1"/>
  <c r="N178" i="1"/>
  <c r="N185" i="1"/>
  <c r="N160" i="1"/>
  <c r="N156" i="1"/>
  <c r="N151" i="1"/>
  <c r="N174" i="1"/>
  <c r="N150" i="1"/>
  <c r="N182" i="1"/>
  <c r="N187" i="1"/>
  <c r="N180" i="1"/>
  <c r="N177" i="1"/>
  <c r="N176" i="1"/>
  <c r="N175" i="1"/>
  <c r="N188" i="1"/>
  <c r="N154" i="1"/>
  <c r="N159" i="1"/>
  <c r="N173" i="1"/>
  <c r="N184" i="1"/>
  <c r="N166" i="1"/>
  <c r="N171" i="1"/>
  <c r="N152" i="1"/>
  <c r="N162" i="1"/>
  <c r="N163" i="1"/>
  <c r="N169" i="1"/>
  <c r="N158" i="1"/>
  <c r="N149" i="1"/>
  <c r="N164" i="1"/>
  <c r="N168" i="1"/>
  <c r="N161" i="1"/>
  <c r="N155" i="1"/>
  <c r="N165" i="1"/>
  <c r="N167" i="1"/>
  <c r="Y46" i="2"/>
  <c r="V45" i="1" s="1"/>
  <c r="W45" i="1" s="1"/>
  <c r="Y52" i="2"/>
  <c r="V51" i="1" s="1"/>
  <c r="W51" i="1" s="1"/>
  <c r="Y48" i="2"/>
  <c r="V47" i="1" s="1"/>
  <c r="W47" i="1" s="1"/>
  <c r="Y63" i="2"/>
  <c r="V62" i="1" s="1"/>
  <c r="W62" i="1" s="1"/>
  <c r="Y65" i="2"/>
  <c r="V64" i="1" s="1"/>
  <c r="W64" i="1" s="1"/>
  <c r="Y56" i="2"/>
  <c r="V55" i="1" s="1"/>
  <c r="W55" i="1" s="1"/>
  <c r="Y54" i="2"/>
  <c r="V53" i="1" s="1"/>
  <c r="W53" i="1" s="1"/>
  <c r="Y58" i="2"/>
  <c r="V57" i="1" s="1"/>
  <c r="W57" i="1" s="1"/>
  <c r="Y55" i="2"/>
  <c r="V54" i="1" s="1"/>
  <c r="W54" i="1" s="1"/>
  <c r="Y59" i="2"/>
  <c r="V58" i="1" s="1"/>
  <c r="W58" i="1" s="1"/>
  <c r="Y51" i="2"/>
  <c r="V50" i="1" s="1"/>
  <c r="W50" i="1" s="1"/>
  <c r="Y60" i="2"/>
  <c r="V59" i="1" s="1"/>
  <c r="W59" i="1" s="1"/>
  <c r="Y61" i="2"/>
  <c r="V60" i="1" s="1"/>
  <c r="W60" i="1" s="1"/>
  <c r="Y66" i="2"/>
  <c r="V65" i="1" s="1"/>
  <c r="W65" i="1" s="1"/>
  <c r="Y53" i="2"/>
  <c r="V52" i="1" s="1"/>
  <c r="W52" i="1" s="1"/>
  <c r="Y50" i="2"/>
  <c r="V49" i="1" s="1"/>
  <c r="W49" i="1" s="1"/>
  <c r="Y64" i="2"/>
  <c r="V63" i="1" s="1"/>
  <c r="W63" i="1" s="1"/>
  <c r="Y5" i="2"/>
  <c r="V4" i="1" s="1"/>
  <c r="W4" i="1" s="1"/>
  <c r="AB15" i="4" s="1"/>
  <c r="J15" i="4" s="1"/>
  <c r="Y47" i="2"/>
  <c r="V46" i="1" s="1"/>
  <c r="W46" i="1" s="1"/>
  <c r="Y62" i="2"/>
  <c r="V61" i="1" s="1"/>
  <c r="W61" i="1" s="1"/>
  <c r="Y49" i="2"/>
  <c r="V48" i="1" s="1"/>
  <c r="W48" i="1" s="1"/>
  <c r="Y57" i="2"/>
  <c r="V56" i="1" s="1"/>
  <c r="W56" i="1" s="1"/>
  <c r="I3" i="1"/>
  <c r="D100" i="1"/>
  <c r="N86" i="1"/>
  <c r="B86" i="1"/>
  <c r="C93" i="1"/>
  <c r="J84" i="1"/>
  <c r="C85" i="1"/>
  <c r="N125" i="1"/>
  <c r="B125" i="1"/>
  <c r="B77" i="1"/>
  <c r="N77" i="1"/>
  <c r="C183" i="1"/>
  <c r="B16" i="1"/>
  <c r="N16" i="1"/>
  <c r="P44" i="1"/>
  <c r="K44" i="1"/>
  <c r="D107" i="1"/>
  <c r="D24" i="1"/>
  <c r="C88" i="1"/>
  <c r="N57" i="1"/>
  <c r="B57" i="1"/>
  <c r="B120" i="1"/>
  <c r="N120" i="1"/>
  <c r="M44" i="1"/>
  <c r="B122" i="1"/>
  <c r="N122" i="1"/>
  <c r="C112" i="1"/>
  <c r="D152" i="1"/>
  <c r="D103" i="1"/>
  <c r="C186" i="1"/>
  <c r="M3" i="1"/>
  <c r="C63" i="1"/>
  <c r="C102" i="1"/>
  <c r="C5" i="1"/>
  <c r="D111" i="1"/>
  <c r="D25" i="1"/>
  <c r="D11" i="1"/>
  <c r="B7" i="1"/>
  <c r="N7" i="1"/>
  <c r="D101" i="1"/>
  <c r="D115" i="1"/>
  <c r="B32" i="1"/>
  <c r="N32" i="1"/>
  <c r="D120" i="1"/>
  <c r="C101" i="1"/>
  <c r="C89" i="1"/>
  <c r="D87" i="1"/>
  <c r="B29" i="1"/>
  <c r="N29" i="1"/>
  <c r="N79" i="1"/>
  <c r="B79" i="1"/>
  <c r="D88" i="1"/>
  <c r="D45" i="1"/>
  <c r="L44" i="1"/>
  <c r="D46" i="1"/>
  <c r="J44" i="1"/>
  <c r="C45" i="1"/>
  <c r="D94" i="1"/>
  <c r="C153" i="1"/>
  <c r="N89" i="1"/>
  <c r="B89" i="1"/>
  <c r="L84" i="1"/>
  <c r="D85" i="1"/>
  <c r="B53" i="1"/>
  <c r="N53" i="1"/>
  <c r="C172" i="1"/>
  <c r="D188" i="1"/>
  <c r="C126" i="1"/>
  <c r="D92" i="1"/>
  <c r="N13" i="1"/>
  <c r="B13" i="1"/>
  <c r="D119" i="1"/>
  <c r="D117" i="1"/>
  <c r="C181" i="1"/>
  <c r="C46" i="1"/>
  <c r="N93" i="1"/>
  <c r="B93" i="1"/>
  <c r="C29" i="1"/>
  <c r="D140" i="1"/>
  <c r="D164" i="1"/>
  <c r="C115" i="1"/>
  <c r="D26" i="1"/>
  <c r="N30" i="1"/>
  <c r="B30" i="1"/>
  <c r="D59" i="1"/>
  <c r="C103" i="1"/>
  <c r="C87" i="1"/>
  <c r="C10" i="1"/>
  <c r="D155" i="1"/>
  <c r="C129" i="1"/>
  <c r="D89" i="1"/>
  <c r="B17" i="1"/>
  <c r="N17" i="1"/>
  <c r="D63" i="1"/>
  <c r="C51" i="1"/>
  <c r="N87" i="1"/>
  <c r="B87" i="1"/>
  <c r="D99" i="1"/>
  <c r="N108" i="1"/>
  <c r="B108" i="1"/>
  <c r="C170" i="1"/>
  <c r="N95" i="1"/>
  <c r="B95" i="1"/>
  <c r="D102" i="1"/>
  <c r="D143" i="1"/>
  <c r="B63" i="1"/>
  <c r="N63" i="1"/>
  <c r="D12" i="1"/>
  <c r="C179" i="1"/>
  <c r="N124" i="1"/>
  <c r="B124" i="1"/>
  <c r="P3" i="1"/>
  <c r="D16" i="1"/>
  <c r="B31" i="1"/>
  <c r="N31" i="1"/>
  <c r="H84" i="1"/>
  <c r="N85" i="1"/>
  <c r="B85" i="1"/>
  <c r="C130" i="1"/>
  <c r="C49" i="1"/>
  <c r="N123" i="1"/>
  <c r="B123" i="1"/>
  <c r="C127" i="1"/>
  <c r="C157" i="1"/>
  <c r="Q44" i="1"/>
  <c r="D10" i="1"/>
  <c r="C178" i="1"/>
  <c r="D56" i="1"/>
  <c r="D176" i="1"/>
  <c r="C78" i="1"/>
  <c r="D93" i="1"/>
  <c r="B19" i="1"/>
  <c r="N19" i="1"/>
  <c r="C91" i="1"/>
  <c r="D168" i="1"/>
  <c r="B18" i="1"/>
  <c r="N18" i="1"/>
  <c r="D97" i="1"/>
  <c r="D116" i="1"/>
  <c r="C117" i="1"/>
  <c r="N61" i="1"/>
  <c r="B61" i="1"/>
  <c r="D31" i="1"/>
  <c r="B113" i="1"/>
  <c r="N113" i="1"/>
  <c r="D71" i="1"/>
  <c r="D158" i="1"/>
  <c r="D147" i="1"/>
  <c r="C96" i="1"/>
  <c r="N112" i="1"/>
  <c r="B112" i="1"/>
  <c r="B75" i="1"/>
  <c r="N75" i="1"/>
  <c r="C104" i="1"/>
  <c r="C185" i="1"/>
  <c r="B111" i="1"/>
  <c r="N111" i="1"/>
  <c r="N98" i="1"/>
  <c r="B98" i="1"/>
  <c r="I84" i="1"/>
  <c r="C100" i="1"/>
  <c r="B46" i="1"/>
  <c r="N46" i="1"/>
  <c r="N8" i="1"/>
  <c r="B8" i="1"/>
  <c r="B104" i="1"/>
  <c r="N104" i="1"/>
  <c r="C73" i="1"/>
  <c r="N74" i="1"/>
  <c r="B74" i="1"/>
  <c r="C160" i="1"/>
  <c r="C156" i="1"/>
  <c r="B12" i="1"/>
  <c r="N12" i="1"/>
  <c r="C151" i="1"/>
  <c r="D106" i="1"/>
  <c r="C114" i="1"/>
  <c r="C174" i="1"/>
  <c r="B96" i="1"/>
  <c r="N96" i="1"/>
  <c r="C12" i="1"/>
  <c r="B91" i="1"/>
  <c r="N91" i="1"/>
  <c r="C48" i="1"/>
  <c r="B38" i="1"/>
  <c r="N38" i="1"/>
  <c r="N35" i="1"/>
  <c r="B35" i="1"/>
  <c r="C23" i="1"/>
  <c r="C24" i="1"/>
  <c r="D57" i="1"/>
  <c r="D123" i="1"/>
  <c r="D127" i="1"/>
  <c r="D161" i="1"/>
  <c r="D144" i="1"/>
  <c r="B49" i="1"/>
  <c r="N49" i="1"/>
  <c r="N10" i="1"/>
  <c r="B10" i="1"/>
  <c r="T84" i="1"/>
  <c r="T132" i="1"/>
  <c r="N126" i="1"/>
  <c r="B126" i="1"/>
  <c r="N90" i="1"/>
  <c r="B90" i="1"/>
  <c r="C52" i="1"/>
  <c r="N88" i="1"/>
  <c r="B88" i="1"/>
  <c r="C110" i="1"/>
  <c r="B51" i="1"/>
  <c r="N51" i="1"/>
  <c r="C36" i="1"/>
  <c r="D76" i="1"/>
  <c r="C150" i="1"/>
  <c r="D50" i="1"/>
  <c r="D33" i="1"/>
  <c r="N99" i="1"/>
  <c r="B99" i="1"/>
  <c r="D6" i="1"/>
  <c r="D157" i="1"/>
  <c r="C182" i="1"/>
  <c r="B73" i="1"/>
  <c r="N73" i="1"/>
  <c r="C18" i="1"/>
  <c r="D90" i="1"/>
  <c r="K3" i="1"/>
  <c r="D20" i="1"/>
  <c r="C21" i="1"/>
  <c r="U44" i="1"/>
  <c r="D34" i="1"/>
  <c r="C31" i="1"/>
  <c r="D30" i="1"/>
  <c r="C187" i="1"/>
  <c r="C107" i="1"/>
  <c r="B102" i="1"/>
  <c r="N102" i="1"/>
  <c r="D74" i="1"/>
  <c r="D183" i="1"/>
  <c r="C118" i="1"/>
  <c r="D189" i="1"/>
  <c r="C11" i="1"/>
  <c r="C99" i="1"/>
  <c r="C180" i="1"/>
  <c r="D32" i="1"/>
  <c r="B52" i="1"/>
  <c r="N52" i="1"/>
  <c r="B33" i="1"/>
  <c r="N33" i="1"/>
  <c r="C47" i="1"/>
  <c r="D125" i="1"/>
  <c r="D142" i="1"/>
  <c r="N59" i="1"/>
  <c r="B59" i="1"/>
  <c r="U132" i="1"/>
  <c r="U84" i="1"/>
  <c r="C62" i="1"/>
  <c r="C71" i="1"/>
  <c r="C56" i="1"/>
  <c r="D96" i="1"/>
  <c r="C15" i="1"/>
  <c r="D153" i="1"/>
  <c r="C32" i="1"/>
  <c r="C177" i="1"/>
  <c r="C106" i="1"/>
  <c r="D73" i="1"/>
  <c r="C13" i="1"/>
  <c r="D72" i="1"/>
  <c r="N4" i="1"/>
  <c r="B4" i="1"/>
  <c r="H3" i="1"/>
  <c r="D113" i="1"/>
  <c r="C30" i="1"/>
  <c r="C109" i="1"/>
  <c r="B48" i="1"/>
  <c r="N48" i="1"/>
  <c r="C79" i="1"/>
  <c r="N142" i="1"/>
  <c r="C142" i="1"/>
  <c r="C123" i="1"/>
  <c r="N121" i="1"/>
  <c r="B121" i="1"/>
  <c r="D126" i="1"/>
  <c r="C176" i="1"/>
  <c r="D175" i="1"/>
  <c r="T44" i="1"/>
  <c r="C27" i="1"/>
  <c r="D91" i="1"/>
  <c r="N36" i="1"/>
  <c r="B36" i="1"/>
  <c r="N58" i="1"/>
  <c r="B58" i="1"/>
  <c r="D166" i="1"/>
  <c r="D141" i="1"/>
  <c r="D124" i="1"/>
  <c r="D187" i="1"/>
  <c r="N103" i="1"/>
  <c r="B103" i="1"/>
  <c r="D95" i="1"/>
  <c r="R44" i="1"/>
  <c r="C7" i="1"/>
  <c r="C105" i="1"/>
  <c r="C175" i="1"/>
  <c r="C37" i="1"/>
  <c r="C98" i="1"/>
  <c r="B5" i="1"/>
  <c r="N5" i="1"/>
  <c r="C189" i="1"/>
  <c r="U3" i="1"/>
  <c r="N105" i="1"/>
  <c r="B105" i="1"/>
  <c r="C188" i="1"/>
  <c r="N127" i="1"/>
  <c r="B127" i="1"/>
  <c r="C154" i="1"/>
  <c r="D130" i="1"/>
  <c r="D108" i="1"/>
  <c r="N37" i="1"/>
  <c r="B37" i="1"/>
  <c r="C53" i="1"/>
  <c r="N15" i="1"/>
  <c r="B15" i="1"/>
  <c r="C111" i="1"/>
  <c r="C86" i="1"/>
  <c r="D9" i="1"/>
  <c r="D29" i="1"/>
  <c r="N94" i="1"/>
  <c r="B94" i="1"/>
  <c r="N23" i="1"/>
  <c r="B23" i="1"/>
  <c r="N109" i="1"/>
  <c r="B109" i="1"/>
  <c r="D151" i="1"/>
  <c r="C159" i="1"/>
  <c r="C70" i="1"/>
  <c r="C94" i="1"/>
  <c r="C92" i="1"/>
  <c r="C77" i="1"/>
  <c r="D129" i="1"/>
  <c r="D79" i="1"/>
  <c r="C58" i="1"/>
  <c r="D53" i="1"/>
  <c r="D170" i="1"/>
  <c r="D139" i="1"/>
  <c r="C61" i="1"/>
  <c r="N71" i="1"/>
  <c r="B71" i="1"/>
  <c r="D78" i="1"/>
  <c r="C90" i="1"/>
  <c r="D19" i="1"/>
  <c r="C64" i="1"/>
  <c r="M84" i="1"/>
  <c r="B11" i="1"/>
  <c r="N11" i="1"/>
  <c r="C124" i="1"/>
  <c r="B64" i="1"/>
  <c r="N64" i="1"/>
  <c r="I44" i="1"/>
  <c r="N25" i="1"/>
  <c r="B25" i="1"/>
  <c r="D36" i="1"/>
  <c r="N92" i="1"/>
  <c r="B92" i="1"/>
  <c r="C50" i="1"/>
  <c r="N119" i="1"/>
  <c r="B119" i="1"/>
  <c r="R3" i="1"/>
  <c r="C75" i="1"/>
  <c r="C173" i="1"/>
  <c r="C119" i="1"/>
  <c r="D52" i="1"/>
  <c r="D51" i="1"/>
  <c r="B34" i="1"/>
  <c r="N34" i="1"/>
  <c r="N6" i="1"/>
  <c r="B6" i="1"/>
  <c r="D28" i="1"/>
  <c r="B50" i="1"/>
  <c r="N50" i="1"/>
  <c r="D185" i="1"/>
  <c r="S44" i="1"/>
  <c r="B128" i="1"/>
  <c r="N128" i="1"/>
  <c r="D165" i="1"/>
  <c r="D150" i="1"/>
  <c r="D167" i="1"/>
  <c r="N21" i="1"/>
  <c r="B21" i="1"/>
  <c r="D105" i="1"/>
  <c r="D5" i="1"/>
  <c r="B28" i="1"/>
  <c r="N28" i="1"/>
  <c r="D7" i="1"/>
  <c r="D177" i="1"/>
  <c r="D17" i="1"/>
  <c r="D154" i="1"/>
  <c r="D49" i="1"/>
  <c r="D172" i="1"/>
  <c r="D58" i="1"/>
  <c r="D184" i="1"/>
  <c r="D149" i="1"/>
  <c r="D104" i="1"/>
  <c r="D121" i="1"/>
  <c r="C35" i="1"/>
  <c r="C184" i="1"/>
  <c r="B101" i="1"/>
  <c r="N101" i="1"/>
  <c r="C120" i="1"/>
  <c r="D27" i="1"/>
  <c r="D64" i="1"/>
  <c r="B60" i="1"/>
  <c r="N60" i="1"/>
  <c r="D112" i="1"/>
  <c r="C125" i="1"/>
  <c r="D122" i="1"/>
  <c r="C166" i="1"/>
  <c r="C4" i="1"/>
  <c r="J3" i="1"/>
  <c r="B70" i="1"/>
  <c r="N70" i="1"/>
  <c r="D13" i="1"/>
  <c r="C171" i="1"/>
  <c r="D8" i="1"/>
  <c r="B118" i="1"/>
  <c r="N118" i="1"/>
  <c r="N72" i="1"/>
  <c r="B72" i="1"/>
  <c r="C122" i="1"/>
  <c r="D38" i="1"/>
  <c r="D138" i="1"/>
  <c r="L136" i="1"/>
  <c r="K84" i="1"/>
  <c r="N78" i="1"/>
  <c r="B78" i="1"/>
  <c r="D62" i="1"/>
  <c r="C121" i="1"/>
  <c r="C26" i="1"/>
  <c r="N76" i="1"/>
  <c r="B76" i="1"/>
  <c r="N107" i="1"/>
  <c r="B107" i="1"/>
  <c r="B110" i="1"/>
  <c r="N110" i="1"/>
  <c r="D35" i="1"/>
  <c r="D148" i="1"/>
  <c r="D98" i="1"/>
  <c r="D21" i="1"/>
  <c r="N45" i="1"/>
  <c r="H44" i="1"/>
  <c r="B45" i="1"/>
  <c r="D18" i="1"/>
  <c r="D179" i="1"/>
  <c r="C97" i="1"/>
  <c r="D181" i="1"/>
  <c r="C16" i="1"/>
  <c r="D75" i="1"/>
  <c r="C60" i="1"/>
  <c r="N56" i="1"/>
  <c r="B56" i="1"/>
  <c r="D110" i="1"/>
  <c r="D23" i="1"/>
  <c r="C116" i="1"/>
  <c r="N22" i="1"/>
  <c r="B22" i="1"/>
  <c r="D178" i="1"/>
  <c r="B114" i="1"/>
  <c r="N114" i="1"/>
  <c r="N146" i="1"/>
  <c r="C146" i="1"/>
  <c r="D60" i="1"/>
  <c r="C28" i="1"/>
  <c r="D128" i="1"/>
  <c r="B47" i="1"/>
  <c r="N47" i="1"/>
  <c r="B20" i="1"/>
  <c r="N20" i="1"/>
  <c r="D37" i="1"/>
  <c r="C95" i="1"/>
  <c r="C152" i="1"/>
  <c r="N100" i="1"/>
  <c r="B100" i="1"/>
  <c r="N106" i="1"/>
  <c r="B106" i="1"/>
  <c r="C25" i="1"/>
  <c r="D173" i="1"/>
  <c r="C19" i="1"/>
  <c r="N14" i="1"/>
  <c r="B14" i="1"/>
  <c r="M136" i="1"/>
  <c r="S3" i="1"/>
  <c r="C9" i="1"/>
  <c r="D156" i="1"/>
  <c r="B27" i="1"/>
  <c r="N27" i="1"/>
  <c r="D70" i="1"/>
  <c r="N144" i="1"/>
  <c r="C144" i="1"/>
  <c r="C57" i="1"/>
  <c r="C6" i="1"/>
  <c r="N139" i="1"/>
  <c r="C139" i="1"/>
  <c r="N24" i="1"/>
  <c r="B24" i="1"/>
  <c r="C162" i="1"/>
  <c r="N26" i="1"/>
  <c r="B26" i="1"/>
  <c r="B130" i="1"/>
  <c r="N130" i="1"/>
  <c r="C38" i="1"/>
  <c r="D114" i="1"/>
  <c r="N141" i="1"/>
  <c r="C141" i="1"/>
  <c r="N116" i="1"/>
  <c r="B116" i="1"/>
  <c r="B115" i="1"/>
  <c r="N115" i="1"/>
  <c r="N148" i="1"/>
  <c r="C148" i="1"/>
  <c r="D162" i="1"/>
  <c r="D169" i="1"/>
  <c r="D171" i="1"/>
  <c r="D174" i="1"/>
  <c r="D118" i="1"/>
  <c r="D145" i="1"/>
  <c r="D15" i="1"/>
  <c r="C20" i="1"/>
  <c r="C163" i="1"/>
  <c r="D77" i="1"/>
  <c r="N62" i="1"/>
  <c r="B62" i="1"/>
  <c r="C113" i="1"/>
  <c r="S84" i="1"/>
  <c r="S132" i="1"/>
  <c r="D86" i="1"/>
  <c r="P136" i="1"/>
  <c r="C72" i="1"/>
  <c r="C128" i="1"/>
  <c r="C108" i="1"/>
  <c r="C169" i="1"/>
  <c r="T136" i="1"/>
  <c r="C158" i="1"/>
  <c r="D159" i="1"/>
  <c r="C149" i="1"/>
  <c r="Q136" i="1"/>
  <c r="C33" i="1"/>
  <c r="C8" i="1"/>
  <c r="C164" i="1"/>
  <c r="C168" i="1"/>
  <c r="D14" i="1"/>
  <c r="C161" i="1"/>
  <c r="C74" i="1"/>
  <c r="B9" i="1"/>
  <c r="N9" i="1"/>
  <c r="C22" i="1"/>
  <c r="N145" i="1"/>
  <c r="C145" i="1"/>
  <c r="C59" i="1"/>
  <c r="B129" i="1"/>
  <c r="N129" i="1"/>
  <c r="D160" i="1"/>
  <c r="D186" i="1"/>
  <c r="N138" i="1"/>
  <c r="C138" i="1"/>
  <c r="D182" i="1"/>
  <c r="C155" i="1"/>
  <c r="U136" i="1"/>
  <c r="C34" i="1"/>
  <c r="W85" i="1"/>
  <c r="R84" i="1"/>
  <c r="R132" i="1"/>
  <c r="C165" i="1"/>
  <c r="N140" i="1"/>
  <c r="C140" i="1"/>
  <c r="D109" i="1"/>
  <c r="N147" i="1"/>
  <c r="C147" i="1"/>
  <c r="N137" i="1"/>
  <c r="C137" i="1"/>
  <c r="E137" i="1" s="1"/>
  <c r="J136" i="1"/>
  <c r="S136" i="1"/>
  <c r="D22" i="1"/>
  <c r="C17" i="1"/>
  <c r="D48" i="1"/>
  <c r="D180" i="1"/>
  <c r="R136" i="1"/>
  <c r="D47" i="1"/>
  <c r="P132" i="1"/>
  <c r="P84" i="1"/>
  <c r="Q3" i="1"/>
  <c r="D146" i="1"/>
  <c r="D61" i="1"/>
  <c r="L3" i="1"/>
  <c r="D4" i="1"/>
  <c r="D163" i="1"/>
  <c r="C167" i="1"/>
  <c r="B117" i="1"/>
  <c r="N117" i="1"/>
  <c r="N97" i="1"/>
  <c r="B97" i="1"/>
  <c r="K136" i="1"/>
  <c r="N143" i="1"/>
  <c r="C143" i="1"/>
  <c r="C76" i="1"/>
  <c r="T3" i="1"/>
  <c r="C14" i="1"/>
  <c r="Y93" i="2"/>
  <c r="V92" i="1" s="1"/>
  <c r="W92" i="1" s="1"/>
  <c r="Y14" i="2"/>
  <c r="V13" i="1" s="1"/>
  <c r="W13" i="1" s="1"/>
  <c r="Y110" i="2"/>
  <c r="V109" i="1" s="1"/>
  <c r="W109" i="1" s="1"/>
  <c r="Y104" i="2"/>
  <c r="V103" i="1" s="1"/>
  <c r="W103" i="1" s="1"/>
  <c r="Y32" i="2"/>
  <c r="V31" i="1" s="1"/>
  <c r="W31" i="1" s="1"/>
  <c r="Y161" i="2"/>
  <c r="V160" i="1" s="1"/>
  <c r="W160" i="1" s="1"/>
  <c r="Y121" i="2"/>
  <c r="V120" i="1" s="1"/>
  <c r="W120" i="1" s="1"/>
  <c r="Y11" i="2"/>
  <c r="V10" i="1" s="1"/>
  <c r="W10" i="1" s="1"/>
  <c r="Y107" i="2"/>
  <c r="V106" i="1" s="1"/>
  <c r="W106" i="1" s="1"/>
  <c r="Y95" i="2"/>
  <c r="V94" i="1" s="1"/>
  <c r="W94" i="1" s="1"/>
  <c r="Y76" i="2"/>
  <c r="V75" i="1" s="1"/>
  <c r="W75" i="1" s="1"/>
  <c r="Y102" i="2"/>
  <c r="V101" i="1" s="1"/>
  <c r="W101" i="1" s="1"/>
  <c r="Y128" i="2"/>
  <c r="V127" i="1" s="1"/>
  <c r="W127" i="1" s="1"/>
  <c r="Y108" i="2"/>
  <c r="V107" i="1" s="1"/>
  <c r="W107" i="1" s="1"/>
  <c r="Y74" i="2"/>
  <c r="V73" i="1" s="1"/>
  <c r="W73" i="1" s="1"/>
  <c r="Y182" i="2"/>
  <c r="V181" i="1" s="1"/>
  <c r="W181" i="1" s="1"/>
  <c r="Y172" i="2"/>
  <c r="V171" i="1" s="1"/>
  <c r="W171" i="1" s="1"/>
  <c r="Y175" i="2"/>
  <c r="V174" i="1" s="1"/>
  <c r="W174" i="1" s="1"/>
  <c r="Y33" i="2"/>
  <c r="V32" i="1" s="1"/>
  <c r="W32" i="1" s="1"/>
  <c r="AB54" i="4" s="1"/>
  <c r="J54" i="4" s="1"/>
  <c r="Y170" i="2"/>
  <c r="V169" i="1" s="1"/>
  <c r="W169" i="1" s="1"/>
  <c r="Y176" i="2"/>
  <c r="V175" i="1" s="1"/>
  <c r="W175" i="1" s="1"/>
  <c r="Y122" i="2"/>
  <c r="V121" i="1" s="1"/>
  <c r="W121" i="1" s="1"/>
  <c r="Y10" i="2"/>
  <c r="V9" i="1" s="1"/>
  <c r="W9" i="1" s="1"/>
  <c r="Y99" i="2"/>
  <c r="V98" i="1" s="1"/>
  <c r="W98" i="1" s="1"/>
  <c r="Y16" i="2"/>
  <c r="V15" i="1" s="1"/>
  <c r="W15" i="1" s="1"/>
  <c r="Y21" i="2"/>
  <c r="V20" i="1" s="1"/>
  <c r="W20" i="1" s="1"/>
  <c r="Y71" i="2"/>
  <c r="V70" i="1" s="1"/>
  <c r="W70" i="1" s="1"/>
  <c r="Y101" i="2"/>
  <c r="V100" i="1" s="1"/>
  <c r="W100" i="1" s="1"/>
  <c r="Y111" i="2"/>
  <c r="V110" i="1" s="1"/>
  <c r="W110" i="1" s="1"/>
  <c r="Y68" i="2"/>
  <c r="V67" i="1" s="1"/>
  <c r="W67" i="1" s="1"/>
  <c r="Y69" i="2"/>
  <c r="V68" i="1" s="1"/>
  <c r="W68" i="1" s="1"/>
  <c r="Y9" i="2"/>
  <c r="V8" i="1" s="1"/>
  <c r="W8" i="1" s="1"/>
  <c r="AB19" i="4" s="1"/>
  <c r="J19" i="4" s="1"/>
  <c r="Y129" i="2"/>
  <c r="V128" i="1" s="1"/>
  <c r="W128" i="1" s="1"/>
  <c r="Y180" i="2"/>
  <c r="V179" i="1" s="1"/>
  <c r="W179" i="1" s="1"/>
  <c r="Y103" i="2"/>
  <c r="V102" i="1" s="1"/>
  <c r="W102" i="1" s="1"/>
  <c r="Y185" i="2"/>
  <c r="V184" i="1" s="1"/>
  <c r="W184" i="1" s="1"/>
  <c r="Y171" i="2"/>
  <c r="V170" i="1" s="1"/>
  <c r="W170" i="1" s="1"/>
  <c r="Y163" i="2"/>
  <c r="V162" i="1" s="1"/>
  <c r="W162" i="1" s="1"/>
  <c r="Y187" i="2"/>
  <c r="V186" i="1" s="1"/>
  <c r="W186" i="1" s="1"/>
  <c r="Y94" i="2"/>
  <c r="V93" i="1" s="1"/>
  <c r="W93" i="1" s="1"/>
  <c r="Y39" i="2"/>
  <c r="V38" i="1" s="1"/>
  <c r="W38" i="1" s="1"/>
  <c r="Y12" i="2"/>
  <c r="V11" i="1" s="1"/>
  <c r="W11" i="1" s="1"/>
  <c r="Y79" i="2"/>
  <c r="V78" i="1" s="1"/>
  <c r="W78" i="1" s="1"/>
  <c r="Y77" i="2"/>
  <c r="V76" i="1" s="1"/>
  <c r="W76" i="1" s="1"/>
  <c r="Y179" i="2"/>
  <c r="V178" i="1" s="1"/>
  <c r="W178" i="1" s="1"/>
  <c r="Y17" i="2"/>
  <c r="V16" i="1" s="1"/>
  <c r="W16" i="1" s="1"/>
  <c r="AB27" i="4" s="1"/>
  <c r="J27" i="4" s="1"/>
  <c r="Y30" i="2"/>
  <c r="V29" i="1" s="1"/>
  <c r="W29" i="1" s="1"/>
  <c r="Y164" i="2"/>
  <c r="V163" i="1" s="1"/>
  <c r="W163" i="1" s="1"/>
  <c r="Y98" i="2"/>
  <c r="V97" i="1" s="1"/>
  <c r="W97" i="1" s="1"/>
  <c r="Y88" i="2"/>
  <c r="V87" i="1" s="1"/>
  <c r="W87" i="1" s="1"/>
  <c r="Y100" i="2"/>
  <c r="V99" i="1" s="1"/>
  <c r="W99" i="1" s="1"/>
  <c r="Y189" i="2"/>
  <c r="V188" i="1" s="1"/>
  <c r="W188" i="1" s="1"/>
  <c r="Y186" i="2"/>
  <c r="V185" i="1" s="1"/>
  <c r="W185" i="1" s="1"/>
  <c r="Y6" i="2"/>
  <c r="V5" i="1" s="1"/>
  <c r="W5" i="1" s="1"/>
  <c r="Y118" i="2"/>
  <c r="V117" i="1" s="1"/>
  <c r="W117" i="1" s="1"/>
  <c r="Y34" i="2"/>
  <c r="V33" i="1" s="1"/>
  <c r="W33" i="1" s="1"/>
  <c r="Y37" i="2"/>
  <c r="V36" i="1" s="1"/>
  <c r="W36" i="1" s="1"/>
  <c r="Y70" i="2"/>
  <c r="V69" i="1" s="1"/>
  <c r="W69" i="1" s="1"/>
  <c r="Y24" i="2"/>
  <c r="V23" i="1" s="1"/>
  <c r="W23" i="1" s="1"/>
  <c r="Y159" i="2"/>
  <c r="V158" i="1" s="1"/>
  <c r="W158" i="1" s="1"/>
  <c r="Y23" i="2"/>
  <c r="V22" i="1" s="1"/>
  <c r="W22" i="1" s="1"/>
  <c r="Y188" i="2"/>
  <c r="V187" i="1" s="1"/>
  <c r="W187" i="1" s="1"/>
  <c r="Y20" i="2"/>
  <c r="V19" i="1" s="1"/>
  <c r="W19" i="1" s="1"/>
  <c r="Y80" i="2"/>
  <c r="V79" i="1" s="1"/>
  <c r="W79" i="1" s="1"/>
  <c r="Y97" i="2"/>
  <c r="V96" i="1" s="1"/>
  <c r="W96" i="1" s="1"/>
  <c r="Y116" i="2"/>
  <c r="V115" i="1" s="1"/>
  <c r="W115" i="1" s="1"/>
  <c r="Y184" i="2"/>
  <c r="V183" i="1" s="1"/>
  <c r="W183" i="1" s="1"/>
  <c r="Y29" i="2"/>
  <c r="V28" i="1" s="1"/>
  <c r="W28" i="1" s="1"/>
  <c r="Y130" i="2"/>
  <c r="V129" i="1" s="1"/>
  <c r="W129" i="1" s="1"/>
  <c r="Y78" i="2"/>
  <c r="V77" i="1" s="1"/>
  <c r="W77" i="1" s="1"/>
  <c r="Y173" i="2"/>
  <c r="V172" i="1" s="1"/>
  <c r="W172" i="1" s="1"/>
  <c r="Y131" i="2"/>
  <c r="V130" i="1" s="1"/>
  <c r="W130" i="1" s="1"/>
  <c r="Y28" i="2"/>
  <c r="V27" i="1" s="1"/>
  <c r="W27" i="1" s="1"/>
  <c r="Y91" i="2"/>
  <c r="V90" i="1" s="1"/>
  <c r="W90" i="1" s="1"/>
  <c r="Y166" i="2"/>
  <c r="V165" i="1" s="1"/>
  <c r="W165" i="1" s="1"/>
  <c r="Y120" i="2"/>
  <c r="V119" i="1" s="1"/>
  <c r="W119" i="1" s="1"/>
  <c r="Y7" i="2"/>
  <c r="V6" i="1" s="1"/>
  <c r="W6" i="1" s="1"/>
  <c r="AB17" i="4" s="1"/>
  <c r="J17" i="4" s="1"/>
  <c r="Y126" i="2"/>
  <c r="V125" i="1" s="1"/>
  <c r="W125" i="1" s="1"/>
  <c r="Y106" i="2"/>
  <c r="V105" i="1" s="1"/>
  <c r="W105" i="1" s="1"/>
  <c r="Y105" i="2"/>
  <c r="V104" i="1" s="1"/>
  <c r="W104" i="1" s="1"/>
  <c r="Y115" i="2"/>
  <c r="V114" i="1" s="1"/>
  <c r="W114" i="1" s="1"/>
  <c r="Y67" i="2"/>
  <c r="V66" i="1" s="1"/>
  <c r="W66" i="1" s="1"/>
  <c r="Y8" i="2"/>
  <c r="V7" i="1" s="1"/>
  <c r="W7" i="1" s="1"/>
  <c r="Y89" i="2"/>
  <c r="V88" i="1" s="1"/>
  <c r="W88" i="1" s="1"/>
  <c r="Y178" i="2"/>
  <c r="V177" i="1" s="1"/>
  <c r="W177" i="1" s="1"/>
  <c r="Y75" i="2"/>
  <c r="V74" i="1" s="1"/>
  <c r="W74" i="1" s="1"/>
  <c r="Y160" i="2"/>
  <c r="V159" i="1" s="1"/>
  <c r="W159" i="1" s="1"/>
  <c r="Y73" i="2"/>
  <c r="V72" i="1" s="1"/>
  <c r="W72" i="1" s="1"/>
  <c r="Y25" i="2"/>
  <c r="V24" i="1" s="1"/>
  <c r="W24" i="1" s="1"/>
  <c r="Y38" i="2"/>
  <c r="V37" i="1" s="1"/>
  <c r="W37" i="1" s="1"/>
  <c r="Y174" i="2"/>
  <c r="V173" i="1" s="1"/>
  <c r="W173" i="1" s="1"/>
  <c r="Y22" i="2"/>
  <c r="V21" i="1" s="1"/>
  <c r="W21" i="1" s="1"/>
  <c r="Y36" i="2"/>
  <c r="V35" i="1" s="1"/>
  <c r="W35" i="1" s="1"/>
  <c r="Y19" i="2"/>
  <c r="V18" i="1" s="1"/>
  <c r="W18" i="1" s="1"/>
  <c r="Y72" i="2"/>
  <c r="V71" i="1" s="1"/>
  <c r="W71" i="1" s="1"/>
  <c r="Y177" i="2"/>
  <c r="V176" i="1" s="1"/>
  <c r="W176" i="1" s="1"/>
  <c r="Y26" i="2"/>
  <c r="V25" i="1" s="1"/>
  <c r="W25" i="1" s="1"/>
  <c r="Y96" i="2"/>
  <c r="V95" i="1" s="1"/>
  <c r="W95" i="1" s="1"/>
  <c r="Y168" i="2"/>
  <c r="V167" i="1" s="1"/>
  <c r="W167" i="1" s="1"/>
  <c r="Y124" i="2"/>
  <c r="V123" i="1" s="1"/>
  <c r="W123" i="1" s="1"/>
  <c r="Y190" i="2"/>
  <c r="V189" i="1" s="1"/>
  <c r="W189" i="1" s="1"/>
  <c r="Y113" i="2"/>
  <c r="V112" i="1" s="1"/>
  <c r="W112" i="1" s="1"/>
  <c r="Y169" i="2"/>
  <c r="V168" i="1" s="1"/>
  <c r="W168" i="1" s="1"/>
  <c r="Y119" i="2"/>
  <c r="V118" i="1" s="1"/>
  <c r="W118" i="1" s="1"/>
  <c r="Y15" i="2"/>
  <c r="V14" i="1" s="1"/>
  <c r="W14" i="1" s="1"/>
  <c r="AB25" i="4" s="1"/>
  <c r="J25" i="4" s="1"/>
  <c r="Y18" i="2"/>
  <c r="V17" i="1" s="1"/>
  <c r="W17" i="1" s="1"/>
  <c r="Y117" i="2"/>
  <c r="V116" i="1" s="1"/>
  <c r="W116" i="1" s="1"/>
  <c r="Y165" i="2"/>
  <c r="V164" i="1" s="1"/>
  <c r="W164" i="1" s="1"/>
  <c r="Y123" i="2"/>
  <c r="V122" i="1" s="1"/>
  <c r="W122" i="1" s="1"/>
  <c r="Y125" i="2"/>
  <c r="V124" i="1" s="1"/>
  <c r="W124" i="1" s="1"/>
  <c r="Y35" i="2"/>
  <c r="V34" i="1" s="1"/>
  <c r="W34" i="1" s="1"/>
  <c r="Y114" i="2"/>
  <c r="V113" i="1" s="1"/>
  <c r="W113" i="1" s="1"/>
  <c r="Y162" i="2"/>
  <c r="V161" i="1" s="1"/>
  <c r="W161" i="1" s="1"/>
  <c r="Y31" i="2"/>
  <c r="V30" i="1" s="1"/>
  <c r="W30" i="1" s="1"/>
  <c r="Y112" i="2"/>
  <c r="V111" i="1" s="1"/>
  <c r="W111" i="1" s="1"/>
  <c r="Y167" i="2"/>
  <c r="V166" i="1" s="1"/>
  <c r="W166" i="1" s="1"/>
  <c r="Y181" i="2"/>
  <c r="V180" i="1" s="1"/>
  <c r="W180" i="1" s="1"/>
  <c r="Y90" i="2"/>
  <c r="V89" i="1" s="1"/>
  <c r="W89" i="1" s="1"/>
  <c r="Y13" i="2"/>
  <c r="V12" i="1" s="1"/>
  <c r="W12" i="1" s="1"/>
  <c r="Y183" i="2"/>
  <c r="V182" i="1" s="1"/>
  <c r="W182" i="1" s="1"/>
  <c r="Y27" i="2"/>
  <c r="V26" i="1" s="1"/>
  <c r="W26" i="1" s="1"/>
  <c r="AB42" i="4" s="1"/>
  <c r="J42" i="4" s="1"/>
  <c r="Y92" i="2"/>
  <c r="V91" i="1" s="1"/>
  <c r="W91" i="1" s="1"/>
  <c r="Y109" i="2"/>
  <c r="V108" i="1" s="1"/>
  <c r="W108" i="1" s="1"/>
  <c r="Y127" i="2"/>
  <c r="V126" i="1" s="1"/>
  <c r="W126" i="1" s="1"/>
  <c r="E157" i="1" l="1"/>
  <c r="E30" i="1"/>
  <c r="AD11" i="4"/>
  <c r="K11" i="4" s="1"/>
  <c r="AD9" i="4"/>
  <c r="K9" i="4" s="1"/>
  <c r="AH13" i="4"/>
  <c r="M13" i="4" s="1"/>
  <c r="AF15" i="4"/>
  <c r="L15" i="4" s="1"/>
  <c r="AD42" i="4"/>
  <c r="K42" i="4" s="1"/>
  <c r="AB39" i="4"/>
  <c r="J39" i="4" s="1"/>
  <c r="AB47" i="4"/>
  <c r="J47" i="4" s="1"/>
  <c r="AD47" i="4"/>
  <c r="K47" i="4" s="1"/>
  <c r="AD40" i="4"/>
  <c r="K40" i="4" s="1"/>
  <c r="AB46" i="4"/>
  <c r="J46" i="4" s="1"/>
  <c r="AD38" i="4"/>
  <c r="K38" i="4" s="1"/>
  <c r="AD45" i="4"/>
  <c r="K45" i="4" s="1"/>
  <c r="AD10" i="4"/>
  <c r="K10" i="4" s="1"/>
  <c r="AB40" i="4"/>
  <c r="J40" i="4" s="1"/>
  <c r="AB8" i="4"/>
  <c r="J8" i="4" s="1"/>
  <c r="AB12" i="4"/>
  <c r="J12" i="4" s="1"/>
  <c r="AF8" i="4"/>
  <c r="L8" i="4" s="1"/>
  <c r="AF7" i="4"/>
  <c r="L7" i="4" s="1"/>
  <c r="AB16" i="4"/>
  <c r="J16" i="4" s="1"/>
  <c r="AB44" i="4"/>
  <c r="J44" i="4" s="1"/>
  <c r="AB48" i="4"/>
  <c r="J48" i="4" s="1"/>
  <c r="AF9" i="4"/>
  <c r="L9" i="4" s="1"/>
  <c r="AH9" i="4"/>
  <c r="M9" i="4" s="1"/>
  <c r="AF11" i="4"/>
  <c r="L11" i="4" s="1"/>
  <c r="AD44" i="4"/>
  <c r="K44" i="4" s="1"/>
  <c r="AH11" i="4"/>
  <c r="M11" i="4" s="1"/>
  <c r="AH17" i="4"/>
  <c r="M17" i="4" s="1"/>
  <c r="AD8" i="4"/>
  <c r="K8" i="4" s="1"/>
  <c r="AD7" i="4"/>
  <c r="K7" i="4" s="1"/>
  <c r="AH10" i="4"/>
  <c r="M10" i="4" s="1"/>
  <c r="AD17" i="4"/>
  <c r="K17" i="4" s="1"/>
  <c r="AD16" i="4"/>
  <c r="K16" i="4" s="1"/>
  <c r="AH14" i="4"/>
  <c r="M14" i="4" s="1"/>
  <c r="AB52" i="4"/>
  <c r="J52" i="4" s="1"/>
  <c r="AF13" i="4"/>
  <c r="L13" i="4" s="1"/>
  <c r="AH48" i="4"/>
  <c r="M48" i="4" s="1"/>
  <c r="AF41" i="4"/>
  <c r="L41" i="4" s="1"/>
  <c r="AD39" i="4"/>
  <c r="K39" i="4" s="1"/>
  <c r="AD15" i="4"/>
  <c r="K15" i="4" s="1"/>
  <c r="AD14" i="4"/>
  <c r="K14" i="4" s="1"/>
  <c r="AF47" i="4"/>
  <c r="L47" i="4" s="1"/>
  <c r="AB56" i="4"/>
  <c r="J56" i="4" s="1"/>
  <c r="AF45" i="4"/>
  <c r="L45" i="4" s="1"/>
  <c r="AF46" i="4"/>
  <c r="L46" i="4" s="1"/>
  <c r="AF38" i="4"/>
  <c r="L38" i="4" s="1"/>
  <c r="AF44" i="4"/>
  <c r="L44" i="4" s="1"/>
  <c r="AD48" i="4"/>
  <c r="K48" i="4" s="1"/>
  <c r="AH47" i="4"/>
  <c r="M47" i="4" s="1"/>
  <c r="AF43" i="4"/>
  <c r="L43" i="4" s="1"/>
  <c r="AH44" i="4"/>
  <c r="M44" i="4" s="1"/>
  <c r="AD41" i="4"/>
  <c r="K41" i="4" s="1"/>
  <c r="AD43" i="4"/>
  <c r="K43" i="4" s="1"/>
  <c r="AB35" i="4"/>
  <c r="J35" i="4" s="1"/>
  <c r="AB38" i="4"/>
  <c r="J38" i="4" s="1"/>
  <c r="AB58" i="4"/>
  <c r="J58" i="4" s="1"/>
  <c r="AB60" i="4"/>
  <c r="J60" i="4" s="1"/>
  <c r="AF42" i="4"/>
  <c r="L42" i="4" s="1"/>
  <c r="AH40" i="4"/>
  <c r="M40" i="4" s="1"/>
  <c r="AH43" i="4"/>
  <c r="M43" i="4" s="1"/>
  <c r="AD46" i="4"/>
  <c r="K46" i="4" s="1"/>
  <c r="AH12" i="4"/>
  <c r="M12" i="4" s="1"/>
  <c r="AF48" i="4"/>
  <c r="L48" i="4" s="1"/>
  <c r="AF40" i="4"/>
  <c r="L40" i="4" s="1"/>
  <c r="AF39" i="4"/>
  <c r="L39" i="4" s="1"/>
  <c r="AH39" i="4"/>
  <c r="M39" i="4" s="1"/>
  <c r="AH38" i="4"/>
  <c r="M38" i="4" s="1"/>
  <c r="AB31" i="4"/>
  <c r="J31" i="4" s="1"/>
  <c r="AB41" i="4"/>
  <c r="AH46" i="4"/>
  <c r="M46" i="4" s="1"/>
  <c r="AH45" i="4"/>
  <c r="M45" i="4" s="1"/>
  <c r="AB33" i="4"/>
  <c r="J33" i="4" s="1"/>
  <c r="AB45" i="4"/>
  <c r="AB32" i="4"/>
  <c r="J32" i="4" s="1"/>
  <c r="AB43" i="4"/>
  <c r="AH42" i="4"/>
  <c r="M42" i="4" s="1"/>
  <c r="AH41" i="4"/>
  <c r="M41" i="4" s="1"/>
  <c r="AF17" i="4"/>
  <c r="L17" i="4" s="1"/>
  <c r="AB6" i="4"/>
  <c r="J6" i="4" s="1"/>
  <c r="AF12" i="4"/>
  <c r="L12" i="4" s="1"/>
  <c r="AF14" i="4"/>
  <c r="L14" i="4" s="1"/>
  <c r="AF16" i="4"/>
  <c r="L16" i="4" s="1"/>
  <c r="AF10" i="4"/>
  <c r="L10" i="4" s="1"/>
  <c r="AB4" i="4"/>
  <c r="J4" i="4" s="1"/>
  <c r="AD13" i="4"/>
  <c r="AD12" i="4"/>
  <c r="K12" i="4" s="1"/>
  <c r="AH8" i="4"/>
  <c r="M8" i="4" s="1"/>
  <c r="AH7" i="4"/>
  <c r="AH15" i="4"/>
  <c r="M15" i="4" s="1"/>
  <c r="AH16" i="4"/>
  <c r="M16" i="4" s="1"/>
  <c r="AB21" i="4"/>
  <c r="J21" i="4" s="1"/>
  <c r="AB10" i="4"/>
  <c r="AB23" i="4"/>
  <c r="J23" i="4" s="1"/>
  <c r="AB14" i="4"/>
  <c r="AB26" i="4"/>
  <c r="J26" i="4" s="1"/>
  <c r="E166" i="1"/>
  <c r="AH5" i="4"/>
  <c r="M5" i="4" s="1"/>
  <c r="AH4" i="4"/>
  <c r="M4" i="4" s="1"/>
  <c r="AH18" i="4"/>
  <c r="M18" i="4" s="1"/>
  <c r="AH24" i="4"/>
  <c r="M24" i="4" s="1"/>
  <c r="AH22" i="4"/>
  <c r="M22" i="4" s="1"/>
  <c r="AH20" i="4"/>
  <c r="M20" i="4" s="1"/>
  <c r="AB24" i="4"/>
  <c r="J24" i="4" s="1"/>
  <c r="E130" i="1"/>
  <c r="AH57" i="4"/>
  <c r="M57" i="4" s="1"/>
  <c r="AH58" i="4"/>
  <c r="M58" i="4" s="1"/>
  <c r="AH55" i="4"/>
  <c r="M55" i="4" s="1"/>
  <c r="AH56" i="4"/>
  <c r="M56" i="4" s="1"/>
  <c r="AH53" i="4"/>
  <c r="M53" i="4" s="1"/>
  <c r="AH60" i="4"/>
  <c r="M60" i="4" s="1"/>
  <c r="AH23" i="4"/>
  <c r="M23" i="4" s="1"/>
  <c r="AH54" i="4"/>
  <c r="M54" i="4" s="1"/>
  <c r="AH59" i="4"/>
  <c r="M59" i="4" s="1"/>
  <c r="AH19" i="4"/>
  <c r="M19" i="4" s="1"/>
  <c r="AH21" i="4"/>
  <c r="M21" i="4" s="1"/>
  <c r="AH52" i="4"/>
  <c r="M52" i="4" s="1"/>
  <c r="AH25" i="4"/>
  <c r="M25" i="4" s="1"/>
  <c r="AH6" i="4"/>
  <c r="M6" i="4" s="1"/>
  <c r="AD4" i="4"/>
  <c r="K4" i="4" s="1"/>
  <c r="E182" i="1"/>
  <c r="AD35" i="4"/>
  <c r="K35" i="4" s="1"/>
  <c r="AD36" i="4"/>
  <c r="K36" i="4" s="1"/>
  <c r="AB51" i="4"/>
  <c r="J51" i="4" s="1"/>
  <c r="AB55" i="4"/>
  <c r="J55" i="4" s="1"/>
  <c r="AD52" i="4"/>
  <c r="K52" i="4" s="1"/>
  <c r="AD37" i="4"/>
  <c r="K37" i="4" s="1"/>
  <c r="AB20" i="4"/>
  <c r="J20" i="4" s="1"/>
  <c r="AB53" i="4"/>
  <c r="J53" i="4" s="1"/>
  <c r="AB37" i="4"/>
  <c r="J37" i="4" s="1"/>
  <c r="AB57" i="4"/>
  <c r="J57" i="4" s="1"/>
  <c r="AB50" i="4"/>
  <c r="J50" i="4" s="1"/>
  <c r="AB28" i="4"/>
  <c r="J28" i="4" s="1"/>
  <c r="AB36" i="4"/>
  <c r="J36" i="4" s="1"/>
  <c r="AB59" i="4"/>
  <c r="J59" i="4" s="1"/>
  <c r="AB29" i="4"/>
  <c r="J29" i="4" s="1"/>
  <c r="AB5" i="4"/>
  <c r="J5" i="4" s="1"/>
  <c r="E164" i="1"/>
  <c r="E169" i="1"/>
  <c r="C44" i="1"/>
  <c r="AD30" i="4"/>
  <c r="K30" i="4" s="1"/>
  <c r="B44" i="1"/>
  <c r="E188" i="1"/>
  <c r="AD18" i="4"/>
  <c r="K18" i="4" s="1"/>
  <c r="C3" i="1"/>
  <c r="AD24" i="4"/>
  <c r="K24" i="4" s="1"/>
  <c r="E185" i="1"/>
  <c r="AD49" i="4"/>
  <c r="K49" i="4" s="1"/>
  <c r="AD5" i="4"/>
  <c r="K5" i="4" s="1"/>
  <c r="AD20" i="4"/>
  <c r="K20" i="4" s="1"/>
  <c r="B84" i="1"/>
  <c r="AD23" i="4"/>
  <c r="K23" i="4" s="1"/>
  <c r="AD31" i="4"/>
  <c r="K31" i="4" s="1"/>
  <c r="AD27" i="4"/>
  <c r="K27" i="4" s="1"/>
  <c r="AD50" i="4"/>
  <c r="K50" i="4" s="1"/>
  <c r="E106" i="1"/>
  <c r="E49" i="1"/>
  <c r="E147" i="1"/>
  <c r="E152" i="1"/>
  <c r="E117" i="1"/>
  <c r="AD58" i="4"/>
  <c r="K58" i="4" s="1"/>
  <c r="E113" i="1"/>
  <c r="E18" i="1"/>
  <c r="Q29" i="4" s="1"/>
  <c r="B29" i="4" s="1"/>
  <c r="E45" i="1"/>
  <c r="E125" i="1"/>
  <c r="E101" i="1"/>
  <c r="B3" i="1"/>
  <c r="AD51" i="4"/>
  <c r="K51" i="4" s="1"/>
  <c r="E170" i="1"/>
  <c r="E162" i="1"/>
  <c r="E79" i="1"/>
  <c r="E189" i="1"/>
  <c r="E151" i="1"/>
  <c r="E88" i="1"/>
  <c r="AD34" i="4"/>
  <c r="K34" i="4" s="1"/>
  <c r="AF54" i="4"/>
  <c r="L54" i="4" s="1"/>
  <c r="AD21" i="4"/>
  <c r="K21" i="4" s="1"/>
  <c r="E72" i="1"/>
  <c r="E35" i="1"/>
  <c r="E184" i="1"/>
  <c r="E6" i="1"/>
  <c r="Q17" i="4" s="1"/>
  <c r="B17" i="4" s="1"/>
  <c r="E50" i="1"/>
  <c r="E59" i="1"/>
  <c r="E36" i="1"/>
  <c r="E93" i="1"/>
  <c r="E102" i="1"/>
  <c r="AD60" i="4"/>
  <c r="K60" i="4" s="1"/>
  <c r="AD29" i="4"/>
  <c r="K29" i="4" s="1"/>
  <c r="AB49" i="4"/>
  <c r="J49" i="4" s="1"/>
  <c r="E140" i="1"/>
  <c r="E158" i="1"/>
  <c r="E144" i="1"/>
  <c r="E112" i="1"/>
  <c r="E177" i="1"/>
  <c r="E127" i="1"/>
  <c r="AF5" i="4"/>
  <c r="L5" i="4" s="1"/>
  <c r="AF56" i="4"/>
  <c r="L56" i="4" s="1"/>
  <c r="E33" i="1"/>
  <c r="E108" i="1"/>
  <c r="E19" i="1"/>
  <c r="E183" i="1"/>
  <c r="E71" i="1"/>
  <c r="S42" i="4" s="1"/>
  <c r="C42" i="4" s="1"/>
  <c r="AH50" i="4"/>
  <c r="M50" i="4" s="1"/>
  <c r="AH34" i="4"/>
  <c r="M34" i="4" s="1"/>
  <c r="E148" i="1"/>
  <c r="E26" i="1"/>
  <c r="AF23" i="4"/>
  <c r="L23" i="4" s="1"/>
  <c r="AF34" i="4"/>
  <c r="L34" i="4" s="1"/>
  <c r="E174" i="1"/>
  <c r="AF60" i="4"/>
  <c r="L60" i="4" s="1"/>
  <c r="E14" i="1"/>
  <c r="Q25" i="4" s="1"/>
  <c r="B25" i="4" s="1"/>
  <c r="AF24" i="4"/>
  <c r="L24" i="4" s="1"/>
  <c r="AD32" i="4"/>
  <c r="K32" i="4" s="1"/>
  <c r="AD56" i="4"/>
  <c r="K56" i="4" s="1"/>
  <c r="AD54" i="4"/>
  <c r="K54" i="4" s="1"/>
  <c r="AF30" i="4"/>
  <c r="L30" i="4" s="1"/>
  <c r="AD25" i="4"/>
  <c r="K25" i="4" s="1"/>
  <c r="AF55" i="4"/>
  <c r="L55" i="4" s="1"/>
  <c r="AF19" i="4"/>
  <c r="L19" i="4" s="1"/>
  <c r="AF21" i="4"/>
  <c r="L21" i="4" s="1"/>
  <c r="AF25" i="4"/>
  <c r="L25" i="4" s="1"/>
  <c r="AF27" i="4"/>
  <c r="L27" i="4" s="1"/>
  <c r="AF52" i="4"/>
  <c r="L52" i="4" s="1"/>
  <c r="AF33" i="4"/>
  <c r="L33" i="4" s="1"/>
  <c r="AD59" i="4"/>
  <c r="K59" i="4" s="1"/>
  <c r="AD28" i="4"/>
  <c r="K28" i="4" s="1"/>
  <c r="E150" i="1"/>
  <c r="E10" i="1"/>
  <c r="E146" i="1"/>
  <c r="E159" i="1"/>
  <c r="E4" i="1"/>
  <c r="Q15" i="4" s="1"/>
  <c r="B15" i="4" s="1"/>
  <c r="E11" i="1"/>
  <c r="E87" i="1"/>
  <c r="E122" i="1"/>
  <c r="E16" i="1"/>
  <c r="Q27" i="4" s="1"/>
  <c r="E181" i="1"/>
  <c r="AH28" i="4"/>
  <c r="M28" i="4" s="1"/>
  <c r="AF53" i="4"/>
  <c r="L53" i="4" s="1"/>
  <c r="E23" i="1"/>
  <c r="AH49" i="4"/>
  <c r="M49" i="4" s="1"/>
  <c r="E119" i="1"/>
  <c r="E5" i="1"/>
  <c r="AD33" i="4"/>
  <c r="K33" i="4" s="1"/>
  <c r="AF22" i="4"/>
  <c r="L22" i="4" s="1"/>
  <c r="AF6" i="4"/>
  <c r="L6" i="4" s="1"/>
  <c r="AD57" i="4"/>
  <c r="K57" i="4" s="1"/>
  <c r="AF37" i="4"/>
  <c r="L37" i="4" s="1"/>
  <c r="E167" i="1"/>
  <c r="AF58" i="4"/>
  <c r="L58" i="4" s="1"/>
  <c r="E163" i="1"/>
  <c r="AB34" i="4"/>
  <c r="J34" i="4" s="1"/>
  <c r="E62" i="1"/>
  <c r="E116" i="1"/>
  <c r="E57" i="1"/>
  <c r="E95" i="1"/>
  <c r="E98" i="1"/>
  <c r="E78" i="1"/>
  <c r="E124" i="1"/>
  <c r="E111" i="1"/>
  <c r="E126" i="1"/>
  <c r="D3" i="1"/>
  <c r="E180" i="1"/>
  <c r="E160" i="1"/>
  <c r="E9" i="1"/>
  <c r="E168" i="1"/>
  <c r="E128" i="1"/>
  <c r="E139" i="1"/>
  <c r="E173" i="1"/>
  <c r="E178" i="1"/>
  <c r="E153" i="1"/>
  <c r="E76" i="1"/>
  <c r="E165" i="1"/>
  <c r="E25" i="1"/>
  <c r="AF29" i="4"/>
  <c r="L29" i="4" s="1"/>
  <c r="E20" i="1"/>
  <c r="Q41" i="4" s="1"/>
  <c r="B41" i="4" s="1"/>
  <c r="E58" i="1"/>
  <c r="E92" i="1"/>
  <c r="E142" i="1"/>
  <c r="E46" i="1"/>
  <c r="E85" i="1"/>
  <c r="E63" i="1"/>
  <c r="AD26" i="4"/>
  <c r="K26" i="4" s="1"/>
  <c r="AD22" i="4"/>
  <c r="K22" i="4" s="1"/>
  <c r="C136" i="1"/>
  <c r="N136" i="1"/>
  <c r="E53" i="1"/>
  <c r="AH27" i="4"/>
  <c r="M27" i="4" s="1"/>
  <c r="AH26" i="4"/>
  <c r="M26" i="4" s="1"/>
  <c r="AH36" i="4"/>
  <c r="M36" i="4" s="1"/>
  <c r="AH32" i="4"/>
  <c r="M32" i="4" s="1"/>
  <c r="AD6" i="4"/>
  <c r="K6" i="4" s="1"/>
  <c r="AF35" i="4"/>
  <c r="L35" i="4" s="1"/>
  <c r="E110" i="1"/>
  <c r="E28" i="1"/>
  <c r="E37" i="1"/>
  <c r="E48" i="1"/>
  <c r="E123" i="1"/>
  <c r="E94" i="1"/>
  <c r="C131" i="1"/>
  <c r="E47" i="1"/>
  <c r="S16" i="4" s="1"/>
  <c r="C16" i="4" s="1"/>
  <c r="E15" i="1"/>
  <c r="E109" i="1"/>
  <c r="E187" i="1"/>
  <c r="E90" i="1"/>
  <c r="E38" i="1"/>
  <c r="E12" i="1"/>
  <c r="E8" i="1"/>
  <c r="Q19" i="4" s="1"/>
  <c r="B19" i="4" s="1"/>
  <c r="E96" i="1"/>
  <c r="E176" i="1"/>
  <c r="N84" i="1"/>
  <c r="E179" i="1"/>
  <c r="E115" i="1"/>
  <c r="E89" i="1"/>
  <c r="E22" i="1"/>
  <c r="E118" i="1"/>
  <c r="E21" i="1"/>
  <c r="E156" i="1"/>
  <c r="E75" i="1"/>
  <c r="E86" i="1"/>
  <c r="AD55" i="4"/>
  <c r="K55" i="4" s="1"/>
  <c r="AF20" i="4"/>
  <c r="L20" i="4" s="1"/>
  <c r="E143" i="1"/>
  <c r="AB18" i="4"/>
  <c r="J18" i="4" s="1"/>
  <c r="AB30" i="4"/>
  <c r="J30" i="4" s="1"/>
  <c r="AD19" i="4"/>
  <c r="K19" i="4" s="1"/>
  <c r="E155" i="1"/>
  <c r="AF51" i="4"/>
  <c r="L51" i="4" s="1"/>
  <c r="AH33" i="4"/>
  <c r="M33" i="4" s="1"/>
  <c r="E60" i="1"/>
  <c r="E175" i="1"/>
  <c r="AF32" i="4"/>
  <c r="L32" i="4" s="1"/>
  <c r="E121" i="1"/>
  <c r="D44" i="1"/>
  <c r="AF4" i="4"/>
  <c r="L4" i="4" s="1"/>
  <c r="AF50" i="4"/>
  <c r="L50" i="4" s="1"/>
  <c r="AF49" i="4"/>
  <c r="L49" i="4" s="1"/>
  <c r="AF18" i="4"/>
  <c r="L18" i="4" s="1"/>
  <c r="AF36" i="4"/>
  <c r="L36" i="4" s="1"/>
  <c r="AD53" i="4"/>
  <c r="K53" i="4" s="1"/>
  <c r="AF31" i="4"/>
  <c r="L31" i="4" s="1"/>
  <c r="E149" i="1"/>
  <c r="W39" i="1"/>
  <c r="N44" i="1"/>
  <c r="E114" i="1"/>
  <c r="E17" i="1"/>
  <c r="E64" i="1"/>
  <c r="S38" i="4" s="1"/>
  <c r="C38" i="4" s="1"/>
  <c r="E70" i="1"/>
  <c r="E154" i="1"/>
  <c r="E105" i="1"/>
  <c r="N3" i="1"/>
  <c r="E27" i="1"/>
  <c r="E13" i="1"/>
  <c r="E56" i="1"/>
  <c r="E107" i="1"/>
  <c r="E34" i="1"/>
  <c r="E73" i="1"/>
  <c r="E99" i="1"/>
  <c r="E51" i="1"/>
  <c r="E52" i="1"/>
  <c r="E161" i="1"/>
  <c r="E24" i="1"/>
  <c r="E91" i="1"/>
  <c r="E74" i="1"/>
  <c r="E104" i="1"/>
  <c r="E61" i="1"/>
  <c r="D39" i="1"/>
  <c r="E31" i="1"/>
  <c r="E129" i="1"/>
  <c r="E103" i="1"/>
  <c r="E29" i="1"/>
  <c r="E172" i="1"/>
  <c r="D84" i="1"/>
  <c r="D131" i="1"/>
  <c r="E32" i="1"/>
  <c r="Q54" i="4" s="1"/>
  <c r="B54" i="4" s="1"/>
  <c r="E7" i="1"/>
  <c r="C39" i="1"/>
  <c r="E186" i="1"/>
  <c r="E120" i="1"/>
  <c r="E77" i="1"/>
  <c r="C84" i="1"/>
  <c r="E100" i="1"/>
  <c r="Q37" i="4"/>
  <c r="B37" i="4" s="1"/>
  <c r="B80" i="1"/>
  <c r="E97" i="1"/>
  <c r="E138" i="1"/>
  <c r="B39" i="1"/>
  <c r="AB22" i="4"/>
  <c r="J22" i="4" s="1"/>
  <c r="AH37" i="4"/>
  <c r="M37" i="4" s="1"/>
  <c r="W80" i="1"/>
  <c r="AH30" i="4"/>
  <c r="M30" i="4" s="1"/>
  <c r="AF26" i="4"/>
  <c r="L26" i="4" s="1"/>
  <c r="C80" i="1"/>
  <c r="E171" i="1"/>
  <c r="D80" i="1"/>
  <c r="W190" i="1"/>
  <c r="W84" i="1"/>
  <c r="W82" i="1"/>
  <c r="W131" i="1"/>
  <c r="W136" i="1"/>
  <c r="AH29" i="4"/>
  <c r="M29" i="4" s="1"/>
  <c r="W134" i="1"/>
  <c r="W42" i="1"/>
  <c r="W44" i="1"/>
  <c r="B131" i="1"/>
  <c r="AF28" i="4"/>
  <c r="L28" i="4" s="1"/>
  <c r="AF57" i="4"/>
  <c r="L57" i="4" s="1"/>
  <c r="AH31" i="4"/>
  <c r="M31" i="4" s="1"/>
  <c r="W1" i="1"/>
  <c r="AH35" i="4"/>
  <c r="M35" i="4" s="1"/>
  <c r="E145" i="1"/>
  <c r="W3" i="1"/>
  <c r="AF59" i="4"/>
  <c r="L59" i="4" s="1"/>
  <c r="AH51" i="4"/>
  <c r="M51" i="4" s="1"/>
  <c r="E141" i="1"/>
  <c r="D136" i="1"/>
  <c r="S39" i="4" l="1"/>
  <c r="C39" i="4" s="1"/>
  <c r="W10" i="4"/>
  <c r="E10" i="4" s="1"/>
  <c r="S9" i="4"/>
  <c r="C9" i="4" s="1"/>
  <c r="S11" i="4"/>
  <c r="C11" i="4" s="1"/>
  <c r="Q52" i="4"/>
  <c r="B52" i="4" s="1"/>
  <c r="S45" i="4"/>
  <c r="C45" i="4" s="1"/>
  <c r="S47" i="4"/>
  <c r="C47" i="4" s="1"/>
  <c r="S44" i="4"/>
  <c r="C44" i="4" s="1"/>
  <c r="S51" i="4"/>
  <c r="C51" i="4" s="1"/>
  <c r="S40" i="4"/>
  <c r="C40" i="4" s="1"/>
  <c r="S14" i="4"/>
  <c r="C14" i="4" s="1"/>
  <c r="W38" i="4"/>
  <c r="E38" i="4" s="1"/>
  <c r="Q16" i="4"/>
  <c r="B16" i="4" s="1"/>
  <c r="S43" i="4"/>
  <c r="C43" i="4" s="1"/>
  <c r="Q44" i="4"/>
  <c r="B44" i="4" s="1"/>
  <c r="S46" i="4"/>
  <c r="C46" i="4" s="1"/>
  <c r="Q38" i="4"/>
  <c r="B38" i="4" s="1"/>
  <c r="S17" i="4"/>
  <c r="C17" i="4" s="1"/>
  <c r="Q48" i="4"/>
  <c r="B48" i="4" s="1"/>
  <c r="Q47" i="4"/>
  <c r="B47" i="4" s="1"/>
  <c r="S15" i="4"/>
  <c r="C15" i="4" s="1"/>
  <c r="Q39" i="4"/>
  <c r="B39" i="4" s="1"/>
  <c r="Q45" i="4"/>
  <c r="B45" i="4" s="1"/>
  <c r="Q42" i="4"/>
  <c r="B42" i="4" s="1"/>
  <c r="Q8" i="4"/>
  <c r="B8" i="4" s="1"/>
  <c r="Q12" i="4"/>
  <c r="B12" i="4" s="1"/>
  <c r="Q40" i="4"/>
  <c r="B40" i="4" s="1"/>
  <c r="U9" i="4"/>
  <c r="D9" i="4" s="1"/>
  <c r="S41" i="4"/>
  <c r="C41" i="4" s="1"/>
  <c r="U7" i="4"/>
  <c r="D7" i="4" s="1"/>
  <c r="U8" i="4"/>
  <c r="D8" i="4" s="1"/>
  <c r="H9" i="4"/>
  <c r="I9" i="4" s="1"/>
  <c r="W13" i="4"/>
  <c r="E13" i="4" s="1"/>
  <c r="W40" i="4"/>
  <c r="E40" i="4" s="1"/>
  <c r="W9" i="4"/>
  <c r="E9" i="4" s="1"/>
  <c r="W39" i="4"/>
  <c r="E39" i="4" s="1"/>
  <c r="W17" i="4"/>
  <c r="E17" i="4" s="1"/>
  <c r="W12" i="4"/>
  <c r="E12" i="4" s="1"/>
  <c r="S10" i="4"/>
  <c r="C10" i="4" s="1"/>
  <c r="S48" i="4"/>
  <c r="C48" i="4" s="1"/>
  <c r="H11" i="4"/>
  <c r="H17" i="4"/>
  <c r="S8" i="4"/>
  <c r="C8" i="4" s="1"/>
  <c r="S7" i="4"/>
  <c r="C7" i="4" s="1"/>
  <c r="H8" i="4"/>
  <c r="W14" i="4"/>
  <c r="E14" i="4" s="1"/>
  <c r="W44" i="4"/>
  <c r="E44" i="4" s="1"/>
  <c r="H48" i="4"/>
  <c r="Q56" i="4"/>
  <c r="B56" i="4" s="1"/>
  <c r="U13" i="4"/>
  <c r="D13" i="4" s="1"/>
  <c r="U46" i="4"/>
  <c r="D46" i="4" s="1"/>
  <c r="H44" i="4"/>
  <c r="U41" i="4"/>
  <c r="D41" i="4" s="1"/>
  <c r="U39" i="4"/>
  <c r="D39" i="4" s="1"/>
  <c r="W48" i="4"/>
  <c r="E48" i="4" s="1"/>
  <c r="W43" i="4"/>
  <c r="E43" i="4" s="1"/>
  <c r="W47" i="4"/>
  <c r="E47" i="4" s="1"/>
  <c r="Q60" i="4"/>
  <c r="B60" i="4" s="1"/>
  <c r="S50" i="4"/>
  <c r="C50" i="4" s="1"/>
  <c r="H38" i="4"/>
  <c r="H40" i="4"/>
  <c r="Q58" i="4"/>
  <c r="B58" i="4" s="1"/>
  <c r="Q50" i="4"/>
  <c r="B50" i="4" s="1"/>
  <c r="Q46" i="4"/>
  <c r="B46" i="4" s="1"/>
  <c r="U45" i="4"/>
  <c r="D45" i="4" s="1"/>
  <c r="U40" i="4"/>
  <c r="D40" i="4" s="1"/>
  <c r="U42" i="4"/>
  <c r="D42" i="4" s="1"/>
  <c r="U43" i="4"/>
  <c r="D43" i="4" s="1"/>
  <c r="U44" i="4"/>
  <c r="D44" i="4" s="1"/>
  <c r="U38" i="4"/>
  <c r="D38" i="4" s="1"/>
  <c r="U48" i="4"/>
  <c r="D48" i="4" s="1"/>
  <c r="H46" i="4"/>
  <c r="U47" i="4"/>
  <c r="D47" i="4" s="1"/>
  <c r="H39" i="4"/>
  <c r="H47" i="4"/>
  <c r="Q32" i="4"/>
  <c r="B32" i="4" s="1"/>
  <c r="Q43" i="4"/>
  <c r="B43" i="4" s="1"/>
  <c r="H42" i="4"/>
  <c r="W41" i="4"/>
  <c r="E41" i="4" s="1"/>
  <c r="W42" i="4"/>
  <c r="E42" i="4" s="1"/>
  <c r="W45" i="4"/>
  <c r="E45" i="4" s="1"/>
  <c r="W46" i="4"/>
  <c r="E46" i="4" s="1"/>
  <c r="W4" i="4"/>
  <c r="E4" i="4" s="1"/>
  <c r="H43" i="4"/>
  <c r="J43" i="4"/>
  <c r="H45" i="4"/>
  <c r="J45" i="4"/>
  <c r="H41" i="4"/>
  <c r="J41" i="4"/>
  <c r="U14" i="4"/>
  <c r="D14" i="4" s="1"/>
  <c r="U10" i="4"/>
  <c r="D10" i="4" s="1"/>
  <c r="U15" i="4"/>
  <c r="D15" i="4" s="1"/>
  <c r="U12" i="4"/>
  <c r="D12" i="4" s="1"/>
  <c r="U16" i="4"/>
  <c r="D16" i="4" s="1"/>
  <c r="U17" i="4"/>
  <c r="D17" i="4" s="1"/>
  <c r="U11" i="4"/>
  <c r="D11" i="4" s="1"/>
  <c r="H15" i="4"/>
  <c r="Q4" i="4"/>
  <c r="B4" i="4" s="1"/>
  <c r="Q6" i="4"/>
  <c r="B6" i="4" s="1"/>
  <c r="Q21" i="4"/>
  <c r="B21" i="4" s="1"/>
  <c r="Q10" i="4"/>
  <c r="B10" i="4" s="1"/>
  <c r="Q23" i="4"/>
  <c r="B23" i="4" s="1"/>
  <c r="Q14" i="4"/>
  <c r="B14" i="4" s="1"/>
  <c r="S13" i="4"/>
  <c r="C13" i="4" s="1"/>
  <c r="S12" i="4"/>
  <c r="C12" i="4" s="1"/>
  <c r="W8" i="4"/>
  <c r="E8" i="4" s="1"/>
  <c r="W7" i="4"/>
  <c r="E7" i="4" s="1"/>
  <c r="W15" i="4"/>
  <c r="E15" i="4" s="1"/>
  <c r="W16" i="4"/>
  <c r="E16" i="4" s="1"/>
  <c r="H16" i="4"/>
  <c r="M7" i="4"/>
  <c r="H7" i="4"/>
  <c r="W11" i="4"/>
  <c r="E11" i="4" s="1"/>
  <c r="H14" i="4"/>
  <c r="J14" i="4"/>
  <c r="H10" i="4"/>
  <c r="J10" i="4"/>
  <c r="K13" i="4"/>
  <c r="H13" i="4"/>
  <c r="H12" i="4"/>
  <c r="W22" i="4"/>
  <c r="E22" i="4" s="1"/>
  <c r="W25" i="4"/>
  <c r="E25" i="4" s="1"/>
  <c r="S37" i="4"/>
  <c r="C37" i="4" s="1"/>
  <c r="B27" i="4"/>
  <c r="W24" i="4"/>
  <c r="E24" i="4" s="1"/>
  <c r="W5" i="4"/>
  <c r="E5" i="4" s="1"/>
  <c r="W56" i="4"/>
  <c r="E56" i="4" s="1"/>
  <c r="W60" i="4"/>
  <c r="E60" i="4" s="1"/>
  <c r="W55" i="4"/>
  <c r="E55" i="4" s="1"/>
  <c r="W54" i="4"/>
  <c r="E54" i="4" s="1"/>
  <c r="U4" i="4"/>
  <c r="D4" i="4" s="1"/>
  <c r="W19" i="4"/>
  <c r="E19" i="4" s="1"/>
  <c r="W21" i="4"/>
  <c r="E21" i="4" s="1"/>
  <c r="W20" i="4"/>
  <c r="E20" i="4" s="1"/>
  <c r="W57" i="4"/>
  <c r="E57" i="4" s="1"/>
  <c r="W23" i="4"/>
  <c r="E23" i="4" s="1"/>
  <c r="W53" i="4"/>
  <c r="E53" i="4" s="1"/>
  <c r="W59" i="4"/>
  <c r="E59" i="4" s="1"/>
  <c r="W58" i="4"/>
  <c r="E58" i="4" s="1"/>
  <c r="W6" i="4"/>
  <c r="E6" i="4" s="1"/>
  <c r="S53" i="4"/>
  <c r="C53" i="4" s="1"/>
  <c r="W52" i="4"/>
  <c r="E52" i="4" s="1"/>
  <c r="W18" i="4"/>
  <c r="E18" i="4" s="1"/>
  <c r="S18" i="4"/>
  <c r="C18" i="4" s="1"/>
  <c r="S54" i="4"/>
  <c r="C54" i="4" s="1"/>
  <c r="S55" i="4"/>
  <c r="C55" i="4" s="1"/>
  <c r="S29" i="4"/>
  <c r="C29" i="4" s="1"/>
  <c r="S56" i="4"/>
  <c r="C56" i="4" s="1"/>
  <c r="Q59" i="4"/>
  <c r="B59" i="4" s="1"/>
  <c r="S58" i="4"/>
  <c r="C58" i="4" s="1"/>
  <c r="S57" i="4"/>
  <c r="C57" i="4" s="1"/>
  <c r="Q24" i="4"/>
  <c r="B24" i="4" s="1"/>
  <c r="Q53" i="4"/>
  <c r="B53" i="4" s="1"/>
  <c r="Q49" i="4"/>
  <c r="B49" i="4" s="1"/>
  <c r="Q35" i="4"/>
  <c r="B35" i="4" s="1"/>
  <c r="Q51" i="4"/>
  <c r="B51" i="4" s="1"/>
  <c r="Q5" i="4"/>
  <c r="B5" i="4" s="1"/>
  <c r="S5" i="4"/>
  <c r="C5" i="4" s="1"/>
  <c r="S4" i="4"/>
  <c r="C4" i="4" s="1"/>
  <c r="Q28" i="4"/>
  <c r="B28" i="4" s="1"/>
  <c r="Q34" i="4"/>
  <c r="B34" i="4" s="1"/>
  <c r="Q33" i="4"/>
  <c r="B33" i="4" s="1"/>
  <c r="Q55" i="4"/>
  <c r="B55" i="4" s="1"/>
  <c r="S59" i="4"/>
  <c r="C59" i="4" s="1"/>
  <c r="S52" i="4"/>
  <c r="C52" i="4" s="1"/>
  <c r="Q30" i="4"/>
  <c r="B30" i="4" s="1"/>
  <c r="Q31" i="4"/>
  <c r="B31" i="4" s="1"/>
  <c r="Q36" i="4"/>
  <c r="B36" i="4" s="1"/>
  <c r="S26" i="4"/>
  <c r="C26" i="4" s="1"/>
  <c r="S24" i="4"/>
  <c r="C24" i="4" s="1"/>
  <c r="S33" i="4"/>
  <c r="C33" i="4" s="1"/>
  <c r="S20" i="4"/>
  <c r="C20" i="4" s="1"/>
  <c r="S49" i="4"/>
  <c r="C49" i="4" s="1"/>
  <c r="U25" i="4"/>
  <c r="D25" i="4" s="1"/>
  <c r="S22" i="4"/>
  <c r="C22" i="4" s="1"/>
  <c r="W28" i="4"/>
  <c r="E28" i="4" s="1"/>
  <c r="H5" i="4"/>
  <c r="U37" i="4"/>
  <c r="D37" i="4" s="1"/>
  <c r="Q26" i="4"/>
  <c r="B26" i="4" s="1"/>
  <c r="S27" i="4"/>
  <c r="C27" i="4" s="1"/>
  <c r="S25" i="4"/>
  <c r="C25" i="4" s="1"/>
  <c r="U55" i="4"/>
  <c r="D55" i="4" s="1"/>
  <c r="S60" i="4"/>
  <c r="C60" i="4" s="1"/>
  <c r="U6" i="4"/>
  <c r="D6" i="4" s="1"/>
  <c r="U49" i="4"/>
  <c r="D49" i="4" s="1"/>
  <c r="H58" i="4"/>
  <c r="W31" i="4"/>
  <c r="E31" i="4" s="1"/>
  <c r="U26" i="4"/>
  <c r="D26" i="4" s="1"/>
  <c r="U53" i="4"/>
  <c r="D53" i="4" s="1"/>
  <c r="U36" i="4"/>
  <c r="D36" i="4" s="1"/>
  <c r="U52" i="4"/>
  <c r="D52" i="4" s="1"/>
  <c r="W32" i="4"/>
  <c r="E32" i="4" s="1"/>
  <c r="H20" i="4"/>
  <c r="S34" i="4"/>
  <c r="C34" i="4" s="1"/>
  <c r="S21" i="4"/>
  <c r="C21" i="4" s="1"/>
  <c r="S35" i="4"/>
  <c r="C35" i="4" s="1"/>
  <c r="U27" i="4"/>
  <c r="D27" i="4" s="1"/>
  <c r="U35" i="4"/>
  <c r="D35" i="4" s="1"/>
  <c r="S31" i="4"/>
  <c r="C31" i="4" s="1"/>
  <c r="S23" i="4"/>
  <c r="C23" i="4" s="1"/>
  <c r="U31" i="4"/>
  <c r="D31" i="4" s="1"/>
  <c r="Q20" i="4"/>
  <c r="B20" i="4" s="1"/>
  <c r="U58" i="4"/>
  <c r="D58" i="4" s="1"/>
  <c r="W34" i="4"/>
  <c r="E34" i="4" s="1"/>
  <c r="Q18" i="4"/>
  <c r="B18" i="4" s="1"/>
  <c r="Q22" i="4"/>
  <c r="B22" i="4" s="1"/>
  <c r="W33" i="4"/>
  <c r="E33" i="4" s="1"/>
  <c r="Q57" i="4"/>
  <c r="B57" i="4" s="1"/>
  <c r="W37" i="4"/>
  <c r="E37" i="4" s="1"/>
  <c r="H54" i="4"/>
  <c r="H52" i="4"/>
  <c r="H23" i="4"/>
  <c r="W50" i="4"/>
  <c r="E50" i="4" s="1"/>
  <c r="S36" i="4"/>
  <c r="C36" i="4" s="1"/>
  <c r="U5" i="4"/>
  <c r="D5" i="4" s="1"/>
  <c r="H25" i="4"/>
  <c r="U50" i="4"/>
  <c r="D50" i="4" s="1"/>
  <c r="H19" i="4"/>
  <c r="S28" i="4"/>
  <c r="C28" i="4" s="1"/>
  <c r="W49" i="4"/>
  <c r="E49" i="4" s="1"/>
  <c r="U59" i="4"/>
  <c r="D59" i="4" s="1"/>
  <c r="H56" i="4"/>
  <c r="H27" i="4"/>
  <c r="H60" i="4"/>
  <c r="I60" i="4" s="1"/>
  <c r="U34" i="4"/>
  <c r="D34" i="4" s="1"/>
  <c r="H24" i="4"/>
  <c r="H21" i="4"/>
  <c r="S32" i="4"/>
  <c r="C32" i="4" s="1"/>
  <c r="W35" i="4"/>
  <c r="E35" i="4" s="1"/>
  <c r="W51" i="4"/>
  <c r="E51" i="4" s="1"/>
  <c r="H33" i="4"/>
  <c r="U57" i="4"/>
  <c r="D57" i="4" s="1"/>
  <c r="U51" i="4"/>
  <c r="D51" i="4" s="1"/>
  <c r="U20" i="4"/>
  <c r="D20" i="4" s="1"/>
  <c r="U60" i="4"/>
  <c r="D60" i="4" s="1"/>
  <c r="H55" i="4"/>
  <c r="U56" i="4"/>
  <c r="D56" i="4" s="1"/>
  <c r="H50" i="4"/>
  <c r="U32" i="4"/>
  <c r="D32" i="4" s="1"/>
  <c r="U54" i="4"/>
  <c r="D54" i="4" s="1"/>
  <c r="W36" i="4"/>
  <c r="E36" i="4" s="1"/>
  <c r="H57" i="4"/>
  <c r="H30" i="4"/>
  <c r="H49" i="4"/>
  <c r="U21" i="4"/>
  <c r="D21" i="4" s="1"/>
  <c r="U29" i="4"/>
  <c r="D29" i="4" s="1"/>
  <c r="U23" i="4"/>
  <c r="D23" i="4" s="1"/>
  <c r="W29" i="4"/>
  <c r="E29" i="4" s="1"/>
  <c r="W27" i="4"/>
  <c r="E27" i="4" s="1"/>
  <c r="U19" i="4"/>
  <c r="D19" i="4" s="1"/>
  <c r="H35" i="4"/>
  <c r="U33" i="4"/>
  <c r="D33" i="4" s="1"/>
  <c r="H18" i="4"/>
  <c r="H22" i="4"/>
  <c r="H6" i="4"/>
  <c r="U18" i="4"/>
  <c r="D18" i="4" s="1"/>
  <c r="H53" i="4"/>
  <c r="H34" i="4"/>
  <c r="W26" i="4"/>
  <c r="E26" i="4" s="1"/>
  <c r="U22" i="4"/>
  <c r="D22" i="4" s="1"/>
  <c r="S30" i="4"/>
  <c r="C30" i="4" s="1"/>
  <c r="W30" i="4"/>
  <c r="E30" i="4" s="1"/>
  <c r="E80" i="1"/>
  <c r="S19" i="4"/>
  <c r="C19" i="4" s="1"/>
  <c r="H26" i="4"/>
  <c r="E39" i="1"/>
  <c r="H32" i="4"/>
  <c r="H37" i="4"/>
  <c r="H36" i="4"/>
  <c r="U28" i="4"/>
  <c r="D28" i="4" s="1"/>
  <c r="U24" i="4"/>
  <c r="D24" i="4" s="1"/>
  <c r="H29" i="4"/>
  <c r="H4" i="4"/>
  <c r="U30" i="4"/>
  <c r="D30" i="4" s="1"/>
  <c r="E131" i="1"/>
  <c r="H59" i="4"/>
  <c r="I59" i="4" s="1"/>
  <c r="S6" i="4"/>
  <c r="C6" i="4" s="1"/>
  <c r="H28" i="4"/>
  <c r="H31" i="4"/>
  <c r="H51" i="4"/>
  <c r="F47" i="4" l="1"/>
  <c r="G47" i="4" s="1"/>
  <c r="F38" i="4"/>
  <c r="G38" i="4" s="1"/>
  <c r="F40" i="4"/>
  <c r="G40" i="4" s="1"/>
  <c r="F9" i="4"/>
  <c r="G9" i="4" s="1"/>
  <c r="F17" i="4"/>
  <c r="G17" i="4" s="1"/>
  <c r="F13" i="4"/>
  <c r="G13" i="4" s="1"/>
  <c r="F39" i="4"/>
  <c r="G39" i="4" s="1"/>
  <c r="I4" i="4"/>
  <c r="O5" i="4"/>
  <c r="I5" i="4"/>
  <c r="O6" i="4"/>
  <c r="F48" i="4"/>
  <c r="G48" i="4" s="1"/>
  <c r="I58" i="4"/>
  <c r="O59" i="4"/>
  <c r="I15" i="4"/>
  <c r="O16" i="4"/>
  <c r="I39" i="4"/>
  <c r="O40" i="4"/>
  <c r="I17" i="4"/>
  <c r="O18" i="4"/>
  <c r="I51" i="4"/>
  <c r="O52" i="4"/>
  <c r="I29" i="4"/>
  <c r="O30" i="4"/>
  <c r="I20" i="4"/>
  <c r="O21" i="4"/>
  <c r="I47" i="4"/>
  <c r="O48" i="4"/>
  <c r="I31" i="4"/>
  <c r="O32" i="4"/>
  <c r="I49" i="4"/>
  <c r="O50" i="4"/>
  <c r="I25" i="4"/>
  <c r="O26" i="4"/>
  <c r="I10" i="4"/>
  <c r="O11" i="4"/>
  <c r="I28" i="4"/>
  <c r="O29" i="4"/>
  <c r="I34" i="4"/>
  <c r="O35" i="4"/>
  <c r="I22" i="4"/>
  <c r="O23" i="4"/>
  <c r="I30" i="4"/>
  <c r="O31" i="4"/>
  <c r="I33" i="4"/>
  <c r="O34" i="4"/>
  <c r="I21" i="4"/>
  <c r="O22" i="4"/>
  <c r="I27" i="4"/>
  <c r="O28" i="4"/>
  <c r="I52" i="4"/>
  <c r="O53" i="4"/>
  <c r="I13" i="4"/>
  <c r="O14" i="4"/>
  <c r="I41" i="4"/>
  <c r="O42" i="4"/>
  <c r="I43" i="4"/>
  <c r="O44" i="4"/>
  <c r="I40" i="4"/>
  <c r="O41" i="4"/>
  <c r="I8" i="4"/>
  <c r="O9" i="4"/>
  <c r="I11" i="4"/>
  <c r="O12" i="4"/>
  <c r="O10" i="4"/>
  <c r="I37" i="4"/>
  <c r="O38" i="4"/>
  <c r="I45" i="4"/>
  <c r="O46" i="4"/>
  <c r="I42" i="4"/>
  <c r="O43" i="4"/>
  <c r="I32" i="4"/>
  <c r="O33" i="4"/>
  <c r="I35" i="4"/>
  <c r="O36" i="4"/>
  <c r="I55" i="4"/>
  <c r="O56" i="4"/>
  <c r="I23" i="4"/>
  <c r="O24" i="4"/>
  <c r="I12" i="4"/>
  <c r="O13" i="4"/>
  <c r="I7" i="4"/>
  <c r="O8" i="4"/>
  <c r="I36" i="4"/>
  <c r="O37" i="4"/>
  <c r="I26" i="4"/>
  <c r="O27" i="4"/>
  <c r="I53" i="4"/>
  <c r="O54" i="4"/>
  <c r="I18" i="4"/>
  <c r="O19" i="4"/>
  <c r="I57" i="4"/>
  <c r="O58" i="4"/>
  <c r="I50" i="4"/>
  <c r="O51" i="4"/>
  <c r="I24" i="4"/>
  <c r="O25" i="4"/>
  <c r="I56" i="4"/>
  <c r="O57" i="4"/>
  <c r="I19" i="4"/>
  <c r="O20" i="4"/>
  <c r="I54" i="4"/>
  <c r="O55" i="4"/>
  <c r="I14" i="4"/>
  <c r="O15" i="4"/>
  <c r="I16" i="4"/>
  <c r="O17" i="4"/>
  <c r="I46" i="4"/>
  <c r="O47" i="4"/>
  <c r="I38" i="4"/>
  <c r="O39" i="4"/>
  <c r="I44" i="4"/>
  <c r="O45" i="4"/>
  <c r="I48" i="4"/>
  <c r="O49" i="4"/>
  <c r="I6" i="4"/>
  <c r="O7" i="4"/>
  <c r="F8" i="4"/>
  <c r="G8" i="4" s="1"/>
  <c r="F44" i="4"/>
  <c r="G44" i="4" s="1"/>
  <c r="F7" i="4"/>
  <c r="G7" i="4" s="1"/>
  <c r="F46" i="4"/>
  <c r="G46" i="4" s="1"/>
  <c r="F41" i="4"/>
  <c r="G41" i="4" s="1"/>
  <c r="F42" i="4"/>
  <c r="G42" i="4" s="1"/>
  <c r="F43" i="4"/>
  <c r="G43" i="4" s="1"/>
  <c r="F12" i="4"/>
  <c r="G12" i="4" s="1"/>
  <c r="F45" i="4"/>
  <c r="G45" i="4" s="1"/>
  <c r="F14" i="4"/>
  <c r="G14" i="4" s="1"/>
  <c r="F10" i="4"/>
  <c r="G10" i="4" s="1"/>
  <c r="F15" i="4"/>
  <c r="G15" i="4" s="1"/>
  <c r="F11" i="4"/>
  <c r="G11" i="4" s="1"/>
  <c r="F16" i="4"/>
  <c r="G16" i="4" s="1"/>
  <c r="F4" i="4"/>
  <c r="F54" i="4"/>
  <c r="G54" i="4" s="1"/>
  <c r="F56" i="4"/>
  <c r="G56" i="4" s="1"/>
  <c r="F53" i="4"/>
  <c r="G53" i="4" s="1"/>
  <c r="F58" i="4"/>
  <c r="G58" i="4" s="1"/>
  <c r="F59" i="4"/>
  <c r="G59" i="4" s="1"/>
  <c r="F55" i="4"/>
  <c r="G55" i="4" s="1"/>
  <c r="F5" i="4"/>
  <c r="G5" i="4" s="1"/>
  <c r="F52" i="4"/>
  <c r="G52" i="4" s="1"/>
  <c r="F24" i="4"/>
  <c r="G24" i="4" s="1"/>
  <c r="F57" i="4"/>
  <c r="G57" i="4" s="1"/>
  <c r="F25" i="4"/>
  <c r="G25" i="4" s="1"/>
  <c r="F60" i="4"/>
  <c r="G60" i="4" s="1"/>
  <c r="F37" i="4"/>
  <c r="G37" i="4" s="1"/>
  <c r="F20" i="4"/>
  <c r="G20" i="4" s="1"/>
  <c r="F49" i="4"/>
  <c r="G49" i="4" s="1"/>
  <c r="F6" i="4"/>
  <c r="G6" i="4" s="1"/>
  <c r="F33" i="4"/>
  <c r="G33" i="4" s="1"/>
  <c r="F21" i="4"/>
  <c r="G21" i="4" s="1"/>
  <c r="F50" i="4"/>
  <c r="G50" i="4" s="1"/>
  <c r="F23" i="4"/>
  <c r="G23" i="4" s="1"/>
  <c r="F35" i="4"/>
  <c r="G35" i="4" s="1"/>
  <c r="F34" i="4"/>
  <c r="G34" i="4" s="1"/>
  <c r="F26" i="4"/>
  <c r="G26" i="4" s="1"/>
  <c r="F31" i="4"/>
  <c r="G31" i="4" s="1"/>
  <c r="F18" i="4"/>
  <c r="G18" i="4" s="1"/>
  <c r="F27" i="4"/>
  <c r="G27" i="4" s="1"/>
  <c r="F22" i="4"/>
  <c r="G22" i="4" s="1"/>
  <c r="F36" i="4"/>
  <c r="G36" i="4" s="1"/>
  <c r="F28" i="4"/>
  <c r="G28" i="4" s="1"/>
  <c r="F30" i="4"/>
  <c r="G30" i="4" s="1"/>
  <c r="F51" i="4"/>
  <c r="G51" i="4" s="1"/>
  <c r="F32" i="4"/>
  <c r="G32" i="4" s="1"/>
  <c r="F29" i="4"/>
  <c r="G29" i="4" s="1"/>
  <c r="F19" i="4"/>
  <c r="G19" i="4" s="1"/>
  <c r="I2" i="4" l="1"/>
  <c r="F2" i="4"/>
  <c r="I1" i="4"/>
  <c r="F1" i="4"/>
  <c r="G4" i="4"/>
  <c r="N61" i="4"/>
  <c r="N3" i="4"/>
  <c r="H1" i="4" l="1"/>
  <c r="G1" i="4"/>
  <c r="N60" i="4"/>
  <c r="N56" i="4"/>
  <c r="N52" i="4"/>
  <c r="N48" i="4"/>
  <c r="N44" i="4"/>
  <c r="N40" i="4"/>
  <c r="N36" i="4"/>
  <c r="N32" i="4"/>
  <c r="N28" i="4"/>
  <c r="N24" i="4"/>
  <c r="N20" i="4"/>
  <c r="N16" i="4"/>
  <c r="N12" i="4"/>
  <c r="N8" i="4"/>
  <c r="N11" i="4"/>
  <c r="N53" i="4"/>
  <c r="N45" i="4"/>
  <c r="N33" i="4"/>
  <c r="N17" i="4"/>
  <c r="N9" i="4"/>
  <c r="N59" i="4"/>
  <c r="N55" i="4"/>
  <c r="N51" i="4"/>
  <c r="N47" i="4"/>
  <c r="N43" i="4"/>
  <c r="N39" i="4"/>
  <c r="N35" i="4"/>
  <c r="N31" i="4"/>
  <c r="N27" i="4"/>
  <c r="N23" i="4"/>
  <c r="N19" i="4"/>
  <c r="N15" i="4"/>
  <c r="N7" i="4"/>
  <c r="N49" i="4"/>
  <c r="N37" i="4"/>
  <c r="N21" i="4"/>
  <c r="N58" i="4"/>
  <c r="N54" i="4"/>
  <c r="N50" i="4"/>
  <c r="N46" i="4"/>
  <c r="N42" i="4"/>
  <c r="N38" i="4"/>
  <c r="N34" i="4"/>
  <c r="N30" i="4"/>
  <c r="N26" i="4"/>
  <c r="N22" i="4"/>
  <c r="N18" i="4"/>
  <c r="N14" i="4"/>
  <c r="N10" i="4"/>
  <c r="N6" i="4"/>
  <c r="N57" i="4"/>
  <c r="N41" i="4"/>
  <c r="N29" i="4"/>
  <c r="N25" i="4"/>
  <c r="N13" i="4"/>
  <c r="N5" i="4"/>
  <c r="N4" i="4"/>
  <c r="N2" i="4" l="1"/>
</calcChain>
</file>

<file path=xl/sharedStrings.xml><?xml version="1.0" encoding="utf-8"?>
<sst xmlns="http://schemas.openxmlformats.org/spreadsheetml/2006/main" count="168" uniqueCount="23">
  <si>
    <t>/ES:XCME</t>
  </si>
  <si>
    <t>OPEN_INT</t>
  </si>
  <si>
    <t>QQQ</t>
  </si>
  <si>
    <t>/NQ:XCME</t>
  </si>
  <si>
    <t>0DTE</t>
  </si>
  <si>
    <t>NEXT_FRIDAY</t>
  </si>
  <si>
    <t>NEXT_OPEX</t>
  </si>
  <si>
    <t>VOLUME</t>
  </si>
  <si>
    <t>ABS</t>
  </si>
  <si>
    <t>SPX</t>
  </si>
  <si>
    <t>SPXW</t>
  </si>
  <si>
    <t>NET OI</t>
  </si>
  <si>
    <t>SPY</t>
  </si>
  <si>
    <t>NDX</t>
  </si>
  <si>
    <t>NET VOL</t>
  </si>
  <si>
    <t>CALL</t>
  </si>
  <si>
    <t>PUTS</t>
  </si>
  <si>
    <t>NDXP</t>
  </si>
  <si>
    <t>GEX-VOL</t>
  </si>
  <si>
    <t>NET</t>
  </si>
  <si>
    <t>Vol</t>
  </si>
  <si>
    <t>Oi</t>
  </si>
  <si>
    <t>($C$3/$B$3)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</si>
</sst>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d/mm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0" tint="-0.149998474074526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1" fontId="1" fillId="2" borderId="7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0" fontId="1" fillId="0" borderId="6" xfId="0" applyFont="1" applyBorder="1"/>
    <xf numFmtId="0" fontId="1" fillId="0" borderId="8" xfId="0" applyFont="1" applyBorder="1"/>
    <xf numFmtId="1" fontId="1" fillId="0" borderId="6" xfId="0" applyNumberFormat="1" applyFont="1" applyBorder="1"/>
    <xf numFmtId="0" fontId="1" fillId="0" borderId="3" xfId="0" applyFont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3" xfId="0" applyFont="1" applyBorder="1"/>
    <xf numFmtId="0" fontId="1" fillId="0" borderId="2" xfId="0" applyFont="1" applyBorder="1"/>
    <xf numFmtId="164" fontId="1" fillId="2" borderId="12" xfId="0" applyNumberFormat="1" applyFont="1" applyFill="1" applyBorder="1" applyAlignment="1">
      <alignment horizontal="center" vertical="center"/>
    </xf>
    <xf numFmtId="0" fontId="1" fillId="0" borderId="9" xfId="0" applyFont="1" applyBorder="1"/>
    <xf numFmtId="0" fontId="1" fillId="0" borderId="10" xfId="0" applyFont="1" applyBorder="1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4" xfId="0" applyFont="1" applyBorder="1"/>
    <xf numFmtId="0" fontId="3" fillId="2" borderId="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" xfId="0" quotePrefix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2" fontId="3" fillId="2" borderId="5" xfId="0" applyNumberFormat="1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3" xfId="0" applyFont="1" applyBorder="1"/>
    <xf numFmtId="0" fontId="1" fillId="0" borderId="1" xfId="0" applyFont="1" applyBorder="1"/>
    <xf numFmtId="0" fontId="1" fillId="0" borderId="11" xfId="0" applyFont="1" applyBorder="1"/>
    <xf numFmtId="164" fontId="6" fillId="2" borderId="5" xfId="0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4" xfId="0" applyFont="1" applyBorder="1"/>
    <xf numFmtId="1" fontId="5" fillId="0" borderId="0" xfId="0" applyNumberFormat="1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" fontId="3" fillId="0" borderId="0" xfId="0" applyNumberFormat="1" applyFont="1" applyFill="1" applyBorder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3" fillId="2" borderId="7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/>
    <xf numFmtId="0" fontId="1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1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16" fontId="1" fillId="0" borderId="0" xfId="0" applyNumberFormat="1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1" fillId="2" borderId="17" xfId="0" applyNumberFormat="1" applyFont="1" applyFill="1" applyBorder="1" applyAlignment="1">
      <alignment horizontal="center" vertical="center"/>
    </xf>
    <xf numFmtId="1" fontId="1" fillId="2" borderId="16" xfId="0" applyNumberFormat="1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0" fontId="7" fillId="0" borderId="0" xfId="0" applyFont="1"/>
    <xf numFmtId="0" fontId="7" fillId="3" borderId="0" xfId="0" applyFont="1" applyFill="1"/>
    <xf numFmtId="1" fontId="0" fillId="4" borderId="0" xfId="0" applyNumberFormat="1" applyFill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" fontId="1" fillId="0" borderId="12" xfId="0" applyNumberFormat="1" applyFont="1" applyBorder="1" applyAlignment="1">
      <alignment horizontal="center" vertical="center"/>
    </xf>
    <xf numFmtId="1" fontId="1" fillId="0" borderId="15" xfId="0" applyNumberFormat="1" applyFont="1" applyBorder="1" applyAlignment="1">
      <alignment horizontal="center" vertical="center"/>
    </xf>
    <xf numFmtId="0" fontId="8" fillId="0" borderId="0" xfId="0" applyFont="1"/>
    <xf numFmtId="1" fontId="8" fillId="0" borderId="0" xfId="0" applyNumberFormat="1" applyFont="1"/>
    <xf numFmtId="1" fontId="8" fillId="0" borderId="0" xfId="0" applyNumberFormat="1" applyFont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53">
    <dxf>
      <fill>
        <patternFill>
          <bgColor rgb="FF00B050"/>
        </patternFill>
      </fill>
      <border>
        <top style="thin">
          <color rgb="FF00B050"/>
        </top>
        <bottom style="thin">
          <color rgb="FF00B050"/>
        </bottom>
      </border>
    </dxf>
    <dxf>
      <fill>
        <patternFill>
          <bgColor rgb="FFFF0000"/>
        </patternFill>
      </fill>
      <border>
        <top style="thin">
          <color rgb="FFFF0000"/>
        </top>
        <bottom style="thin">
          <color rgb="FFFF0000"/>
        </bottom>
      </border>
    </dxf>
    <dxf>
      <fill>
        <patternFill patternType="solid">
          <bgColor rgb="FFFFFF00"/>
        </patternFill>
      </fill>
      <border>
        <top style="thin">
          <color rgb="FFFFFF00"/>
        </top>
        <bottom style="thin">
          <color rgb="FFFFFF00"/>
        </bottom>
      </border>
    </dxf>
    <dxf>
      <border>
        <top style="dashDot">
          <color auto="1"/>
        </top>
        <bottom style="dashDot">
          <color auto="1"/>
        </bottom>
        <vertical/>
        <horizontal/>
      </border>
    </dxf>
    <dxf>
      <fill>
        <patternFill>
          <bgColor rgb="FF00B050"/>
        </patternFill>
      </fill>
      <border>
        <top style="thin">
          <color rgb="FF00B050"/>
        </top>
        <bottom style="thin">
          <color rgb="FF00B050"/>
        </bottom>
      </border>
    </dxf>
    <dxf>
      <fill>
        <patternFill>
          <bgColor rgb="FFFF0000"/>
        </patternFill>
      </fill>
      <border>
        <top style="thin">
          <color rgb="FFFF0000"/>
        </top>
        <bottom style="thin">
          <color rgb="FFFF0000"/>
        </bottom>
      </border>
    </dxf>
    <dxf>
      <fill>
        <patternFill patternType="solid">
          <bgColor rgb="FFFFFF00"/>
        </patternFill>
      </fill>
      <border>
        <top style="thin">
          <color rgb="FFFFFF00"/>
        </top>
        <bottom style="thin">
          <color rgb="FFFFFF00"/>
        </bottom>
      </border>
    </dxf>
    <dxf>
      <border>
        <top style="dashDot">
          <color auto="1"/>
        </top>
        <bottom style="dashDot">
          <color auto="1"/>
        </bottom>
        <vertical/>
        <horizontal/>
      </border>
    </dxf>
    <dxf>
      <fill>
        <patternFill>
          <bgColor rgb="FF00B050"/>
        </patternFill>
      </fill>
      <border>
        <top style="thin">
          <color rgb="FF00B050"/>
        </top>
        <bottom style="thin">
          <color rgb="FF00B050"/>
        </bottom>
      </border>
    </dxf>
    <dxf>
      <fill>
        <patternFill>
          <bgColor rgb="FFFF0000"/>
        </patternFill>
      </fill>
      <border>
        <top style="thin">
          <color rgb="FFFF0000"/>
        </top>
        <bottom style="thin">
          <color rgb="FFFF0000"/>
        </bottom>
      </border>
    </dxf>
    <dxf>
      <fill>
        <patternFill patternType="solid">
          <bgColor rgb="FFFFFF00"/>
        </patternFill>
      </fill>
      <border>
        <top style="thin">
          <color rgb="FFFFFF00"/>
        </top>
        <bottom style="thin">
          <color rgb="FFFFFF00"/>
        </bottom>
      </border>
    </dxf>
    <dxf>
      <border>
        <top style="dashDot">
          <color auto="1"/>
        </top>
        <bottom style="dashDot">
          <color auto="1"/>
        </bottom>
        <vertical/>
        <horizontal/>
      </border>
    </dxf>
    <dxf>
      <fill>
        <patternFill>
          <bgColor rgb="FF00B050"/>
        </patternFill>
      </fill>
      <border>
        <top style="thin">
          <color rgb="FF00B050"/>
        </top>
        <bottom style="thin">
          <color rgb="FF00B050"/>
        </bottom>
      </border>
    </dxf>
    <dxf>
      <fill>
        <patternFill>
          <bgColor rgb="FFFF0000"/>
        </patternFill>
      </fill>
      <border>
        <top style="thin">
          <color rgb="FFFF0000"/>
        </top>
        <bottom style="thin">
          <color rgb="FFFF0000"/>
        </bottom>
      </border>
    </dxf>
    <dxf>
      <fill>
        <patternFill patternType="solid">
          <bgColor rgb="FFFFFF00"/>
        </patternFill>
      </fill>
      <border>
        <top style="thin">
          <color rgb="FFFFFF00"/>
        </top>
        <bottom style="thin">
          <color rgb="FFFFFF00"/>
        </bottom>
      </border>
    </dxf>
    <dxf>
      <border>
        <top style="dashDot">
          <color auto="1"/>
        </top>
        <bottom style="dashDot">
          <color auto="1"/>
        </bottom>
        <vertical/>
        <horizontal/>
      </border>
    </dxf>
    <dxf>
      <fill>
        <patternFill>
          <bgColor rgb="FF00B050"/>
        </patternFill>
      </fill>
      <border>
        <top style="thin">
          <color rgb="FF00B050"/>
        </top>
        <bottom style="thin">
          <color rgb="FF00B050"/>
        </bottom>
      </border>
    </dxf>
    <dxf>
      <fill>
        <patternFill>
          <bgColor rgb="FFFF0000"/>
        </patternFill>
      </fill>
      <border>
        <top style="thin">
          <color rgb="FFFF0000"/>
        </top>
        <bottom style="thin">
          <color rgb="FFFF0000"/>
        </bottom>
      </border>
    </dxf>
    <dxf>
      <fill>
        <patternFill patternType="solid">
          <bgColor rgb="FFFFFF00"/>
        </patternFill>
      </fill>
      <border>
        <top style="thin">
          <color rgb="FFFFFF00"/>
        </top>
        <bottom style="thin">
          <color rgb="FFFFFF00"/>
        </bottom>
      </border>
    </dxf>
    <dxf>
      <border>
        <top style="dashDot">
          <color auto="1"/>
        </top>
        <bottom style="dashDot">
          <color auto="1"/>
        </bottom>
        <vertical/>
        <horizontal/>
      </border>
    </dxf>
    <dxf>
      <fill>
        <patternFill>
          <bgColor rgb="FF00B050"/>
        </patternFill>
      </fill>
      <border>
        <top style="thin">
          <color rgb="FF00B050"/>
        </top>
        <bottom style="thin">
          <color rgb="FF00B050"/>
        </bottom>
      </border>
    </dxf>
    <dxf>
      <fill>
        <patternFill>
          <bgColor rgb="FFFF0000"/>
        </patternFill>
      </fill>
      <border>
        <top style="thin">
          <color rgb="FFFF0000"/>
        </top>
        <bottom style="thin">
          <color rgb="FFFF0000"/>
        </bottom>
      </border>
    </dxf>
    <dxf>
      <fill>
        <patternFill patternType="solid">
          <bgColor rgb="FFFFFF00"/>
        </patternFill>
      </fill>
      <border>
        <top style="thin">
          <color rgb="FFFFFF00"/>
        </top>
        <bottom style="thin">
          <color rgb="FFFFFF00"/>
        </bottom>
      </border>
    </dxf>
    <dxf>
      <border>
        <top style="dashDot">
          <color auto="1"/>
        </top>
        <bottom style="dashDot">
          <color auto="1"/>
        </bottom>
        <vertical/>
        <horizontal/>
      </border>
    </dxf>
    <dxf>
      <fill>
        <patternFill>
          <bgColor rgb="FF00B050"/>
        </patternFill>
      </fill>
      <border>
        <top style="thin">
          <color rgb="FF00B050"/>
        </top>
        <bottom style="thin">
          <color rgb="FF00B050"/>
        </bottom>
      </border>
    </dxf>
    <dxf>
      <fill>
        <patternFill>
          <bgColor rgb="FFFF0000"/>
        </patternFill>
      </fill>
      <border>
        <top style="thin">
          <color rgb="FFFF0000"/>
        </top>
        <bottom style="thin">
          <color rgb="FFFF0000"/>
        </bottom>
      </border>
    </dxf>
    <dxf>
      <fill>
        <patternFill patternType="solid">
          <bgColor rgb="FFFFFF00"/>
        </patternFill>
      </fill>
      <border>
        <top style="thin">
          <color rgb="FFFFFF00"/>
        </top>
        <bottom style="thin">
          <color rgb="FFFFFF00"/>
        </bottom>
      </border>
    </dxf>
    <dxf>
      <border>
        <top style="dashDot">
          <color auto="1"/>
        </top>
        <bottom style="dashDot">
          <color auto="1"/>
        </bottom>
        <vertical/>
        <horizontal/>
      </border>
    </dxf>
    <dxf>
      <fill>
        <patternFill>
          <bgColor rgb="FF00B050"/>
        </patternFill>
      </fill>
      <border>
        <top style="thin">
          <color rgb="FF00B050"/>
        </top>
        <bottom style="thin">
          <color rgb="FF00B050"/>
        </bottom>
      </border>
    </dxf>
    <dxf>
      <fill>
        <patternFill>
          <bgColor rgb="FFFF0000"/>
        </patternFill>
      </fill>
      <border>
        <top style="thin">
          <color rgb="FFFF0000"/>
        </top>
        <bottom style="thin">
          <color rgb="FFFF0000"/>
        </bottom>
      </border>
    </dxf>
    <dxf>
      <fill>
        <patternFill patternType="solid">
          <bgColor rgb="FFFFFF00"/>
        </patternFill>
      </fill>
      <border>
        <top style="thin">
          <color rgb="FFFFFF00"/>
        </top>
        <bottom style="thin">
          <color rgb="FFFFFF00"/>
        </bottom>
      </border>
    </dxf>
    <dxf>
      <border>
        <top style="dashDot">
          <color auto="1"/>
        </top>
        <bottom style="dashDot">
          <color auto="1"/>
        </bottom>
        <vertical/>
        <horizontal/>
      </border>
    </dxf>
    <dxf>
      <border>
        <top style="dashDot">
          <color auto="1"/>
        </top>
        <bottom style="dashDot">
          <color auto="1"/>
        </bottom>
        <vertical/>
        <horizontal/>
      </border>
    </dxf>
    <dxf>
      <fill>
        <patternFill patternType="solid">
          <bgColor rgb="FFFFFF00"/>
        </patternFill>
      </fill>
      <border>
        <top style="thin">
          <color rgb="FFFFFF00"/>
        </top>
        <bottom style="thin">
          <color rgb="FFFFFF00"/>
        </bottom>
      </border>
    </dxf>
    <dxf>
      <fill>
        <patternFill>
          <bgColor rgb="FFFF0000"/>
        </patternFill>
      </fill>
      <border>
        <top style="thin">
          <color rgb="FFFF0000"/>
        </top>
        <bottom style="thin">
          <color rgb="FFFF0000"/>
        </bottom>
      </border>
    </dxf>
    <dxf>
      <fill>
        <patternFill>
          <bgColor rgb="FF00B050"/>
        </patternFill>
      </fill>
      <border>
        <top style="thin">
          <color rgb="FF00B050"/>
        </top>
        <bottom style="thin">
          <color rgb="FF00B050"/>
        </bottom>
      </border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3D93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tos.rtd">
      <tp t="s">
        <v>N/A</v>
        <stp/>
        <stp>VOLUME</stp>
        <stp>.SPXWC6780</stp>
        <tr r="F98" s="2"/>
        <tr r="G98" s="2"/>
      </tp>
      <tp t="s">
        <v>N/A</v>
        <stp/>
        <stp>VOLUME</stp>
        <stp>.SPXWC6785</stp>
        <tr r="F97" s="2"/>
        <tr r="G97" s="2"/>
      </tp>
      <tp t="s">
        <v>N/A</v>
        <stp/>
        <stp>VOLUME</stp>
        <stp>.SPXWP6780</stp>
        <tr r="F98" s="2"/>
        <tr r="G98" s="2"/>
      </tp>
      <tp t="s">
        <v>N/A</v>
        <stp/>
        <stp>VOLUME</stp>
        <stp>.SPXWP6785</stp>
        <tr r="F97" s="2"/>
        <tr r="G97" s="2"/>
      </tp>
      <tp t="s">
        <v>N/A</v>
        <stp/>
        <stp>VOLUME</stp>
        <stp>.SPXWC6790</stp>
        <tr r="G96" s="2"/>
        <tr r="F96" s="2"/>
      </tp>
      <tp t="s">
        <v>N/A</v>
        <stp/>
        <stp>VOLUME</stp>
        <stp>.SPXWC6795</stp>
        <tr r="F95" s="2"/>
        <tr r="G95" s="2"/>
      </tp>
      <tp t="s">
        <v>N/A</v>
        <stp/>
        <stp>VOLUME</stp>
        <stp>.SPXWP6790</stp>
        <tr r="G96" s="2"/>
        <tr r="F96" s="2"/>
      </tp>
      <tp t="s">
        <v>N/A</v>
        <stp/>
        <stp>VOLUME</stp>
        <stp>.SPXWP6795</stp>
        <tr r="F95" s="2"/>
        <tr r="G95" s="2"/>
      </tp>
      <tp t="s">
        <v>N/A</v>
        <stp/>
        <stp>VOLUME</stp>
        <stp>.SPXWC6740</stp>
        <tr r="F106" s="2"/>
        <tr r="G106" s="2"/>
      </tp>
      <tp t="s">
        <v>N/A</v>
        <stp/>
        <stp>VOLUME</stp>
        <stp>.SPXWC6745</stp>
        <tr r="G105" s="2"/>
        <tr r="F105" s="2"/>
      </tp>
      <tp t="s">
        <v>N/A</v>
        <stp/>
        <stp>VOLUME</stp>
        <stp>.SPXWP6740</stp>
        <tr r="F106" s="2"/>
        <tr r="G106" s="2"/>
      </tp>
      <tp t="s">
        <v>N/A</v>
        <stp/>
        <stp>VOLUME</stp>
        <stp>.SPXWP6745</stp>
        <tr r="G105" s="2"/>
        <tr r="F105" s="2"/>
      </tp>
      <tp t="s">
        <v>N/A</v>
        <stp/>
        <stp>VOLUME</stp>
        <stp>.SPXWC6750</stp>
        <tr r="G104" s="2"/>
        <tr r="F104" s="2"/>
      </tp>
      <tp t="s">
        <v>N/A</v>
        <stp/>
        <stp>VOLUME</stp>
        <stp>.SPXWC6755</stp>
        <tr r="G103" s="2"/>
        <tr r="F103" s="2"/>
      </tp>
      <tp t="s">
        <v>N/A</v>
        <stp/>
        <stp>VOLUME</stp>
        <stp>.SPXWP6750</stp>
        <tr r="G104" s="2"/>
        <tr r="F104" s="2"/>
      </tp>
      <tp t="s">
        <v>N/A</v>
        <stp/>
        <stp>VOLUME</stp>
        <stp>.SPXWP6755</stp>
        <tr r="G103" s="2"/>
        <tr r="F103" s="2"/>
      </tp>
      <tp t="s">
        <v>N/A</v>
        <stp/>
        <stp>VOLUME</stp>
        <stp>.SPXWC6760</stp>
        <tr r="G102" s="2"/>
        <tr r="F102" s="2"/>
      </tp>
      <tp t="s">
        <v>N/A</v>
        <stp/>
        <stp>VOLUME</stp>
        <stp>.SPXWC6765</stp>
        <tr r="F101" s="2"/>
        <tr r="G101" s="2"/>
      </tp>
      <tp t="s">
        <v>N/A</v>
        <stp/>
        <stp>VOLUME</stp>
        <stp>.SPXWP6760</stp>
        <tr r="G102" s="2"/>
        <tr r="F102" s="2"/>
      </tp>
      <tp t="s">
        <v>N/A</v>
        <stp/>
        <stp>VOLUME</stp>
        <stp>.SPXWP6765</stp>
        <tr r="F101" s="2"/>
        <tr r="G101" s="2"/>
      </tp>
      <tp t="s">
        <v>N/A</v>
        <stp/>
        <stp>VOLUME</stp>
        <stp>.SPXWC6770</stp>
        <tr r="F100" s="2"/>
        <tr r="G100" s="2"/>
      </tp>
      <tp t="s">
        <v>N/A</v>
        <stp/>
        <stp>VOLUME</stp>
        <stp>.SPXWC6775</stp>
        <tr r="F99" s="2"/>
        <tr r="G99" s="2"/>
      </tp>
      <tp t="s">
        <v>N/A</v>
        <stp/>
        <stp>VOLUME</stp>
        <stp>.SPXWP6770</stp>
        <tr r="F100" s="2"/>
        <tr r="G100" s="2"/>
      </tp>
      <tp t="s">
        <v>N/A</v>
        <stp/>
        <stp>VOLUME</stp>
        <stp>.SPXWP6775</stp>
        <tr r="F99" s="2"/>
        <tr r="G99" s="2"/>
      </tp>
      <tp t="s">
        <v>N/A</v>
        <stp/>
        <stp>VOLUME</stp>
        <stp>.SPXWC6700</stp>
        <tr r="G114" s="2"/>
        <tr r="F114" s="2"/>
      </tp>
      <tp t="s">
        <v>N/A</v>
        <stp/>
        <stp>VOLUME</stp>
        <stp>.SPXWC6705</stp>
        <tr r="G113" s="2"/>
        <tr r="F113" s="2"/>
      </tp>
      <tp t="s">
        <v>N/A</v>
        <stp/>
        <stp>VOLUME</stp>
        <stp>.SPXWP6700</stp>
        <tr r="G114" s="2"/>
        <tr r="F114" s="2"/>
      </tp>
      <tp t="s">
        <v>N/A</v>
        <stp/>
        <stp>VOLUME</stp>
        <stp>.SPXWP6705</stp>
        <tr r="G113" s="2"/>
        <tr r="F113" s="2"/>
      </tp>
      <tp t="s">
        <v>N/A</v>
        <stp/>
        <stp>VOLUME</stp>
        <stp>.SPXWC6710</stp>
        <tr r="G112" s="2"/>
        <tr r="F112" s="2"/>
      </tp>
      <tp t="s">
        <v>N/A</v>
        <stp/>
        <stp>VOLUME</stp>
        <stp>.SPXWC6715</stp>
        <tr r="G111" s="2"/>
        <tr r="F111" s="2"/>
      </tp>
      <tp t="s">
        <v>N/A</v>
        <stp/>
        <stp>VOLUME</stp>
        <stp>.SPXWP6710</stp>
        <tr r="G112" s="2"/>
        <tr r="F112" s="2"/>
      </tp>
      <tp t="s">
        <v>N/A</v>
        <stp/>
        <stp>VOLUME</stp>
        <stp>.SPXWP6715</stp>
        <tr r="G111" s="2"/>
        <tr r="F111" s="2"/>
      </tp>
      <tp t="s">
        <v>N/A</v>
        <stp/>
        <stp>VOLUME</stp>
        <stp>.SPXWC6720</stp>
        <tr r="G110" s="2"/>
        <tr r="F110" s="2"/>
      </tp>
      <tp t="s">
        <v>N/A</v>
        <stp/>
        <stp>VOLUME</stp>
        <stp>.SPXWC6725</stp>
        <tr r="F109" s="2"/>
        <tr r="G109" s="2"/>
      </tp>
      <tp t="s">
        <v>N/A</v>
        <stp/>
        <stp>VOLUME</stp>
        <stp>.SPXWP6720</stp>
        <tr r="G110" s="2"/>
        <tr r="F110" s="2"/>
      </tp>
      <tp t="s">
        <v>N/A</v>
        <stp/>
        <stp>VOLUME</stp>
        <stp>.SPXWP6725</stp>
        <tr r="F109" s="2"/>
        <tr r="G109" s="2"/>
      </tp>
      <tp t="s">
        <v>N/A</v>
        <stp/>
        <stp>VOLUME</stp>
        <stp>.SPXWC6730</stp>
        <tr r="G108" s="2"/>
        <tr r="F108" s="2"/>
      </tp>
      <tp t="s">
        <v>N/A</v>
        <stp/>
        <stp>VOLUME</stp>
        <stp>.SPXWC6735</stp>
        <tr r="F107" s="2"/>
        <tr r="G107" s="2"/>
      </tp>
      <tp t="s">
        <v>N/A</v>
        <stp/>
        <stp>VOLUME</stp>
        <stp>.SPXWP6730</stp>
        <tr r="G108" s="2"/>
        <tr r="F108" s="2"/>
      </tp>
      <tp t="s">
        <v>N/A</v>
        <stp/>
        <stp>VOLUME</stp>
        <stp>.SPXWP6735</stp>
        <tr r="F107" s="2"/>
        <tr r="G107" s="2"/>
      </tp>
      <tp t="s">
        <v>N/A</v>
        <stp/>
        <stp>VOLUME</stp>
        <stp>.SPXWC6680</stp>
        <tr r="G118" s="2"/>
        <tr r="F118" s="2"/>
      </tp>
      <tp t="s">
        <v>N/A</v>
        <stp/>
        <stp>VOLUME</stp>
        <stp>.SPXWC6685</stp>
        <tr r="F117" s="2"/>
        <tr r="G117" s="2"/>
      </tp>
      <tp t="s">
        <v>N/A</v>
        <stp/>
        <stp>VOLUME</stp>
        <stp>.SPXWP6680</stp>
        <tr r="G118" s="2"/>
        <tr r="F118" s="2"/>
      </tp>
      <tp t="s">
        <v>N/A</v>
        <stp/>
        <stp>VOLUME</stp>
        <stp>.SPXWP6685</stp>
        <tr r="F117" s="2"/>
        <tr r="G117" s="2"/>
      </tp>
      <tp t="s">
        <v>N/A</v>
        <stp/>
        <stp>VOLUME</stp>
        <stp>.SPXWC6690</stp>
        <tr r="F116" s="2"/>
        <tr r="G116" s="2"/>
      </tp>
      <tp t="s">
        <v>N/A</v>
        <stp/>
        <stp>VOLUME</stp>
        <stp>.SPXWC6695</stp>
        <tr r="G115" s="2"/>
        <tr r="F115" s="2"/>
      </tp>
      <tp t="s">
        <v>N/A</v>
        <stp/>
        <stp>VOLUME</stp>
        <stp>.SPXWP6690</stp>
        <tr r="F116" s="2"/>
        <tr r="G116" s="2"/>
      </tp>
      <tp t="s">
        <v>N/A</v>
        <stp/>
        <stp>VOLUME</stp>
        <stp>.SPXWP6695</stp>
        <tr r="G115" s="2"/>
        <tr r="F115" s="2"/>
      </tp>
      <tp t="s">
        <v>N/A</v>
        <stp/>
        <stp>VOLUME</stp>
        <stp>.SPXWC6640</stp>
        <tr r="F126" s="2"/>
        <tr r="G126" s="2"/>
      </tp>
      <tp t="s">
        <v>N/A</v>
        <stp/>
        <stp>VOLUME</stp>
        <stp>.SPXWC6645</stp>
        <tr r="F125" s="2"/>
        <tr r="G125" s="2"/>
      </tp>
      <tp t="s">
        <v>N/A</v>
        <stp/>
        <stp>VOLUME</stp>
        <stp>.SPXWP6640</stp>
        <tr r="F126" s="2"/>
        <tr r="G126" s="2"/>
      </tp>
      <tp t="s">
        <v>N/A</v>
        <stp/>
        <stp>VOLUME</stp>
        <stp>.SPXWP6645</stp>
        <tr r="F125" s="2"/>
        <tr r="G125" s="2"/>
      </tp>
      <tp t="s">
        <v>N/A</v>
        <stp/>
        <stp>VOLUME</stp>
        <stp>.SPXWC6650</stp>
        <tr r="F124" s="2"/>
        <tr r="G124" s="2"/>
      </tp>
      <tp t="s">
        <v>N/A</v>
        <stp/>
        <stp>VOLUME</stp>
        <stp>.SPXWC6655</stp>
        <tr r="G123" s="2"/>
        <tr r="F123" s="2"/>
      </tp>
      <tp t="s">
        <v>N/A</v>
        <stp/>
        <stp>VOLUME</stp>
        <stp>.SPXWP6650</stp>
        <tr r="F124" s="2"/>
        <tr r="G124" s="2"/>
      </tp>
      <tp t="s">
        <v>N/A</v>
        <stp/>
        <stp>VOLUME</stp>
        <stp>.SPXWP6655</stp>
        <tr r="G123" s="2"/>
        <tr r="F123" s="2"/>
      </tp>
      <tp t="s">
        <v>N/A</v>
        <stp/>
        <stp>VOLUME</stp>
        <stp>.SPXWC6660</stp>
        <tr r="G122" s="2"/>
        <tr r="F122" s="2"/>
      </tp>
      <tp t="s">
        <v>N/A</v>
        <stp/>
        <stp>VOLUME</stp>
        <stp>.SPXWC6665</stp>
        <tr r="G121" s="2"/>
        <tr r="F121" s="2"/>
      </tp>
      <tp t="s">
        <v>N/A</v>
        <stp/>
        <stp>VOLUME</stp>
        <stp>.SPXWP6660</stp>
        <tr r="G122" s="2"/>
        <tr r="F122" s="2"/>
      </tp>
      <tp t="s">
        <v>N/A</v>
        <stp/>
        <stp>VOLUME</stp>
        <stp>.SPXWP6665</stp>
        <tr r="G121" s="2"/>
        <tr r="F121" s="2"/>
      </tp>
      <tp t="s">
        <v>N/A</v>
        <stp/>
        <stp>VOLUME</stp>
        <stp>.SPXWC6670</stp>
        <tr r="G120" s="2"/>
        <tr r="F120" s="2"/>
      </tp>
      <tp t="s">
        <v>N/A</v>
        <stp/>
        <stp>VOLUME</stp>
        <stp>.SPXWC6675</stp>
        <tr r="F119" s="2"/>
        <tr r="G119" s="2"/>
      </tp>
      <tp t="s">
        <v>N/A</v>
        <stp/>
        <stp>VOLUME</stp>
        <stp>.SPXWP6670</stp>
        <tr r="G120" s="2"/>
        <tr r="F120" s="2"/>
      </tp>
      <tp t="s">
        <v>N/A</v>
        <stp/>
        <stp>VOLUME</stp>
        <stp>.SPXWP6675</stp>
        <tr r="F119" s="2"/>
        <tr r="G119" s="2"/>
      </tp>
      <tp t="s">
        <v>N/A</v>
        <stp/>
        <stp>VOLUME</stp>
        <stp>.SPXWC6615</stp>
        <tr r="G131" s="2"/>
        <tr r="F131" s="2"/>
      </tp>
      <tp t="s">
        <v>N/A</v>
        <stp/>
        <stp>VOLUME</stp>
        <stp>.SPXWP6615</stp>
        <tr r="G131" s="2"/>
        <tr r="F131" s="2"/>
      </tp>
      <tp t="s">
        <v>N/A</v>
        <stp/>
        <stp>VOLUME</stp>
        <stp>.SPXWC6620</stp>
        <tr r="F130" s="2"/>
        <tr r="G130" s="2"/>
      </tp>
      <tp t="s">
        <v>N/A</v>
        <stp/>
        <stp>VOLUME</stp>
        <stp>.SPXWC6625</stp>
        <tr r="F129" s="2"/>
        <tr r="G129" s="2"/>
      </tp>
      <tp t="s">
        <v>N/A</v>
        <stp/>
        <stp>VOLUME</stp>
        <stp>.SPXWP6620</stp>
        <tr r="F130" s="2"/>
        <tr r="G130" s="2"/>
      </tp>
      <tp t="s">
        <v>N/A</v>
        <stp/>
        <stp>VOLUME</stp>
        <stp>.SPXWP6625</stp>
        <tr r="F129" s="2"/>
        <tr r="G129" s="2"/>
      </tp>
      <tp t="s">
        <v>N/A</v>
        <stp/>
        <stp>VOLUME</stp>
        <stp>.SPXWC6630</stp>
        <tr r="F128" s="2"/>
        <tr r="G128" s="2"/>
      </tp>
      <tp t="s">
        <v>N/A</v>
        <stp/>
        <stp>VOLUME</stp>
        <stp>.SPXWC6635</stp>
        <tr r="F127" s="2"/>
        <tr r="G127" s="2"/>
      </tp>
      <tp t="s">
        <v>N/A</v>
        <stp/>
        <stp>VOLUME</stp>
        <stp>.SPXWP6630</stp>
        <tr r="F128" s="2"/>
        <tr r="G128" s="2"/>
      </tp>
      <tp t="s">
        <v>N/A</v>
        <stp/>
        <stp>VOLUME</stp>
        <stp>.SPXWP6635</stp>
        <tr r="F127" s="2"/>
        <tr r="G127" s="2"/>
      </tp>
      <tp>
        <v>672.36</v>
        <stp/>
        <stp>MARK</stp>
        <stp>SPY</stp>
        <tr r="A40" s="1"/>
      </tp>
      <tp>
        <v>6728.8</v>
        <stp/>
        <stp>MARK</stp>
        <stp>SPX</stp>
        <tr r="E82" s="1"/>
      </tp>
      <tp>
        <v>611.9</v>
        <stp/>
        <stp>MARK</stp>
        <stp>QQQ</stp>
        <tr r="A42" s="1"/>
      </tp>
      <tp t="s">
        <v>N/A</v>
        <stp/>
        <stp>VOLUME</stp>
        <stp>.SPXWC6840</stp>
        <tr r="F86" s="2"/>
        <tr r="G86" s="2"/>
      </tp>
      <tp t="s">
        <v>N/A</v>
        <stp/>
        <stp>VOLUME</stp>
        <stp>.SPXWP6840</stp>
        <tr r="F86" s="2"/>
        <tr r="G86" s="2"/>
      </tp>
      <tp t="s">
        <v>N/A</v>
        <stp/>
        <stp>VOLUME</stp>
        <stp>.SPXWC6800</stp>
        <tr r="F94" s="2"/>
        <tr r="G94" s="2"/>
      </tp>
      <tp t="s">
        <v>N/A</v>
        <stp/>
        <stp>VOLUME</stp>
        <stp>.SPXWC6805</stp>
        <tr r="G93" s="2"/>
        <tr r="F93" s="2"/>
      </tp>
      <tp t="s">
        <v>N/A</v>
        <stp/>
        <stp>VOLUME</stp>
        <stp>.SPXWP6800</stp>
        <tr r="F94" s="2"/>
        <tr r="G94" s="2"/>
      </tp>
      <tp t="s">
        <v>N/A</v>
        <stp/>
        <stp>VOLUME</stp>
        <stp>.SPXWP6805</stp>
        <tr r="G93" s="2"/>
        <tr r="F93" s="2"/>
      </tp>
      <tp t="s">
        <v>N/A</v>
        <stp/>
        <stp>VOLUME</stp>
        <stp>.SPXWC6810</stp>
        <tr r="G92" s="2"/>
        <tr r="F92" s="2"/>
      </tp>
      <tp t="s">
        <v>N/A</v>
        <stp/>
        <stp>VOLUME</stp>
        <stp>.SPXWC6815</stp>
        <tr r="G91" s="2"/>
        <tr r="F91" s="2"/>
      </tp>
      <tp t="s">
        <v>N/A</v>
        <stp/>
        <stp>VOLUME</stp>
        <stp>.SPXWP6810</stp>
        <tr r="G92" s="2"/>
        <tr r="F92" s="2"/>
      </tp>
      <tp t="s">
        <v>N/A</v>
        <stp/>
        <stp>VOLUME</stp>
        <stp>.SPXWP6815</stp>
        <tr r="G91" s="2"/>
        <tr r="F91" s="2"/>
      </tp>
      <tp t="s">
        <v>N/A</v>
        <stp/>
        <stp>VOLUME</stp>
        <stp>.SPXWC6820</stp>
        <tr r="G90" s="2"/>
        <tr r="F90" s="2"/>
      </tp>
      <tp t="s">
        <v>N/A</v>
        <stp/>
        <stp>VOLUME</stp>
        <stp>.SPXWC6825</stp>
        <tr r="G89" s="2"/>
        <tr r="F89" s="2"/>
      </tp>
      <tp t="s">
        <v>N/A</v>
        <stp/>
        <stp>VOLUME</stp>
        <stp>.SPXWP6820</stp>
        <tr r="G90" s="2"/>
        <tr r="F90" s="2"/>
      </tp>
      <tp t="s">
        <v>N/A</v>
        <stp/>
        <stp>VOLUME</stp>
        <stp>.SPXWP6825</stp>
        <tr r="G89" s="2"/>
        <tr r="F89" s="2"/>
      </tp>
      <tp t="s">
        <v>N/A</v>
        <stp/>
        <stp>VOLUME</stp>
        <stp>.SPXWC6830</stp>
        <tr r="G88" s="2"/>
        <tr r="F88" s="2"/>
      </tp>
      <tp t="s">
        <v>N/A</v>
        <stp/>
        <stp>VOLUME</stp>
        <stp>.SPXWC6835</stp>
        <tr r="F87" s="2"/>
        <tr r="G87" s="2"/>
      </tp>
      <tp t="s">
        <v>N/A</v>
        <stp/>
        <stp>VOLUME</stp>
        <stp>.SPXWP6830</stp>
        <tr r="G88" s="2"/>
        <tr r="F88" s="2"/>
      </tp>
      <tp t="s">
        <v>N/A</v>
        <stp/>
        <stp>VOLUME</stp>
        <stp>.SPXWP6835</stp>
        <tr r="F87" s="2"/>
        <tr r="G87" s="2"/>
      </tp>
      <tp t="s">
        <v>N/A</v>
        <stp/>
        <stp>VOLUME</stp>
        <stp>.NDXPP24975</stp>
        <tr r="G163" s="2"/>
        <tr r="F163" s="2"/>
      </tp>
      <tp t="s">
        <v>N/A</v>
        <stp/>
        <stp>VOLUME</stp>
        <stp>.NDXPP24950</stp>
        <tr r="F164" s="2"/>
        <tr r="G164" s="2"/>
      </tp>
      <tp t="s">
        <v>N/A</v>
        <stp/>
        <stp>VOLUME</stp>
        <stp>.NDXPP24925</stp>
        <tr r="G165" s="2"/>
        <tr r="F165" s="2"/>
      </tp>
      <tp t="s">
        <v>N/A</v>
        <stp/>
        <stp>VOLUME</stp>
        <stp>.NDXPP24900</stp>
        <tr r="G166" s="2"/>
        <tr r="F166" s="2"/>
      </tp>
      <tp t="s">
        <v>N/A</v>
        <stp/>
        <stp>VOLUME</stp>
        <stp>.NDXPC24950</stp>
        <tr r="F164" s="2"/>
        <tr r="G164" s="2"/>
      </tp>
      <tp t="s">
        <v>N/A</v>
        <stp/>
        <stp>VOLUME</stp>
        <stp>.NDXPC24975</stp>
        <tr r="G163" s="2"/>
        <tr r="F163" s="2"/>
      </tp>
      <tp t="s">
        <v>N/A</v>
        <stp/>
        <stp>VOLUME</stp>
        <stp>.NDXPC24900</stp>
        <tr r="G166" s="2"/>
        <tr r="F166" s="2"/>
      </tp>
      <tp t="s">
        <v>N/A</v>
        <stp/>
        <stp>VOLUME</stp>
        <stp>.NDXPC24925</stp>
        <tr r="G165" s="2"/>
        <tr r="F165" s="2"/>
      </tp>
      <tp t="s">
        <v>N/A</v>
        <stp/>
        <stp>VOLUME</stp>
        <stp>.NDXPP24875</stp>
        <tr r="G167" s="2"/>
        <tr r="F167" s="2"/>
      </tp>
      <tp t="s">
        <v>N/A</v>
        <stp/>
        <stp>VOLUME</stp>
        <stp>.NDXPP24850</stp>
        <tr r="G168" s="2"/>
        <tr r="F168" s="2"/>
      </tp>
      <tp t="s">
        <v>N/A</v>
        <stp/>
        <stp>VOLUME</stp>
        <stp>.NDXPP24825</stp>
        <tr r="G169" s="2"/>
        <tr r="F169" s="2"/>
      </tp>
      <tp t="s">
        <v>N/A</v>
        <stp/>
        <stp>VOLUME</stp>
        <stp>.NDXPP24800</stp>
        <tr r="G170" s="2"/>
        <tr r="F170" s="2"/>
      </tp>
      <tp t="s">
        <v>N/A</v>
        <stp/>
        <stp>VOLUME</stp>
        <stp>.NDXPC24850</stp>
        <tr r="G168" s="2"/>
        <tr r="F168" s="2"/>
      </tp>
      <tp t="s">
        <v>N/A</v>
        <stp/>
        <stp>VOLUME</stp>
        <stp>.NDXPC24875</stp>
        <tr r="G167" s="2"/>
        <tr r="F167" s="2"/>
      </tp>
      <tp t="s">
        <v>N/A</v>
        <stp/>
        <stp>VOLUME</stp>
        <stp>.NDXPC24800</stp>
        <tr r="G170" s="2"/>
        <tr r="F170" s="2"/>
      </tp>
      <tp t="s">
        <v>N/A</v>
        <stp/>
        <stp>VOLUME</stp>
        <stp>.NDXPC24825</stp>
        <tr r="G169" s="2"/>
        <tr r="F169" s="2"/>
      </tp>
      <tp>
        <v>2193</v>
        <stp/>
        <stp>OPEN_INT</stp>
        <stp>.SPX251121C6655</stp>
        <tr r="L122" s="1"/>
        <tr r="L122" s="1"/>
      </tp>
      <tp>
        <v>12024</v>
        <stp/>
        <stp>OPEN_INT</stp>
        <stp>.SPX251121C6650</stp>
        <tr r="L123" s="1"/>
        <tr r="L123" s="1"/>
      </tp>
      <tp>
        <v>2781</v>
        <stp/>
        <stp>OPEN_INT</stp>
        <stp>.SPX251121P6655</stp>
        <tr r="M122" s="1"/>
        <tr r="M122" s="1"/>
      </tp>
      <tp>
        <v>15393</v>
        <stp/>
        <stp>OPEN_INT</stp>
        <stp>.SPX251121P6650</stp>
        <tr r="M123" s="1"/>
        <tr r="M123" s="1"/>
      </tp>
      <tp>
        <v>801</v>
        <stp/>
        <stp>OPEN_INT</stp>
        <stp>.SPX251121C6645</stp>
        <tr r="L124" s="1"/>
        <tr r="L124" s="1"/>
      </tp>
      <tp>
        <v>342</v>
        <stp/>
        <stp>OPEN_INT</stp>
        <stp>.SPX251121C6640</stp>
        <tr r="L125" s="1"/>
        <tr r="L125" s="1"/>
      </tp>
      <tp>
        <v>981</v>
        <stp/>
        <stp>OPEN_INT</stp>
        <stp>.SPX251121P6645</stp>
        <tr r="M124" s="1"/>
        <tr r="M124" s="1"/>
      </tp>
      <tp>
        <v>654</v>
        <stp/>
        <stp>OPEN_INT</stp>
        <stp>.SPX251121P6640</stp>
        <tr r="M125" s="1"/>
        <tr r="M125" s="1"/>
      </tp>
      <tp>
        <v>2824</v>
        <stp/>
        <stp>OPEN_INT</stp>
        <stp>.SPX251121C6675</stp>
        <tr r="L118" s="1"/>
        <tr r="L118" s="1"/>
      </tp>
      <tp>
        <v>296</v>
        <stp/>
        <stp>OPEN_INT</stp>
        <stp>.SPX251121C6670</stp>
        <tr r="L119" s="1"/>
        <tr r="L119" s="1"/>
      </tp>
      <tp>
        <v>1870</v>
        <stp/>
        <stp>OPEN_INT</stp>
        <stp>.SPX251121P6675</stp>
        <tr r="M118" s="1"/>
        <tr r="M118" s="1"/>
      </tp>
      <tp>
        <v>1109</v>
        <stp/>
        <stp>OPEN_INT</stp>
        <stp>.SPX251121P6670</stp>
        <tr r="M119" s="1"/>
        <tr r="M119" s="1"/>
      </tp>
      <tp>
        <v>230</v>
        <stp/>
        <stp>OPEN_INT</stp>
        <stp>.SPX251121C6665</stp>
        <tr r="L120" s="1"/>
        <tr r="L120" s="1"/>
      </tp>
      <tp>
        <v>242</v>
        <stp/>
        <stp>OPEN_INT</stp>
        <stp>.SPX251121C6660</stp>
        <tr r="L121" s="1"/>
        <tr r="L121" s="1"/>
      </tp>
      <tp>
        <v>478</v>
        <stp/>
        <stp>OPEN_INT</stp>
        <stp>.SPX251121P6665</stp>
        <tr r="M120" s="1"/>
        <tr r="M120" s="1"/>
      </tp>
      <tp>
        <v>705</v>
        <stp/>
        <stp>OPEN_INT</stp>
        <stp>.SPX251121P6660</stp>
        <tr r="M121" s="1"/>
        <tr r="M121" s="1"/>
      </tp>
      <tp>
        <v>290</v>
        <stp/>
        <stp>OPEN_INT</stp>
        <stp>.SPX251121C6615</stp>
        <tr r="L130" s="1"/>
        <tr r="L130" s="1"/>
      </tp>
      <tp>
        <v>362</v>
        <stp/>
        <stp>OPEN_INT</stp>
        <stp>.SPX251121P6615</stp>
        <tr r="M130" s="1"/>
        <tr r="M130" s="1"/>
      </tp>
      <tp>
        <v>267</v>
        <stp/>
        <stp>OPEN_INT</stp>
        <stp>.SPX251121C6635</stp>
        <tr r="L126" s="1"/>
        <tr r="L126" s="1"/>
      </tp>
      <tp>
        <v>459</v>
        <stp/>
        <stp>OPEN_INT</stp>
        <stp>.SPX251121C6630</stp>
        <tr r="L127" s="1"/>
        <tr r="L127" s="1"/>
      </tp>
      <tp>
        <v>450</v>
        <stp/>
        <stp>OPEN_INT</stp>
        <stp>.SPX251121P6635</stp>
        <tr r="M126" s="1"/>
        <tr r="M126" s="1"/>
      </tp>
      <tp>
        <v>306</v>
        <stp/>
        <stp>OPEN_INT</stp>
        <stp>.SPX251121P6630</stp>
        <tr r="M127" s="1"/>
        <tr r="M127" s="1"/>
      </tp>
      <tp>
        <v>1053</v>
        <stp/>
        <stp>OPEN_INT</stp>
        <stp>.SPX251121C6625</stp>
        <tr r="L128" s="1"/>
        <tr r="L128" s="1"/>
      </tp>
      <tp>
        <v>6036</v>
        <stp/>
        <stp>OPEN_INT</stp>
        <stp>.SPX251121C6620</stp>
        <tr r="L129" s="1"/>
        <tr r="L129" s="1"/>
      </tp>
      <tp>
        <v>2576</v>
        <stp/>
        <stp>OPEN_INT</stp>
        <stp>.SPX251121P6625</stp>
        <tr r="M128" s="1"/>
        <tr r="M128" s="1"/>
      </tp>
      <tp>
        <v>3021</v>
        <stp/>
        <stp>OPEN_INT</stp>
        <stp>.SPX251121P6620</stp>
        <tr r="M129" s="1"/>
        <tr r="M129" s="1"/>
      </tp>
      <tp>
        <v>512</v>
        <stp/>
        <stp>OPEN_INT</stp>
        <stp>.SPX251121C6695</stp>
        <tr r="L114" s="1"/>
        <tr r="L114" s="1"/>
      </tp>
      <tp>
        <v>383</v>
        <stp/>
        <stp>OPEN_INT</stp>
        <stp>.SPX251121C6690</stp>
        <tr r="L115" s="1"/>
        <tr r="L115" s="1"/>
      </tp>
      <tp>
        <v>669</v>
        <stp/>
        <stp>OPEN_INT</stp>
        <stp>.SPX251121P6695</stp>
        <tr r="M114" s="1"/>
        <tr r="M114" s="1"/>
      </tp>
      <tp>
        <v>936</v>
        <stp/>
        <stp>OPEN_INT</stp>
        <stp>.SPX251121P6690</stp>
        <tr r="M115" s="1"/>
        <tr r="M115" s="1"/>
      </tp>
      <tp>
        <v>2261</v>
        <stp/>
        <stp>OPEN_INT</stp>
        <stp>.SPX251121C6685</stp>
        <tr r="L116" s="1"/>
        <tr r="L116" s="1"/>
      </tp>
      <tp>
        <v>457</v>
        <stp/>
        <stp>OPEN_INT</stp>
        <stp>.SPX251121C6680</stp>
        <tr r="L117" s="1"/>
        <tr r="L117" s="1"/>
      </tp>
      <tp>
        <v>2055</v>
        <stp/>
        <stp>OPEN_INT</stp>
        <stp>.SPX251121P6685</stp>
        <tr r="M116" s="1"/>
        <tr r="M116" s="1"/>
      </tp>
      <tp>
        <v>721</v>
        <stp/>
        <stp>OPEN_INT</stp>
        <stp>.SPX251121P6680</stp>
        <tr r="M117" s="1"/>
        <tr r="M117" s="1"/>
      </tp>
      <tp>
        <v>314</v>
        <stp/>
        <stp>OPEN_INT</stp>
        <stp>.SPX251121C6755</stp>
        <tr r="L102" s="1"/>
        <tr r="L102" s="1"/>
      </tp>
      <tp>
        <v>18724</v>
        <stp/>
        <stp>OPEN_INT</stp>
        <stp>.SPX251121C6750</stp>
        <tr r="L103" s="1"/>
        <tr r="L103" s="1"/>
      </tp>
      <tp>
        <v>445</v>
        <stp/>
        <stp>OPEN_INT</stp>
        <stp>.SPX251121P6755</stp>
        <tr r="M102" s="1"/>
        <tr r="M102" s="1"/>
      </tp>
      <tp>
        <v>16865</v>
        <stp/>
        <stp>OPEN_INT</stp>
        <stp>.SPX251121P6750</stp>
        <tr r="M103" s="1"/>
        <tr r="M103" s="1"/>
      </tp>
      <tp>
        <v>242</v>
        <stp/>
        <stp>OPEN_INT</stp>
        <stp>.SPX251121C6745</stp>
        <tr r="L104" s="1"/>
        <tr r="L104" s="1"/>
      </tp>
      <tp>
        <v>675</v>
        <stp/>
        <stp>OPEN_INT</stp>
        <stp>.SPX251121C6740</stp>
        <tr r="L105" s="1"/>
        <tr r="L105" s="1"/>
      </tp>
      <tp>
        <v>847</v>
        <stp/>
        <stp>OPEN_INT</stp>
        <stp>.SPX251121P6745</stp>
        <tr r="M104" s="1"/>
        <tr r="M104" s="1"/>
      </tp>
      <tp>
        <v>926</v>
        <stp/>
        <stp>OPEN_INT</stp>
        <stp>.SPX251121P6740</stp>
        <tr r="M105" s="1"/>
        <tr r="M105" s="1"/>
      </tp>
      <tp>
        <v>2222</v>
        <stp/>
        <stp>OPEN_INT</stp>
        <stp>.SPX251121C6775</stp>
        <tr r="L98" s="1"/>
        <tr r="L98" s="1"/>
      </tp>
      <tp>
        <v>998</v>
        <stp/>
        <stp>OPEN_INT</stp>
        <stp>.SPX251121C6770</stp>
        <tr r="L99" s="1"/>
        <tr r="L99" s="1"/>
      </tp>
      <tp>
        <v>1376</v>
        <stp/>
        <stp>OPEN_INT</stp>
        <stp>.SPX251121P6775</stp>
        <tr r="M98" s="1"/>
        <tr r="M98" s="1"/>
      </tp>
      <tp>
        <v>753</v>
        <stp/>
        <stp>OPEN_INT</stp>
        <stp>.SPX251121P6770</stp>
        <tr r="M99" s="1"/>
        <tr r="M99" s="1"/>
      </tp>
      <tp>
        <v>454</v>
        <stp/>
        <stp>OPEN_INT</stp>
        <stp>.SPX251121C6765</stp>
        <tr r="L100" s="1"/>
        <tr r="L100" s="1"/>
      </tp>
      <tp>
        <v>430</v>
        <stp/>
        <stp>OPEN_INT</stp>
        <stp>.SPX251121C6760</stp>
        <tr r="L101" s="1"/>
        <tr r="L101" s="1"/>
      </tp>
      <tp>
        <v>438</v>
        <stp/>
        <stp>OPEN_INT</stp>
        <stp>.SPX251121P6765</stp>
        <tr r="M100" s="1"/>
        <tr r="M100" s="1"/>
      </tp>
      <tp>
        <v>447</v>
        <stp/>
        <stp>OPEN_INT</stp>
        <stp>.SPX251121P6760</stp>
        <tr r="M101" s="1"/>
        <tr r="M101" s="1"/>
      </tp>
      <tp>
        <v>275</v>
        <stp/>
        <stp>OPEN_INT</stp>
        <stp>.SPX251121C6715</stp>
        <tr r="L110" s="1"/>
        <tr r="L110" s="1"/>
      </tp>
      <tp>
        <v>986</v>
        <stp/>
        <stp>OPEN_INT</stp>
        <stp>.SPX251121C6710</stp>
        <tr r="L111" s="1"/>
        <tr r="L111" s="1"/>
      </tp>
      <tp>
        <v>521</v>
        <stp/>
        <stp>OPEN_INT</stp>
        <stp>.SPX251121P6715</stp>
        <tr r="M110" s="1"/>
        <tr r="M110" s="1"/>
      </tp>
      <tp>
        <v>933</v>
        <stp/>
        <stp>OPEN_INT</stp>
        <stp>.SPX251121P6710</stp>
        <tr r="M111" s="1"/>
        <tr r="M111" s="1"/>
      </tp>
      <tp>
        <v>400</v>
        <stp/>
        <stp>OPEN_INT</stp>
        <stp>.SPX251121C6705</stp>
        <tr r="L112" s="1"/>
        <tr r="L112" s="1"/>
      </tp>
      <tp>
        <v>20414</v>
        <stp/>
        <stp>OPEN_INT</stp>
        <stp>.SPX251121C6700</stp>
        <tr r="L113" s="1"/>
        <tr r="L113" s="1"/>
      </tp>
      <tp>
        <v>438</v>
        <stp/>
        <stp>OPEN_INT</stp>
        <stp>.SPX251121P6705</stp>
        <tr r="M112" s="1"/>
        <tr r="M112" s="1"/>
      </tp>
      <tp>
        <v>21200</v>
        <stp/>
        <stp>OPEN_INT</stp>
        <stp>.SPX251121P6700</stp>
        <tr r="M113" s="1"/>
        <tr r="M113" s="1"/>
      </tp>
      <tp>
        <v>164</v>
        <stp/>
        <stp>OPEN_INT</stp>
        <stp>.SPX251121C6735</stp>
        <tr r="L106" s="1"/>
        <tr r="L106" s="1"/>
      </tp>
      <tp>
        <v>483</v>
        <stp/>
        <stp>OPEN_INT</stp>
        <stp>.SPX251121C6730</stp>
        <tr r="L107" s="1"/>
        <tr r="L107" s="1"/>
      </tp>
      <tp>
        <v>307</v>
        <stp/>
        <stp>OPEN_INT</stp>
        <stp>.SPX251121P6735</stp>
        <tr r="M106" s="1"/>
        <tr r="M106" s="1"/>
      </tp>
      <tp>
        <v>705</v>
        <stp/>
        <stp>OPEN_INT</stp>
        <stp>.SPX251121P6730</stp>
        <tr r="M107" s="1"/>
        <tr r="M107" s="1"/>
      </tp>
      <tp>
        <v>1924</v>
        <stp/>
        <stp>OPEN_INT</stp>
        <stp>.SPX251121C6725</stp>
        <tr r="L108" s="1"/>
        <tr r="L108" s="1"/>
      </tp>
      <tp>
        <v>917</v>
        <stp/>
        <stp>OPEN_INT</stp>
        <stp>.SPX251121C6720</stp>
        <tr r="L109" s="1"/>
        <tr r="L109" s="1"/>
      </tp>
      <tp>
        <v>1797</v>
        <stp/>
        <stp>OPEN_INT</stp>
        <stp>.SPX251121P6725</stp>
        <tr r="M108" s="1"/>
        <tr r="M108" s="1"/>
      </tp>
      <tp>
        <v>649</v>
        <stp/>
        <stp>OPEN_INT</stp>
        <stp>.SPX251121P6720</stp>
        <tr r="M109" s="1"/>
        <tr r="M109" s="1"/>
      </tp>
      <tp>
        <v>419</v>
        <stp/>
        <stp>OPEN_INT</stp>
        <stp>.SPX251121C6795</stp>
        <tr r="L94" s="1"/>
        <tr r="L94" s="1"/>
      </tp>
      <tp>
        <v>2175</v>
        <stp/>
        <stp>OPEN_INT</stp>
        <stp>.SPX251121C6790</stp>
        <tr r="L95" s="1"/>
        <tr r="L95" s="1"/>
      </tp>
      <tp>
        <v>253</v>
        <stp/>
        <stp>OPEN_INT</stp>
        <stp>.SPX251121P6795</stp>
        <tr r="M94" s="1"/>
        <tr r="M94" s="1"/>
      </tp>
      <tp>
        <v>336</v>
        <stp/>
        <stp>OPEN_INT</stp>
        <stp>.SPX251121P6790</stp>
        <tr r="M95" s="1"/>
        <tr r="M95" s="1"/>
      </tp>
      <tp>
        <v>276</v>
        <stp/>
        <stp>OPEN_INT</stp>
        <stp>.SPX251121C6785</stp>
        <tr r="L96" s="1"/>
        <tr r="L96" s="1"/>
      </tp>
      <tp>
        <v>1271</v>
        <stp/>
        <stp>OPEN_INT</stp>
        <stp>.SPX251121C6780</stp>
        <tr r="L97" s="1"/>
        <tr r="L97" s="1"/>
      </tp>
      <tp>
        <v>255</v>
        <stp/>
        <stp>OPEN_INT</stp>
        <stp>.SPX251121P6785</stp>
        <tr r="M96" s="1"/>
        <tr r="M96" s="1"/>
      </tp>
      <tp>
        <v>1090</v>
        <stp/>
        <stp>OPEN_INT</stp>
        <stp>.SPX251121P6780</stp>
        <tr r="M97" s="1"/>
        <tr r="M97" s="1"/>
      </tp>
      <tp t="s">
        <v>N/A</v>
        <stp/>
        <stp>VOLUME</stp>
        <stp>.NDXPP24375</stp>
        <tr r="G187" s="2"/>
        <tr r="F187" s="2"/>
      </tp>
      <tp t="s">
        <v>N/A</v>
        <stp/>
        <stp>VOLUME</stp>
        <stp>.NDXPP25375</stp>
        <tr r="F147" s="2"/>
        <tr r="G147" s="2"/>
      </tp>
      <tp t="s">
        <v>N/A</v>
        <stp/>
        <stp>VOLUME</stp>
        <stp>.NDXPP24350</stp>
        <tr r="G188" s="2"/>
        <tr r="F188" s="2"/>
      </tp>
      <tp t="s">
        <v>N/A</v>
        <stp/>
        <stp>VOLUME</stp>
        <stp>.NDXPP25350</stp>
        <tr r="F148" s="2"/>
        <tr r="G148" s="2"/>
      </tp>
      <tp t="s">
        <v>N/A</v>
        <stp/>
        <stp>VOLUME</stp>
        <stp>.NDXPP24325</stp>
        <tr r="F189" s="2"/>
        <tr r="G189" s="2"/>
      </tp>
      <tp t="s">
        <v>N/A</v>
        <stp/>
        <stp>VOLUME</stp>
        <stp>.NDXPP25325</stp>
        <tr r="F149" s="2"/>
        <tr r="G149" s="2"/>
      </tp>
      <tp t="s">
        <v>N/A</v>
        <stp/>
        <stp>VOLUME</stp>
        <stp>.NDXPP24300</stp>
        <tr r="G190" s="2"/>
        <tr r="F190" s="2"/>
      </tp>
      <tp t="s">
        <v>N/A</v>
        <stp/>
        <stp>VOLUME</stp>
        <stp>.NDXPP25300</stp>
        <tr r="F150" s="2"/>
        <tr r="G150" s="2"/>
      </tp>
      <tp t="s">
        <v>N/A</v>
        <stp/>
        <stp>VOLUME</stp>
        <stp>.NDXPC24350</stp>
        <tr r="G188" s="2"/>
        <tr r="F188" s="2"/>
      </tp>
      <tp t="s">
        <v>N/A</v>
        <stp/>
        <stp>VOLUME</stp>
        <stp>.NDXPC25350</stp>
        <tr r="F148" s="2"/>
        <tr r="G148" s="2"/>
      </tp>
      <tp t="s">
        <v>N/A</v>
        <stp/>
        <stp>VOLUME</stp>
        <stp>.NDXPC24375</stp>
        <tr r="G187" s="2"/>
        <tr r="F187" s="2"/>
      </tp>
      <tp t="s">
        <v>N/A</v>
        <stp/>
        <stp>VOLUME</stp>
        <stp>.NDXPC25375</stp>
        <tr r="F147" s="2"/>
        <tr r="G147" s="2"/>
      </tp>
      <tp t="s">
        <v>N/A</v>
        <stp/>
        <stp>VOLUME</stp>
        <stp>.NDXPC24300</stp>
        <tr r="G190" s="2"/>
        <tr r="F190" s="2"/>
      </tp>
      <tp t="s">
        <v>N/A</v>
        <stp/>
        <stp>VOLUME</stp>
        <stp>.NDXPC25300</stp>
        <tr r="F150" s="2"/>
        <tr r="G150" s="2"/>
      </tp>
      <tp>
        <v>25059.808000000001</v>
        <stp/>
        <stp>MARK</stp>
        <stp>NDX</stp>
        <tr r="E134" s="1"/>
      </tp>
      <tp t="s">
        <v>N/A</v>
        <stp/>
        <stp>VOLUME</stp>
        <stp>.NDXPC24325</stp>
        <tr r="F189" s="2"/>
        <tr r="G189" s="2"/>
      </tp>
      <tp t="s">
        <v>N/A</v>
        <stp/>
        <stp>VOLUME</stp>
        <stp>.NDXPC25325</stp>
        <tr r="F149" s="2"/>
        <tr r="G149" s="2"/>
      </tp>
      <tp>
        <v>456</v>
        <stp/>
        <stp>OPEN_INT</stp>
        <stp>.SPX251121C6840</stp>
        <tr r="L85" s="1"/>
        <tr r="L85" s="1"/>
      </tp>
      <tp>
        <v>243</v>
        <stp/>
        <stp>OPEN_INT</stp>
        <stp>.SPX251121P6840</stp>
        <tr r="M85" s="1"/>
        <tr r="M85" s="1"/>
      </tp>
      <tp>
        <v>1177</v>
        <stp/>
        <stp>OPEN_INT</stp>
        <stp>.SPX251121C6815</stp>
        <tr r="L90" s="1"/>
        <tr r="L90" s="1"/>
      </tp>
      <tp>
        <v>700</v>
        <stp/>
        <stp>OPEN_INT</stp>
        <stp>.SPX251121C6810</stp>
        <tr r="L91" s="1"/>
        <tr r="L91" s="1"/>
      </tp>
      <tp>
        <v>1051</v>
        <stp/>
        <stp>OPEN_INT</stp>
        <stp>.SPX251121P6815</stp>
        <tr r="M90" s="1"/>
        <tr r="M90" s="1"/>
      </tp>
      <tp>
        <v>142</v>
        <stp/>
        <stp>OPEN_INT</stp>
        <stp>.SPX251121P6810</stp>
        <tr r="M91" s="1"/>
        <tr r="M91" s="1"/>
      </tp>
      <tp>
        <v>335</v>
        <stp/>
        <stp>OPEN_INT</stp>
        <stp>.SPX251121C6805</stp>
        <tr r="L92" s="1"/>
        <tr r="L92" s="1"/>
      </tp>
      <tp>
        <v>24665</v>
        <stp/>
        <stp>OPEN_INT</stp>
        <stp>.SPX251121C6800</stp>
        <tr r="L93" s="1"/>
        <tr r="L93" s="1"/>
      </tp>
      <tp>
        <v>683</v>
        <stp/>
        <stp>OPEN_INT</stp>
        <stp>.SPX251121P6805</stp>
        <tr r="M92" s="1"/>
        <tr r="M92" s="1"/>
      </tp>
      <tp>
        <v>15418</v>
        <stp/>
        <stp>OPEN_INT</stp>
        <stp>.SPX251121P6800</stp>
        <tr r="M93" s="1"/>
        <tr r="M93" s="1"/>
      </tp>
      <tp>
        <v>233</v>
        <stp/>
        <stp>OPEN_INT</stp>
        <stp>.SPX251121C6835</stp>
        <tr r="L86" s="1"/>
        <tr r="L86" s="1"/>
      </tp>
      <tp>
        <v>621</v>
        <stp/>
        <stp>OPEN_INT</stp>
        <stp>.SPX251121C6830</stp>
        <tr r="L87" s="1"/>
        <tr r="L87" s="1"/>
      </tp>
      <tp>
        <v>77</v>
        <stp/>
        <stp>OPEN_INT</stp>
        <stp>.SPX251121P6835</stp>
        <tr r="M86" s="1"/>
        <tr r="M86" s="1"/>
      </tp>
      <tp>
        <v>573</v>
        <stp/>
        <stp>OPEN_INT</stp>
        <stp>.SPX251121P6830</stp>
        <tr r="M87" s="1"/>
        <tr r="M87" s="1"/>
      </tp>
      <tp>
        <v>3634</v>
        <stp/>
        <stp>OPEN_INT</stp>
        <stp>.SPX251121C6825</stp>
        <tr r="L88" s="1"/>
        <tr r="L88" s="1"/>
      </tp>
      <tp>
        <v>621</v>
        <stp/>
        <stp>OPEN_INT</stp>
        <stp>.SPX251121C6820</stp>
        <tr r="L89" s="1"/>
        <tr r="L89" s="1"/>
      </tp>
      <tp>
        <v>1818</v>
        <stp/>
        <stp>OPEN_INT</stp>
        <stp>.SPX251121P6825</stp>
        <tr r="M88" s="1"/>
        <tr r="M88" s="1"/>
      </tp>
      <tp>
        <v>192</v>
        <stp/>
        <stp>OPEN_INT</stp>
        <stp>.SPX251121P6820</stp>
        <tr r="M89" s="1"/>
        <tr r="M89" s="1"/>
      </tp>
      <tp t="s">
        <v>N/A</v>
        <stp/>
        <stp>VOLUME</stp>
        <stp>.NDXPP25275</stp>
        <tr r="F151" s="2"/>
        <tr r="G151" s="2"/>
      </tp>
      <tp t="s">
        <v>N/A</v>
        <stp/>
        <stp>VOLUME</stp>
        <stp>.NDXPP25250</stp>
        <tr r="F152" s="2"/>
        <tr r="G152" s="2"/>
      </tp>
      <tp t="s">
        <v>N/A</v>
        <stp/>
        <stp>VOLUME</stp>
        <stp>.NDXPP25225</stp>
        <tr r="G153" s="2"/>
        <tr r="F153" s="2"/>
      </tp>
      <tp t="s">
        <v>N/A</v>
        <stp/>
        <stp>VOLUME</stp>
        <stp>.NDXPP25200</stp>
        <tr r="F154" s="2"/>
        <tr r="G154" s="2"/>
      </tp>
      <tp t="s">
        <v>N/A</v>
        <stp/>
        <stp>VOLUME</stp>
        <stp>.NDXPC25250</stp>
        <tr r="F152" s="2"/>
        <tr r="G152" s="2"/>
      </tp>
      <tp t="s">
        <v>N/A</v>
        <stp/>
        <stp>VOLUME</stp>
        <stp>.NDXPC25275</stp>
        <tr r="F151" s="2"/>
        <tr r="G151" s="2"/>
      </tp>
      <tp t="s">
        <v>N/A</v>
        <stp/>
        <stp>VOLUME</stp>
        <stp>.NDXPC25200</stp>
        <tr r="F154" s="2"/>
        <tr r="G154" s="2"/>
      </tp>
      <tp t="s">
        <v>N/A</v>
        <stp/>
        <stp>VOLUME</stp>
        <stp>.NDXPC25225</stp>
        <tr r="G153" s="2"/>
        <tr r="F153" s="2"/>
      </tp>
      <tp t="s">
        <v>N/A</v>
        <stp/>
        <stp>VOLUME</stp>
        <stp>.NDXPP25175</stp>
        <tr r="G155" s="2"/>
        <tr r="F155" s="2"/>
      </tp>
      <tp t="s">
        <v>N/A</v>
        <stp/>
        <stp>VOLUME</stp>
        <stp>.NDXPP25150</stp>
        <tr r="G156" s="2"/>
        <tr r="F156" s="2"/>
      </tp>
      <tp t="s">
        <v>N/A</v>
        <stp/>
        <stp>VOLUME</stp>
        <stp>.NDXPP25125</stp>
        <tr r="G157" s="2"/>
        <tr r="F157" s="2"/>
      </tp>
      <tp t="s">
        <v>N/A</v>
        <stp/>
        <stp>VOLUME</stp>
        <stp>.NDXPP25100</stp>
        <tr r="F158" s="2"/>
        <tr r="G158" s="2"/>
      </tp>
      <tp t="s">
        <v>N/A</v>
        <stp/>
        <stp>VOLUME</stp>
        <stp>.NDXPC25150</stp>
        <tr r="G156" s="2"/>
        <tr r="F156" s="2"/>
      </tp>
      <tp t="s">
        <v>N/A</v>
        <stp/>
        <stp>VOLUME</stp>
        <stp>.NDXPC25175</stp>
        <tr r="G155" s="2"/>
        <tr r="F155" s="2"/>
      </tp>
      <tp t="s">
        <v>N/A</v>
        <stp/>
        <stp>VOLUME</stp>
        <stp>.NDXPC25100</stp>
        <tr r="F158" s="2"/>
        <tr r="G158" s="2"/>
      </tp>
      <tp t="s">
        <v>N/A</v>
        <stp/>
        <stp>VOLUME</stp>
        <stp>.NDXPC25125</stp>
        <tr r="G157" s="2"/>
        <tr r="F157" s="2"/>
      </tp>
      <tp t="s">
        <v>N/A</v>
        <stp/>
        <stp>VOLUME</stp>
        <stp>.NDXPP25075</stp>
        <tr r="G159" s="2"/>
        <tr r="F159" s="2"/>
      </tp>
      <tp t="s">
        <v>N/A</v>
        <stp/>
        <stp>VOLUME</stp>
        <stp>.NDXPP25050</stp>
        <tr r="G160" s="2"/>
        <tr r="F160" s="2"/>
      </tp>
      <tp t="s">
        <v>N/A</v>
        <stp/>
        <stp>VOLUME</stp>
        <stp>.NDXPP25025</stp>
        <tr r="G161" s="2"/>
        <tr r="F161" s="2"/>
      </tp>
      <tp t="s">
        <v>N/A</v>
        <stp/>
        <stp>VOLUME</stp>
        <stp>.NDXPP25000</stp>
        <tr r="G162" s="2"/>
        <tr r="F162" s="2"/>
      </tp>
      <tp t="s">
        <v>N/A</v>
        <stp/>
        <stp>VOLUME</stp>
        <stp>.NDXPC25050</stp>
        <tr r="G160" s="2"/>
        <tr r="F160" s="2"/>
      </tp>
      <tp t="s">
        <v>N/A</v>
        <stp/>
        <stp>VOLUME</stp>
        <stp>.NDXPC25075</stp>
        <tr r="G159" s="2"/>
        <tr r="F159" s="2"/>
      </tp>
      <tp t="s">
        <v>N/A</v>
        <stp/>
        <stp>VOLUME</stp>
        <stp>.NDXPC25000</stp>
        <tr r="G162" s="2"/>
        <tr r="F162" s="2"/>
      </tp>
      <tp t="s">
        <v>N/A</v>
        <stp/>
        <stp>VOLUME</stp>
        <stp>.NDXPC25025</stp>
        <tr r="G161" s="2"/>
        <tr r="F161" s="2"/>
      </tp>
      <tp t="s">
        <v>N/A</v>
        <stp/>
        <stp>VOLUME</stp>
        <stp>.NDXPP24775</stp>
        <tr r="F171" s="2"/>
        <tr r="G171" s="2"/>
      </tp>
      <tp t="s">
        <v>N/A</v>
        <stp/>
        <stp>VOLUME</stp>
        <stp>.NDXPP24750</stp>
        <tr r="G172" s="2"/>
        <tr r="F172" s="2"/>
      </tp>
      <tp t="s">
        <v>N/A</v>
        <stp/>
        <stp>VOLUME</stp>
        <stp>.NDXPP24725</stp>
        <tr r="G173" s="2"/>
        <tr r="F173" s="2"/>
      </tp>
      <tp t="s">
        <v>N/A</v>
        <stp/>
        <stp>VOLUME</stp>
        <stp>.NDXPP24700</stp>
        <tr r="F174" s="2"/>
        <tr r="G174" s="2"/>
      </tp>
      <tp t="s">
        <v>N/A</v>
        <stp/>
        <stp>VOLUME</stp>
        <stp>.NDXPC24750</stp>
        <tr r="G172" s="2"/>
        <tr r="F172" s="2"/>
      </tp>
      <tp t="s">
        <v>N/A</v>
        <stp/>
        <stp>VOLUME</stp>
        <stp>.NDXPC24775</stp>
        <tr r="F171" s="2"/>
        <tr r="G171" s="2"/>
      </tp>
      <tp t="s">
        <v>N/A</v>
        <stp/>
        <stp>VOLUME</stp>
        <stp>.NDXPC24700</stp>
        <tr r="F174" s="2"/>
        <tr r="G174" s="2"/>
      </tp>
      <tp t="s">
        <v>N/A</v>
        <stp/>
        <stp>VOLUME</stp>
        <stp>.NDXPC24725</stp>
        <tr r="G173" s="2"/>
        <tr r="F173" s="2"/>
      </tp>
      <tp t="s">
        <v>N/A</v>
        <stp/>
        <stp>VOLUME</stp>
        <stp>.NDXPP24675</stp>
        <tr r="F175" s="2"/>
        <tr r="G175" s="2"/>
      </tp>
      <tp t="s">
        <v>N/A</v>
        <stp/>
        <stp>VOLUME</stp>
        <stp>.NDXPP24650</stp>
        <tr r="G176" s="2"/>
        <tr r="F176" s="2"/>
      </tp>
      <tp t="s">
        <v>N/A</v>
        <stp/>
        <stp>VOLUME</stp>
        <stp>.NDXPP24625</stp>
        <tr r="F177" s="2"/>
        <tr r="G177" s="2"/>
      </tp>
      <tp t="s">
        <v>N/A</v>
        <stp/>
        <stp>VOLUME</stp>
        <stp>.NDXPP24600</stp>
        <tr r="F178" s="2"/>
        <tr r="G178" s="2"/>
      </tp>
      <tp t="s">
        <v>N/A</v>
        <stp/>
        <stp>VOLUME</stp>
        <stp>.NDXPP25600</stp>
        <tr r="G138" s="2"/>
        <tr r="F138" s="2"/>
      </tp>
      <tp t="s">
        <v>N/A</v>
        <stp/>
        <stp>VOLUME</stp>
        <stp>.NDXPC24650</stp>
        <tr r="G176" s="2"/>
        <tr r="F176" s="2"/>
      </tp>
      <tp t="s">
        <v>N/A</v>
        <stp/>
        <stp>VOLUME</stp>
        <stp>.NDXPC24675</stp>
        <tr r="F175" s="2"/>
        <tr r="G175" s="2"/>
      </tp>
      <tp t="s">
        <v>N/A</v>
        <stp/>
        <stp>VOLUME</stp>
        <stp>.NDXPC24600</stp>
        <tr r="F178" s="2"/>
        <tr r="G178" s="2"/>
      </tp>
      <tp t="s">
        <v>N/A</v>
        <stp/>
        <stp>VOLUME</stp>
        <stp>.NDXPC25600</stp>
        <tr r="G138" s="2"/>
        <tr r="F138" s="2"/>
      </tp>
      <tp t="s">
        <v>N/A</v>
        <stp/>
        <stp>VOLUME</stp>
        <stp>.NDXPC24625</stp>
        <tr r="F177" s="2"/>
        <tr r="G177" s="2"/>
      </tp>
      <tp t="s">
        <v>N/A</v>
        <stp/>
        <stp>VOLUME</stp>
        <stp>.NDXPP24575</stp>
        <tr r="F179" s="2"/>
        <tr r="G179" s="2"/>
      </tp>
      <tp t="s">
        <v>N/A</v>
        <stp/>
        <stp>VOLUME</stp>
        <stp>.NDXPP25575</stp>
        <tr r="G139" s="2"/>
        <tr r="F139" s="2"/>
      </tp>
      <tp t="s">
        <v>N/A</v>
        <stp/>
        <stp>VOLUME</stp>
        <stp>.NDXPP24550</stp>
        <tr r="G180" s="2"/>
        <tr r="F180" s="2"/>
      </tp>
      <tp t="s">
        <v>N/A</v>
        <stp/>
        <stp>VOLUME</stp>
        <stp>.NDXPP25550</stp>
        <tr r="F140" s="2"/>
        <tr r="G140" s="2"/>
      </tp>
      <tp t="s">
        <v>N/A</v>
        <stp/>
        <stp>VOLUME</stp>
        <stp>.NDXPP24525</stp>
        <tr r="G181" s="2"/>
        <tr r="F181" s="2"/>
      </tp>
      <tp t="s">
        <v>N/A</v>
        <stp/>
        <stp>VOLUME</stp>
        <stp>.NDXPP25525</stp>
        <tr r="F141" s="2"/>
        <tr r="G141" s="2"/>
      </tp>
      <tp t="s">
        <v>N/A</v>
        <stp/>
        <stp>VOLUME</stp>
        <stp>.NDXPP24500</stp>
        <tr r="F182" s="2"/>
        <tr r="G182" s="2"/>
      </tp>
      <tp t="s">
        <v>N/A</v>
        <stp/>
        <stp>VOLUME</stp>
        <stp>.NDXPP25500</stp>
        <tr r="G142" s="2"/>
        <tr r="F142" s="2"/>
      </tp>
      <tp t="s">
        <v>N/A</v>
        <stp/>
        <stp>VOLUME</stp>
        <stp>.NDXPC24550</stp>
        <tr r="G180" s="2"/>
        <tr r="F180" s="2"/>
      </tp>
      <tp t="s">
        <v>N/A</v>
        <stp/>
        <stp>VOLUME</stp>
        <stp>.NDXPC25550</stp>
        <tr r="F140" s="2"/>
        <tr r="G140" s="2"/>
      </tp>
      <tp t="s">
        <v>N/A</v>
        <stp/>
        <stp>VOLUME</stp>
        <stp>.NDXPC24575</stp>
        <tr r="F179" s="2"/>
        <tr r="G179" s="2"/>
      </tp>
      <tp t="s">
        <v>N/A</v>
        <stp/>
        <stp>VOLUME</stp>
        <stp>.NDXPC25575</stp>
        <tr r="G139" s="2"/>
        <tr r="F139" s="2"/>
      </tp>
      <tp t="s">
        <v>N/A</v>
        <stp/>
        <stp>VOLUME</stp>
        <stp>.NDXPC24500</stp>
        <tr r="F182" s="2"/>
        <tr r="G182" s="2"/>
      </tp>
      <tp t="s">
        <v>N/A</v>
        <stp/>
        <stp>VOLUME</stp>
        <stp>.NDXPC25500</stp>
        <tr r="G142" s="2"/>
        <tr r="F142" s="2"/>
      </tp>
      <tp t="s">
        <v>N/A</v>
        <stp/>
        <stp>VOLUME</stp>
        <stp>.NDXPC24525</stp>
        <tr r="G181" s="2"/>
        <tr r="F181" s="2"/>
      </tp>
      <tp t="s">
        <v>N/A</v>
        <stp/>
        <stp>VOLUME</stp>
        <stp>.NDXPC25525</stp>
        <tr r="F141" s="2"/>
        <tr r="G141" s="2"/>
      </tp>
      <tp t="s">
        <v>N/A</v>
        <stp/>
        <stp>VOLUME</stp>
        <stp>.NDXPP24475</stp>
        <tr r="F183" s="2"/>
        <tr r="G183" s="2"/>
      </tp>
      <tp t="s">
        <v>N/A</v>
        <stp/>
        <stp>VOLUME</stp>
        <stp>.NDXPP25475</stp>
        <tr r="G143" s="2"/>
        <tr r="F143" s="2"/>
      </tp>
      <tp t="s">
        <v>N/A</v>
        <stp/>
        <stp>VOLUME</stp>
        <stp>.NDXPP24450</stp>
        <tr r="G184" s="2"/>
        <tr r="F184" s="2"/>
      </tp>
      <tp t="s">
        <v>N/A</v>
        <stp/>
        <stp>VOLUME</stp>
        <stp>.NDXPP25450</stp>
        <tr r="G144" s="2"/>
        <tr r="F144" s="2"/>
      </tp>
      <tp t="s">
        <v>N/A</v>
        <stp/>
        <stp>VOLUME</stp>
        <stp>.NDXPP24425</stp>
        <tr r="G185" s="2"/>
        <tr r="F185" s="2"/>
      </tp>
      <tp t="s">
        <v>N/A</v>
        <stp/>
        <stp>VOLUME</stp>
        <stp>.NDXPP25425</stp>
        <tr r="G145" s="2"/>
        <tr r="F145" s="2"/>
      </tp>
      <tp t="s">
        <v>N/A</v>
        <stp/>
        <stp>VOLUME</stp>
        <stp>.NDXPP24400</stp>
        <tr r="F186" s="2"/>
        <tr r="G186" s="2"/>
      </tp>
      <tp t="s">
        <v>N/A</v>
        <stp/>
        <stp>VOLUME</stp>
        <stp>.NDXPP25400</stp>
        <tr r="F146" s="2"/>
        <tr r="G146" s="2"/>
      </tp>
      <tp t="s">
        <v>N/A</v>
        <stp/>
        <stp>VOLUME</stp>
        <stp>.NDXPC24450</stp>
        <tr r="G184" s="2"/>
        <tr r="F184" s="2"/>
      </tp>
      <tp t="s">
        <v>N/A</v>
        <stp/>
        <stp>VOLUME</stp>
        <stp>.NDXPC25450</stp>
        <tr r="G144" s="2"/>
        <tr r="F144" s="2"/>
      </tp>
      <tp t="s">
        <v>N/A</v>
        <stp/>
        <stp>VOLUME</stp>
        <stp>.NDXPC24475</stp>
        <tr r="F183" s="2"/>
        <tr r="G183" s="2"/>
      </tp>
      <tp t="s">
        <v>N/A</v>
        <stp/>
        <stp>VOLUME</stp>
        <stp>.NDXPC25475</stp>
        <tr r="G143" s="2"/>
        <tr r="F143" s="2"/>
      </tp>
      <tp t="s">
        <v>N/A</v>
        <stp/>
        <stp>VOLUME</stp>
        <stp>.NDXPC24400</stp>
        <tr r="F186" s="2"/>
        <tr r="G186" s="2"/>
      </tp>
      <tp t="s">
        <v>N/A</v>
        <stp/>
        <stp>VOLUME</stp>
        <stp>.NDXPC25400</stp>
        <tr r="F146" s="2"/>
        <tr r="G146" s="2"/>
      </tp>
      <tp t="s">
        <v>N/A</v>
        <stp/>
        <stp>VOLUME</stp>
        <stp>.NDXPC24425</stp>
        <tr r="G185" s="2"/>
        <tr r="F185" s="2"/>
      </tp>
      <tp t="s">
        <v>N/A</v>
        <stp/>
        <stp>VOLUME</stp>
        <stp>.NDXPC25425</stp>
        <tr r="G145" s="2"/>
        <tr r="F145" s="2"/>
      </tp>
      <tp t="s">
        <v>N/A</v>
        <stp/>
        <stp>VOLUME</stp>
        <stp>.SPY260403P686</stp>
        <tr r="Q8" s="2"/>
      </tp>
      <tp t="s">
        <v>N/A</v>
        <stp/>
        <stp>VOLUME</stp>
        <stp>.SPY260403C686</stp>
        <tr r="Q8" s="2"/>
      </tp>
      <tp t="s">
        <v>N/A</v>
        <stp/>
        <stp>VOLUME</stp>
        <stp>.SPY260403P687</stp>
        <tr r="Q7" s="2"/>
      </tp>
      <tp t="s">
        <v>N/A</v>
        <stp/>
        <stp>VOLUME</stp>
        <stp>.SPY260403C687</stp>
        <tr r="Q7" s="2"/>
      </tp>
      <tp t="s">
        <v>N/A</v>
        <stp/>
        <stp>VOLUME</stp>
        <stp>.SPY260403P684</stp>
        <tr r="Q10" s="2"/>
      </tp>
      <tp t="s">
        <v>N/A</v>
        <stp/>
        <stp>VOLUME</stp>
        <stp>.SPY260403C684</stp>
        <tr r="Q10" s="2"/>
      </tp>
      <tp t="s">
        <v>N/A</v>
        <stp/>
        <stp>VOLUME</stp>
        <stp>.SPY260403P685</stp>
        <tr r="Q9" s="2"/>
      </tp>
      <tp t="s">
        <v>N/A</v>
        <stp/>
        <stp>VOLUME</stp>
        <stp>.SPY260403C685</stp>
        <tr r="Q9" s="2"/>
      </tp>
      <tp t="s">
        <v>N/A</v>
        <stp/>
        <stp>VOLUME</stp>
        <stp>.SPY260403P682</stp>
        <tr r="Q12" s="2"/>
      </tp>
      <tp t="s">
        <v>N/A</v>
        <stp/>
        <stp>VOLUME</stp>
        <stp>.SPY260403C682</stp>
        <tr r="Q12" s="2"/>
      </tp>
      <tp t="s">
        <v>N/A</v>
        <stp/>
        <stp>VOLUME</stp>
        <stp>.SPY260403P683</stp>
        <tr r="Q11" s="2"/>
      </tp>
      <tp t="s">
        <v>N/A</v>
        <stp/>
        <stp>VOLUME</stp>
        <stp>.SPY260403C683</stp>
        <tr r="Q11" s="2"/>
      </tp>
      <tp t="s">
        <v>N/A</v>
        <stp/>
        <stp>VOLUME</stp>
        <stp>.SPY260403P680</stp>
        <tr r="Q14" s="2"/>
      </tp>
      <tp t="s">
        <v>N/A</v>
        <stp/>
        <stp>VOLUME</stp>
        <stp>.SPY260403C680</stp>
        <tr r="Q14" s="2"/>
      </tp>
      <tp t="s">
        <v>N/A</v>
        <stp/>
        <stp>VOLUME</stp>
        <stp>.SPY260403P681</stp>
        <tr r="Q13" s="2"/>
      </tp>
      <tp t="s">
        <v>N/A</v>
        <stp/>
        <stp>VOLUME</stp>
        <stp>.SPY260403C681</stp>
        <tr r="Q13" s="2"/>
      </tp>
      <tp t="s">
        <v>N/A</v>
        <stp/>
        <stp>VOLUME</stp>
        <stp>.SPY260403P688</stp>
        <tr r="Q6" s="2"/>
      </tp>
      <tp t="s">
        <v>N/A</v>
        <stp/>
        <stp>VOLUME</stp>
        <stp>.SPY260403C688</stp>
        <tr r="Q6" s="2"/>
      </tp>
      <tp t="s">
        <v>N/A</v>
        <stp/>
        <stp>VOLUME</stp>
        <stp>.SPY260403P689</stp>
        <tr r="Q5" s="2"/>
      </tp>
      <tp t="s">
        <v>N/A</v>
        <stp/>
        <stp>VOLUME</stp>
        <stp>.SPY260403C689</stp>
        <tr r="Q5" s="2"/>
      </tp>
      <tp t="s">
        <v>N/A</v>
        <stp/>
        <stp>VOLUME</stp>
        <stp>.SPY260403P656</stp>
        <tr r="Q38" s="2"/>
      </tp>
      <tp t="s">
        <v>N/A</v>
        <stp/>
        <stp>VOLUME</stp>
        <stp>.SPY260403C656</stp>
        <tr r="Q38" s="2"/>
      </tp>
      <tp t="s">
        <v>N/A</v>
        <stp/>
        <stp>VOLUME</stp>
        <stp>.SPY260403P657</stp>
        <tr r="Q37" s="2"/>
      </tp>
      <tp t="s">
        <v>N/A</v>
        <stp/>
        <stp>VOLUME</stp>
        <stp>.SPY260403C657</stp>
        <tr r="Q37" s="2"/>
      </tp>
      <tp t="s">
        <v>N/A</v>
        <stp/>
        <stp>VOLUME</stp>
        <stp>.SPY260403P655</stp>
        <tr r="Q39" s="2"/>
      </tp>
      <tp t="s">
        <v>N/A</v>
        <stp/>
        <stp>VOLUME</stp>
        <stp>.SPY260403C655</stp>
        <tr r="Q39" s="2"/>
      </tp>
      <tp t="s">
        <v>N/A</v>
        <stp/>
        <stp>VOLUME</stp>
        <stp>.SPY260403P658</stp>
        <tr r="Q36" s="2"/>
      </tp>
      <tp t="s">
        <v>N/A</v>
        <stp/>
        <stp>VOLUME</stp>
        <stp>.SPY260403C658</stp>
        <tr r="Q36" s="2"/>
      </tp>
      <tp t="s">
        <v>N/A</v>
        <stp/>
        <stp>VOLUME</stp>
        <stp>.SPY260403P659</stp>
        <tr r="Q35" s="2"/>
      </tp>
      <tp t="s">
        <v>N/A</v>
        <stp/>
        <stp>VOLUME</stp>
        <stp>.SPY260403C659</stp>
        <tr r="Q35" s="2"/>
      </tp>
      <tp t="s">
        <v>N/A</v>
        <stp/>
        <stp>VOLUME</stp>
        <stp>.SPY260403P676</stp>
        <tr r="Q18" s="2"/>
      </tp>
      <tp t="s">
        <v>N/A</v>
        <stp/>
        <stp>VOLUME</stp>
        <stp>.SPY260403C676</stp>
        <tr r="Q18" s="2"/>
      </tp>
      <tp t="s">
        <v>N/A</v>
        <stp/>
        <stp>VOLUME</stp>
        <stp>.SPY260403P677</stp>
        <tr r="Q17" s="2"/>
      </tp>
      <tp t="s">
        <v>N/A</v>
        <stp/>
        <stp>VOLUME</stp>
        <stp>.SPY260403C677</stp>
        <tr r="Q17" s="2"/>
      </tp>
      <tp t="s">
        <v>N/A</v>
        <stp/>
        <stp>VOLUME</stp>
        <stp>.SPY260403P674</stp>
        <tr r="Q20" s="2"/>
      </tp>
      <tp t="s">
        <v>N/A</v>
        <stp/>
        <stp>VOLUME</stp>
        <stp>.SPY260403C674</stp>
        <tr r="Q20" s="2"/>
      </tp>
      <tp t="s">
        <v>N/A</v>
        <stp/>
        <stp>VOLUME</stp>
        <stp>.SPY260403P675</stp>
        <tr r="Q19" s="2"/>
      </tp>
      <tp t="s">
        <v>N/A</v>
        <stp/>
        <stp>VOLUME</stp>
        <stp>.SPY260403C675</stp>
        <tr r="Q19" s="2"/>
      </tp>
      <tp t="s">
        <v>N/A</v>
        <stp/>
        <stp>VOLUME</stp>
        <stp>.SPY260403P672</stp>
        <tr r="Q22" s="2"/>
      </tp>
      <tp t="s">
        <v>N/A</v>
        <stp/>
        <stp>VOLUME</stp>
        <stp>.SPY260403C672</stp>
        <tr r="Q22" s="2"/>
      </tp>
      <tp t="s">
        <v>N/A</v>
        <stp/>
        <stp>VOLUME</stp>
        <stp>.SPY260403P673</stp>
        <tr r="Q21" s="2"/>
      </tp>
      <tp t="s">
        <v>N/A</v>
        <stp/>
        <stp>VOLUME</stp>
        <stp>.SPY260403C673</stp>
        <tr r="Q21" s="2"/>
      </tp>
      <tp t="s">
        <v>N/A</v>
        <stp/>
        <stp>VOLUME</stp>
        <stp>.SPY260403P670</stp>
        <tr r="Q24" s="2"/>
      </tp>
      <tp t="s">
        <v>N/A</v>
        <stp/>
        <stp>VOLUME</stp>
        <stp>.SPY260403C670</stp>
        <tr r="Q24" s="2"/>
      </tp>
      <tp t="s">
        <v>N/A</v>
        <stp/>
        <stp>VOLUME</stp>
        <stp>.SPY260403P671</stp>
        <tr r="Q23" s="2"/>
      </tp>
      <tp t="s">
        <v>N/A</v>
        <stp/>
        <stp>VOLUME</stp>
        <stp>.SPY260403C671</stp>
        <tr r="Q23" s="2"/>
      </tp>
      <tp t="s">
        <v>N/A</v>
        <stp/>
        <stp>VOLUME</stp>
        <stp>.SPY260403P678</stp>
        <tr r="Q16" s="2"/>
      </tp>
      <tp t="s">
        <v>N/A</v>
        <stp/>
        <stp>VOLUME</stp>
        <stp>.SPY260403C678</stp>
        <tr r="Q16" s="2"/>
      </tp>
      <tp t="s">
        <v>N/A</v>
        <stp/>
        <stp>VOLUME</stp>
        <stp>.SPY260403P679</stp>
        <tr r="Q15" s="2"/>
      </tp>
      <tp t="s">
        <v>N/A</v>
        <stp/>
        <stp>VOLUME</stp>
        <stp>.SPY260403C679</stp>
        <tr r="Q15" s="2"/>
      </tp>
      <tp t="s">
        <v>N/A</v>
        <stp/>
        <stp>VOLUME</stp>
        <stp>.SPY260403P666</stp>
        <tr r="Q28" s="2"/>
      </tp>
      <tp t="s">
        <v>N/A</v>
        <stp/>
        <stp>VOLUME</stp>
        <stp>.SPY260403C666</stp>
        <tr r="Q28" s="2"/>
      </tp>
      <tp t="s">
        <v>N/A</v>
        <stp/>
        <stp>VOLUME</stp>
        <stp>.SPY260403P667</stp>
        <tr r="Q27" s="2"/>
      </tp>
      <tp t="s">
        <v>N/A</v>
        <stp/>
        <stp>VOLUME</stp>
        <stp>.SPY260403C667</stp>
        <tr r="Q27" s="2"/>
      </tp>
      <tp t="s">
        <v>N/A</v>
        <stp/>
        <stp>VOLUME</stp>
        <stp>.SPY260403P664</stp>
        <tr r="Q30" s="2"/>
      </tp>
      <tp t="s">
        <v>N/A</v>
        <stp/>
        <stp>VOLUME</stp>
        <stp>.SPY260403C664</stp>
        <tr r="Q30" s="2"/>
      </tp>
      <tp t="s">
        <v>N/A</v>
        <stp/>
        <stp>VOLUME</stp>
        <stp>.SPY260403P665</stp>
        <tr r="Q29" s="2"/>
      </tp>
      <tp t="s">
        <v>N/A</v>
        <stp/>
        <stp>VOLUME</stp>
        <stp>.SPY260403C665</stp>
        <tr r="Q29" s="2"/>
      </tp>
      <tp t="s">
        <v>N/A</v>
        <stp/>
        <stp>VOLUME</stp>
        <stp>.SPY260403P662</stp>
        <tr r="Q32" s="2"/>
      </tp>
      <tp t="s">
        <v>N/A</v>
        <stp/>
        <stp>VOLUME</stp>
        <stp>.SPY260403C662</stp>
        <tr r="Q32" s="2"/>
      </tp>
      <tp t="s">
        <v>N/A</v>
        <stp/>
        <stp>VOLUME</stp>
        <stp>.SPY260403P663</stp>
        <tr r="Q31" s="2"/>
      </tp>
      <tp t="s">
        <v>N/A</v>
        <stp/>
        <stp>VOLUME</stp>
        <stp>.SPY260403C663</stp>
        <tr r="Q31" s="2"/>
      </tp>
      <tp t="s">
        <v>N/A</v>
        <stp/>
        <stp>VOLUME</stp>
        <stp>.SPY260403P660</stp>
        <tr r="Q34" s="2"/>
      </tp>
      <tp t="s">
        <v>N/A</v>
        <stp/>
        <stp>VOLUME</stp>
        <stp>.SPY260403C660</stp>
        <tr r="Q34" s="2"/>
      </tp>
      <tp t="s">
        <v>N/A</v>
        <stp/>
        <stp>VOLUME</stp>
        <stp>.SPY260403P661</stp>
        <tr r="Q33" s="2"/>
      </tp>
      <tp t="s">
        <v>N/A</v>
        <stp/>
        <stp>VOLUME</stp>
        <stp>.SPY260403C661</stp>
        <tr r="Q33" s="2"/>
      </tp>
      <tp t="s">
        <v>N/A</v>
        <stp/>
        <stp>VOLUME</stp>
        <stp>.SPY260403P668</stp>
        <tr r="Q26" s="2"/>
      </tp>
      <tp t="s">
        <v>N/A</v>
        <stp/>
        <stp>VOLUME</stp>
        <stp>.SPY260403C668</stp>
        <tr r="Q26" s="2"/>
      </tp>
      <tp t="s">
        <v>N/A</v>
        <stp/>
        <stp>VOLUME</stp>
        <stp>.SPY260403P669</stp>
        <tr r="Q25" s="2"/>
      </tp>
      <tp t="s">
        <v>N/A</v>
        <stp/>
        <stp>VOLUME</stp>
        <stp>.SPY260403C669</stp>
        <tr r="Q25" s="2"/>
      </tp>
      <tp t="s">
        <v>N/A</v>
        <stp/>
        <stp>VOLUME</stp>
        <stp>.SPY260501P684</stp>
        <tr r="R10" s="2"/>
      </tp>
      <tp t="s">
        <v>N/A</v>
        <stp/>
        <stp>VOLUME</stp>
        <stp>.SPY260501C684</stp>
        <tr r="R10" s="2"/>
      </tp>
      <tp t="s">
        <v>N/A</v>
        <stp/>
        <stp>VOLUME</stp>
        <stp>.SPY260501P685</stp>
        <tr r="R9" s="2"/>
      </tp>
      <tp t="s">
        <v>N/A</v>
        <stp/>
        <stp>VOLUME</stp>
        <stp>.SPY260501C685</stp>
        <tr r="R9" s="2"/>
      </tp>
      <tp t="s">
        <v>N/A</v>
        <stp/>
        <stp>VOLUME</stp>
        <stp>.SPY260501P686</stp>
        <tr r="R8" s="2"/>
      </tp>
      <tp t="s">
        <v>N/A</v>
        <stp/>
        <stp>VOLUME</stp>
        <stp>.SPY260501C686</stp>
        <tr r="R8" s="2"/>
      </tp>
      <tp t="s">
        <v>N/A</v>
        <stp/>
        <stp>VOLUME</stp>
        <stp>.SPY260501P687</stp>
        <tr r="R7" s="2"/>
      </tp>
      <tp t="s">
        <v>N/A</v>
        <stp/>
        <stp>VOLUME</stp>
        <stp>.SPY260501C687</stp>
        <tr r="R7" s="2"/>
      </tp>
      <tp t="s">
        <v>N/A</v>
        <stp/>
        <stp>VOLUME</stp>
        <stp>.SPY260501P680</stp>
        <tr r="R14" s="2"/>
      </tp>
      <tp t="s">
        <v>N/A</v>
        <stp/>
        <stp>VOLUME</stp>
        <stp>.SPY260501C680</stp>
        <tr r="R14" s="2"/>
      </tp>
      <tp t="s">
        <v>N/A</v>
        <stp/>
        <stp>VOLUME</stp>
        <stp>.SPY260501P681</stp>
        <tr r="R13" s="2"/>
      </tp>
      <tp t="s">
        <v>N/A</v>
        <stp/>
        <stp>VOLUME</stp>
        <stp>.SPY260501C681</stp>
        <tr r="R13" s="2"/>
      </tp>
      <tp t="s">
        <v>N/A</v>
        <stp/>
        <stp>VOLUME</stp>
        <stp>.SPY260501P682</stp>
        <tr r="R12" s="2"/>
      </tp>
      <tp t="s">
        <v>N/A</v>
        <stp/>
        <stp>VOLUME</stp>
        <stp>.SPY260501C682</stp>
        <tr r="R12" s="2"/>
      </tp>
      <tp t="s">
        <v>N/A</v>
        <stp/>
        <stp>VOLUME</stp>
        <stp>.SPY260501P683</stp>
        <tr r="R11" s="2"/>
      </tp>
      <tp t="s">
        <v>N/A</v>
        <stp/>
        <stp>VOLUME</stp>
        <stp>.SPY260501C683</stp>
        <tr r="R11" s="2"/>
      </tp>
      <tp t="s">
        <v>N/A</v>
        <stp/>
        <stp>VOLUME</stp>
        <stp>.SPY260501P688</stp>
        <tr r="R6" s="2"/>
      </tp>
      <tp t="s">
        <v>N/A</v>
        <stp/>
        <stp>VOLUME</stp>
        <stp>.SPY260501C688</stp>
        <tr r="R6" s="2"/>
      </tp>
      <tp t="s">
        <v>N/A</v>
        <stp/>
        <stp>VOLUME</stp>
        <stp>.SPY260501P689</stp>
        <tr r="R5" s="2"/>
      </tp>
      <tp t="s">
        <v>N/A</v>
        <stp/>
        <stp>VOLUME</stp>
        <stp>.SPY260501C689</stp>
        <tr r="R5" s="2"/>
      </tp>
      <tp t="s">
        <v>N/A</v>
        <stp/>
        <stp>VOLUME</stp>
        <stp>.SPY260529P688</stp>
        <tr r="S6" s="2"/>
      </tp>
      <tp t="s">
        <v>N/A</v>
        <stp/>
        <stp>VOLUME</stp>
        <stp>.SPY260529C688</stp>
        <tr r="S6" s="2"/>
      </tp>
      <tp t="s">
        <v>N/A</v>
        <stp/>
        <stp>VOLUME</stp>
        <stp>.SPY260529P689</stp>
        <tr r="S5" s="2"/>
      </tp>
      <tp t="s">
        <v>N/A</v>
        <stp/>
        <stp>VOLUME</stp>
        <stp>.SPY260529C689</stp>
        <tr r="S5" s="2"/>
      </tp>
      <tp t="s">
        <v>N/A</v>
        <stp/>
        <stp>VOLUME</stp>
        <stp>.SPY260529P684</stp>
        <tr r="S10" s="2"/>
      </tp>
      <tp t="s">
        <v>N/A</v>
        <stp/>
        <stp>VOLUME</stp>
        <stp>.SPY260529C684</stp>
        <tr r="S10" s="2"/>
      </tp>
      <tp t="s">
        <v>N/A</v>
        <stp/>
        <stp>VOLUME</stp>
        <stp>.SPY260529P685</stp>
        <tr r="S9" s="2"/>
      </tp>
      <tp t="s">
        <v>N/A</v>
        <stp/>
        <stp>VOLUME</stp>
        <stp>.SPY260529C685</stp>
        <tr r="S9" s="2"/>
      </tp>
      <tp t="s">
        <v>N/A</v>
        <stp/>
        <stp>VOLUME</stp>
        <stp>.SPY260529P686</stp>
        <tr r="S8" s="2"/>
      </tp>
      <tp t="s">
        <v>N/A</v>
        <stp/>
        <stp>VOLUME</stp>
        <stp>.SPY260529C686</stp>
        <tr r="S8" s="2"/>
      </tp>
      <tp t="s">
        <v>N/A</v>
        <stp/>
        <stp>VOLUME</stp>
        <stp>.SPY260529P687</stp>
        <tr r="S7" s="2"/>
      </tp>
      <tp t="s">
        <v>N/A</v>
        <stp/>
        <stp>VOLUME</stp>
        <stp>.SPY260529C687</stp>
        <tr r="S7" s="2"/>
      </tp>
      <tp t="s">
        <v>N/A</v>
        <stp/>
        <stp>VOLUME</stp>
        <stp>.SPY260529P680</stp>
        <tr r="S14" s="2"/>
      </tp>
      <tp t="s">
        <v>N/A</v>
        <stp/>
        <stp>VOLUME</stp>
        <stp>.SPY260529C680</stp>
        <tr r="S14" s="2"/>
      </tp>
      <tp t="s">
        <v>N/A</v>
        <stp/>
        <stp>VOLUME</stp>
        <stp>.SPY260529P681</stp>
        <tr r="S13" s="2"/>
      </tp>
      <tp t="s">
        <v>N/A</v>
        <stp/>
        <stp>VOLUME</stp>
        <stp>.SPY260529C681</stp>
        <tr r="S13" s="2"/>
      </tp>
      <tp t="s">
        <v>N/A</v>
        <stp/>
        <stp>VOLUME</stp>
        <stp>.SPY260529P682</stp>
        <tr r="S12" s="2"/>
      </tp>
      <tp t="s">
        <v>N/A</v>
        <stp/>
        <stp>VOLUME</stp>
        <stp>.SPY260529C682</stp>
        <tr r="S12" s="2"/>
      </tp>
      <tp t="s">
        <v>N/A</v>
        <stp/>
        <stp>VOLUME</stp>
        <stp>.SPY260529P683</stp>
        <tr r="S11" s="2"/>
      </tp>
      <tp t="s">
        <v>N/A</v>
        <stp/>
        <stp>VOLUME</stp>
        <stp>.SPY260529C683</stp>
        <tr r="S11" s="2"/>
      </tp>
      <tp t="s">
        <v>N/A</v>
        <stp/>
        <stp>VOLUME</stp>
        <stp>.SPY260501P655</stp>
        <tr r="R39" s="2"/>
      </tp>
      <tp t="s">
        <v>N/A</v>
        <stp/>
        <stp>VOLUME</stp>
        <stp>.SPY260501C655</stp>
        <tr r="R39" s="2"/>
      </tp>
      <tp t="s">
        <v>N/A</v>
        <stp/>
        <stp>VOLUME</stp>
        <stp>.SPY260501P656</stp>
        <tr r="R38" s="2"/>
      </tp>
      <tp t="s">
        <v>N/A</v>
        <stp/>
        <stp>VOLUME</stp>
        <stp>.SPY260501C656</stp>
        <tr r="R38" s="2"/>
      </tp>
      <tp t="s">
        <v>N/A</v>
        <stp/>
        <stp>VOLUME</stp>
        <stp>.SPY260501P657</stp>
        <tr r="R37" s="2"/>
      </tp>
      <tp t="s">
        <v>N/A</v>
        <stp/>
        <stp>VOLUME</stp>
        <stp>.SPY260501C657</stp>
        <tr r="R37" s="2"/>
      </tp>
      <tp t="s">
        <v>N/A</v>
        <stp/>
        <stp>VOLUME</stp>
        <stp>.SPY260529P678</stp>
        <tr r="S16" s="2"/>
      </tp>
      <tp t="s">
        <v>N/A</v>
        <stp/>
        <stp>VOLUME</stp>
        <stp>.SPY260529C678</stp>
        <tr r="S16" s="2"/>
      </tp>
      <tp t="s">
        <v>N/A</v>
        <stp/>
        <stp>VOLUME</stp>
        <stp>.SPY260529P679</stp>
        <tr r="S15" s="2"/>
      </tp>
      <tp t="s">
        <v>N/A</v>
        <stp/>
        <stp>VOLUME</stp>
        <stp>.SPY260529C679</stp>
        <tr r="S15" s="2"/>
      </tp>
      <tp t="s">
        <v>N/A</v>
        <stp/>
        <stp>VOLUME</stp>
        <stp>.SPY260529P674</stp>
        <tr r="S20" s="2"/>
      </tp>
      <tp t="s">
        <v>N/A</v>
        <stp/>
        <stp>VOLUME</stp>
        <stp>.SPY260529C674</stp>
        <tr r="S20" s="2"/>
      </tp>
      <tp t="s">
        <v>N/A</v>
        <stp/>
        <stp>VOLUME</stp>
        <stp>.SPY260529P675</stp>
        <tr r="S19" s="2"/>
      </tp>
      <tp t="s">
        <v>N/A</v>
        <stp/>
        <stp>VOLUME</stp>
        <stp>.SPY260529C675</stp>
        <tr r="S19" s="2"/>
      </tp>
      <tp t="s">
        <v>N/A</v>
        <stp/>
        <stp>VOLUME</stp>
        <stp>.SPY260529P676</stp>
        <tr r="S18" s="2"/>
      </tp>
      <tp t="s">
        <v>N/A</v>
        <stp/>
        <stp>VOLUME</stp>
        <stp>.SPY260529C676</stp>
        <tr r="S18" s="2"/>
      </tp>
      <tp t="s">
        <v>N/A</v>
        <stp/>
        <stp>VOLUME</stp>
        <stp>.SPY260529P677</stp>
        <tr r="S17" s="2"/>
      </tp>
      <tp t="s">
        <v>N/A</v>
        <stp/>
        <stp>VOLUME</stp>
        <stp>.SPY260529C677</stp>
        <tr r="S17" s="2"/>
      </tp>
      <tp t="s">
        <v>N/A</v>
        <stp/>
        <stp>VOLUME</stp>
        <stp>.SPY260501P658</stp>
        <tr r="R36" s="2"/>
      </tp>
      <tp t="s">
        <v>N/A</v>
        <stp/>
        <stp>VOLUME</stp>
        <stp>.SPY260529P670</stp>
        <tr r="S24" s="2"/>
      </tp>
      <tp t="s">
        <v>N/A</v>
        <stp/>
        <stp>VOLUME</stp>
        <stp>.SPY260501C658</stp>
        <tr r="R36" s="2"/>
      </tp>
      <tp t="s">
        <v>N/A</v>
        <stp/>
        <stp>VOLUME</stp>
        <stp>.SPY260529C670</stp>
        <tr r="S24" s="2"/>
      </tp>
      <tp t="s">
        <v>N/A</v>
        <stp/>
        <stp>VOLUME</stp>
        <stp>.SPY260501P659</stp>
        <tr r="R35" s="2"/>
      </tp>
      <tp t="s">
        <v>N/A</v>
        <stp/>
        <stp>VOLUME</stp>
        <stp>.SPY260529P671</stp>
        <tr r="S23" s="2"/>
      </tp>
      <tp t="s">
        <v>N/A</v>
        <stp/>
        <stp>VOLUME</stp>
        <stp>.SPY260501C659</stp>
        <tr r="R35" s="2"/>
      </tp>
      <tp t="s">
        <v>N/A</v>
        <stp/>
        <stp>VOLUME</stp>
        <stp>.SPY260529C671</stp>
        <tr r="S23" s="2"/>
      </tp>
      <tp t="s">
        <v>N/A</v>
        <stp/>
        <stp>VOLUME</stp>
        <stp>.SPY260529P672</stp>
        <tr r="S22" s="2"/>
      </tp>
      <tp t="s">
        <v>N/A</v>
        <stp/>
        <stp>VOLUME</stp>
        <stp>.SPY260529C672</stp>
        <tr r="S22" s="2"/>
      </tp>
      <tp t="s">
        <v>N/A</v>
        <stp/>
        <stp>VOLUME</stp>
        <stp>.SPY260529P673</stp>
        <tr r="S21" s="2"/>
      </tp>
      <tp t="s">
        <v>N/A</v>
        <stp/>
        <stp>VOLUME</stp>
        <stp>.SPY260529C673</stp>
        <tr r="S21" s="2"/>
      </tp>
      <tp t="s">
        <v>N/A</v>
        <stp/>
        <stp>VOLUME</stp>
        <stp>.SPY260529P668</stp>
        <tr r="S26" s="2"/>
      </tp>
      <tp t="s">
        <v>N/A</v>
        <stp/>
        <stp>VOLUME</stp>
        <stp>.SPY260529C668</stp>
        <tr r="S26" s="2"/>
      </tp>
      <tp t="s">
        <v>N/A</v>
        <stp/>
        <stp>VOLUME</stp>
        <stp>.SPY260529P669</stp>
        <tr r="S25" s="2"/>
      </tp>
      <tp t="s">
        <v>N/A</v>
        <stp/>
        <stp>VOLUME</stp>
        <stp>.SPY260529C669</stp>
        <tr r="S25" s="2"/>
      </tp>
      <tp t="s">
        <v>N/A</v>
        <stp/>
        <stp>VOLUME</stp>
        <stp>.SPY260529P664</stp>
        <tr r="S30" s="2"/>
      </tp>
      <tp t="s">
        <v>N/A</v>
        <stp/>
        <stp>VOLUME</stp>
        <stp>.SPY260529C664</stp>
        <tr r="S30" s="2"/>
      </tp>
      <tp t="s">
        <v>N/A</v>
        <stp/>
        <stp>VOLUME</stp>
        <stp>.SPY260529P665</stp>
        <tr r="S29" s="2"/>
      </tp>
      <tp t="s">
        <v>N/A</v>
        <stp/>
        <stp>VOLUME</stp>
        <stp>.SPY260529C665</stp>
        <tr r="S29" s="2"/>
      </tp>
      <tp t="s">
        <v>N/A</v>
        <stp/>
        <stp>VOLUME</stp>
        <stp>.SPY260529P666</stp>
        <tr r="S28" s="2"/>
      </tp>
      <tp t="s">
        <v>N/A</v>
        <stp/>
        <stp>VOLUME</stp>
        <stp>.SPY260529C666</stp>
        <tr r="S28" s="2"/>
      </tp>
      <tp t="s">
        <v>N/A</v>
        <stp/>
        <stp>VOLUME</stp>
        <stp>.SPY260529P667</stp>
        <tr r="S27" s="2"/>
      </tp>
      <tp t="s">
        <v>N/A</v>
        <stp/>
        <stp>VOLUME</stp>
        <stp>.SPY260529C667</stp>
        <tr r="S27" s="2"/>
      </tp>
      <tp t="s">
        <v>N/A</v>
        <stp/>
        <stp>VOLUME</stp>
        <stp>.SPY260529P660</stp>
        <tr r="S34" s="2"/>
      </tp>
      <tp t="s">
        <v>N/A</v>
        <stp/>
        <stp>VOLUME</stp>
        <stp>.SPY260529C660</stp>
        <tr r="S34" s="2"/>
      </tp>
      <tp t="s">
        <v>N/A</v>
        <stp/>
        <stp>VOLUME</stp>
        <stp>.SPY260529P661</stp>
        <tr r="S33" s="2"/>
      </tp>
      <tp t="s">
        <v>N/A</v>
        <stp/>
        <stp>VOLUME</stp>
        <stp>.SPY260529C661</stp>
        <tr r="S33" s="2"/>
      </tp>
      <tp t="s">
        <v>N/A</v>
        <stp/>
        <stp>VOLUME</stp>
        <stp>.SPY260529P662</stp>
        <tr r="S32" s="2"/>
      </tp>
      <tp t="s">
        <v>N/A</v>
        <stp/>
        <stp>VOLUME</stp>
        <stp>.SPY260529C662</stp>
        <tr r="S32" s="2"/>
      </tp>
      <tp t="s">
        <v>N/A</v>
        <stp/>
        <stp>VOLUME</stp>
        <stp>.SPY260529P663</stp>
        <tr r="S31" s="2"/>
      </tp>
      <tp t="s">
        <v>N/A</v>
        <stp/>
        <stp>VOLUME</stp>
        <stp>.SPY260529C663</stp>
        <tr r="S31" s="2"/>
      </tp>
      <tp t="s">
        <v>N/A</v>
        <stp/>
        <stp>VOLUME</stp>
        <stp>.SPY260501P674</stp>
        <tr r="R20" s="2"/>
      </tp>
      <tp t="s">
        <v>N/A</v>
        <stp/>
        <stp>VOLUME</stp>
        <stp>.SPY260501C674</stp>
        <tr r="R20" s="2"/>
      </tp>
      <tp t="s">
        <v>N/A</v>
        <stp/>
        <stp>VOLUME</stp>
        <stp>.SPY260501P675</stp>
        <tr r="R19" s="2"/>
      </tp>
      <tp t="s">
        <v>N/A</v>
        <stp/>
        <stp>VOLUME</stp>
        <stp>.SPY260501C675</stp>
        <tr r="R19" s="2"/>
      </tp>
      <tp t="s">
        <v>N/A</v>
        <stp/>
        <stp>VOLUME</stp>
        <stp>.SPY260501P676</stp>
        <tr r="R18" s="2"/>
      </tp>
      <tp t="s">
        <v>N/A</v>
        <stp/>
        <stp>VOLUME</stp>
        <stp>.SPY260501C676</stp>
        <tr r="R18" s="2"/>
      </tp>
      <tp t="s">
        <v>N/A</v>
        <stp/>
        <stp>VOLUME</stp>
        <stp>.SPY260501P677</stp>
        <tr r="R17" s="2"/>
      </tp>
      <tp t="s">
        <v>N/A</v>
        <stp/>
        <stp>VOLUME</stp>
        <stp>.SPY260501C677</stp>
        <tr r="R17" s="2"/>
      </tp>
      <tp t="s">
        <v>N/A</v>
        <stp/>
        <stp>VOLUME</stp>
        <stp>.SPY260501P670</stp>
        <tr r="R24" s="2"/>
      </tp>
      <tp t="s">
        <v>N/A</v>
        <stp/>
        <stp>VOLUME</stp>
        <stp>.SPY260529P658</stp>
        <tr r="S36" s="2"/>
      </tp>
      <tp t="s">
        <v>N/A</v>
        <stp/>
        <stp>VOLUME</stp>
        <stp>.SPY260501C670</stp>
        <tr r="R24" s="2"/>
      </tp>
      <tp t="s">
        <v>N/A</v>
        <stp/>
        <stp>VOLUME</stp>
        <stp>.SPY260529C658</stp>
        <tr r="S36" s="2"/>
      </tp>
      <tp t="s">
        <v>N/A</v>
        <stp/>
        <stp>VOLUME</stp>
        <stp>.SPY260501P671</stp>
        <tr r="R23" s="2"/>
      </tp>
      <tp t="s">
        <v>N/A</v>
        <stp/>
        <stp>VOLUME</stp>
        <stp>.SPY260529P659</stp>
        <tr r="S35" s="2"/>
      </tp>
      <tp t="s">
        <v>N/A</v>
        <stp/>
        <stp>VOLUME</stp>
        <stp>.SPY260501C671</stp>
        <tr r="R23" s="2"/>
      </tp>
      <tp t="s">
        <v>N/A</v>
        <stp/>
        <stp>VOLUME</stp>
        <stp>.SPY260529C659</stp>
        <tr r="S35" s="2"/>
      </tp>
      <tp t="s">
        <v>N/A</v>
        <stp/>
        <stp>VOLUME</stp>
        <stp>.SPY260501P672</stp>
        <tr r="R22" s="2"/>
      </tp>
      <tp t="s">
        <v>N/A</v>
        <stp/>
        <stp>VOLUME</stp>
        <stp>.SPY260501C672</stp>
        <tr r="R22" s="2"/>
      </tp>
      <tp t="s">
        <v>N/A</v>
        <stp/>
        <stp>VOLUME</stp>
        <stp>.SPY260501P673</stp>
        <tr r="R21" s="2"/>
      </tp>
      <tp t="s">
        <v>N/A</v>
        <stp/>
        <stp>VOLUME</stp>
        <stp>.SPY260501C673</stp>
        <tr r="R21" s="2"/>
      </tp>
      <tp t="s">
        <v>N/A</v>
        <stp/>
        <stp>VOLUME</stp>
        <stp>.SPY260529P655</stp>
        <tr r="S39" s="2"/>
      </tp>
      <tp t="s">
        <v>N/A</v>
        <stp/>
        <stp>VOLUME</stp>
        <stp>.SPY260529C655</stp>
        <tr r="S39" s="2"/>
      </tp>
      <tp t="s">
        <v>N/A</v>
        <stp/>
        <stp>VOLUME</stp>
        <stp>.SPY260529P656</stp>
        <tr r="S38" s="2"/>
      </tp>
      <tp t="s">
        <v>N/A</v>
        <stp/>
        <stp>VOLUME</stp>
        <stp>.SPY260529C656</stp>
        <tr r="S38" s="2"/>
      </tp>
      <tp t="s">
        <v>N/A</v>
        <stp/>
        <stp>VOLUME</stp>
        <stp>.SPY260529P657</stp>
        <tr r="S37" s="2"/>
      </tp>
      <tp t="s">
        <v>N/A</v>
        <stp/>
        <stp>VOLUME</stp>
        <stp>.SPY260529C657</stp>
        <tr r="S37" s="2"/>
      </tp>
      <tp t="s">
        <v>N/A</v>
        <stp/>
        <stp>VOLUME</stp>
        <stp>.SPY260501P678</stp>
        <tr r="R16" s="2"/>
      </tp>
      <tp t="s">
        <v>N/A</v>
        <stp/>
        <stp>VOLUME</stp>
        <stp>.SPY260501C678</stp>
        <tr r="R16" s="2"/>
      </tp>
      <tp t="s">
        <v>N/A</v>
        <stp/>
        <stp>VOLUME</stp>
        <stp>.SPY260501P679</stp>
        <tr r="R15" s="2"/>
      </tp>
      <tp t="s">
        <v>N/A</v>
        <stp/>
        <stp>VOLUME</stp>
        <stp>.SPY260501C679</stp>
        <tr r="R15" s="2"/>
      </tp>
      <tp t="s">
        <v>N/A</v>
        <stp/>
        <stp>VOLUME</stp>
        <stp>.SPY260501P664</stp>
        <tr r="R30" s="2"/>
      </tp>
      <tp t="s">
        <v>N/A</v>
        <stp/>
        <stp>VOLUME</stp>
        <stp>.SPY260501C664</stp>
        <tr r="R30" s="2"/>
      </tp>
      <tp t="s">
        <v>N/A</v>
        <stp/>
        <stp>VOLUME</stp>
        <stp>.SPY260501P665</stp>
        <tr r="R29" s="2"/>
      </tp>
      <tp t="s">
        <v>N/A</v>
        <stp/>
        <stp>VOLUME</stp>
        <stp>.SPY260501C665</stp>
        <tr r="R29" s="2"/>
      </tp>
      <tp t="s">
        <v>N/A</v>
        <stp/>
        <stp>VOLUME</stp>
        <stp>.SPY260501P666</stp>
        <tr r="R28" s="2"/>
      </tp>
      <tp t="s">
        <v>N/A</v>
        <stp/>
        <stp>VOLUME</stp>
        <stp>.SPY260501C666</stp>
        <tr r="R28" s="2"/>
      </tp>
      <tp t="s">
        <v>N/A</v>
        <stp/>
        <stp>VOLUME</stp>
        <stp>.SPY260501P667</stp>
        <tr r="R27" s="2"/>
      </tp>
      <tp t="s">
        <v>N/A</v>
        <stp/>
        <stp>VOLUME</stp>
        <stp>.SPY260501C667</stp>
        <tr r="R27" s="2"/>
      </tp>
      <tp t="s">
        <v>N/A</v>
        <stp/>
        <stp>VOLUME</stp>
        <stp>.SPY260501P660</stp>
        <tr r="R34" s="2"/>
      </tp>
      <tp t="s">
        <v>N/A</v>
        <stp/>
        <stp>VOLUME</stp>
        <stp>.SPY260501C660</stp>
        <tr r="R34" s="2"/>
      </tp>
      <tp t="s">
        <v>N/A</v>
        <stp/>
        <stp>VOLUME</stp>
        <stp>.SPY260501P661</stp>
        <tr r="R33" s="2"/>
      </tp>
      <tp t="s">
        <v>N/A</v>
        <stp/>
        <stp>VOLUME</stp>
        <stp>.SPY260501C661</stp>
        <tr r="R33" s="2"/>
      </tp>
      <tp t="s">
        <v>N/A</v>
        <stp/>
        <stp>VOLUME</stp>
        <stp>.SPY260501P662</stp>
        <tr r="R32" s="2"/>
      </tp>
      <tp t="s">
        <v>N/A</v>
        <stp/>
        <stp>VOLUME</stp>
        <stp>.SPY260501C662</stp>
        <tr r="R32" s="2"/>
      </tp>
      <tp t="s">
        <v>N/A</v>
        <stp/>
        <stp>VOLUME</stp>
        <stp>.SPY260501P663</stp>
        <tr r="R31" s="2"/>
      </tp>
      <tp t="s">
        <v>N/A</v>
        <stp/>
        <stp>VOLUME</stp>
        <stp>.SPY260501C663</stp>
        <tr r="R31" s="2"/>
      </tp>
      <tp t="s">
        <v>N/A</v>
        <stp/>
        <stp>VOLUME</stp>
        <stp>.SPY260501P668</stp>
        <tr r="R26" s="2"/>
      </tp>
      <tp t="s">
        <v>N/A</v>
        <stp/>
        <stp>VOLUME</stp>
        <stp>.SPY260501C668</stp>
        <tr r="R26" s="2"/>
      </tp>
      <tp t="s">
        <v>N/A</v>
        <stp/>
        <stp>VOLUME</stp>
        <stp>.SPY260501P669</stp>
        <tr r="R25" s="2"/>
      </tp>
      <tp t="s">
        <v>N/A</v>
        <stp/>
        <stp>VOLUME</stp>
        <stp>.SPY260501C669</stp>
        <tr r="R25" s="2"/>
      </tp>
      <tp t="s">
        <v>N/A</v>
        <stp/>
        <stp>VOLUME</stp>
        <stp>.SPY260626P683</stp>
        <tr r="T11" s="2"/>
      </tp>
      <tp t="s">
        <v>N/A</v>
        <stp/>
        <stp>VOLUME</stp>
        <stp>.SPY260626C683</stp>
        <tr r="T11" s="2"/>
      </tp>
      <tp t="s">
        <v>N/A</v>
        <stp/>
        <stp>VOLUME</stp>
        <stp>.SPY260626P682</stp>
        <tr r="T12" s="2"/>
      </tp>
      <tp t="s">
        <v>N/A</v>
        <stp/>
        <stp>VOLUME</stp>
        <stp>.SPY260626C682</stp>
        <tr r="T12" s="2"/>
      </tp>
      <tp t="s">
        <v>N/A</v>
        <stp/>
        <stp>VOLUME</stp>
        <stp>.SPY260626P681</stp>
        <tr r="T13" s="2"/>
      </tp>
      <tp t="s">
        <v>N/A</v>
        <stp/>
        <stp>VOLUME</stp>
        <stp>.SPY260626C681</stp>
        <tr r="T13" s="2"/>
      </tp>
      <tp t="s">
        <v>N/A</v>
        <stp/>
        <stp>VOLUME</stp>
        <stp>.SPY260626P680</stp>
        <tr r="T14" s="2"/>
      </tp>
      <tp t="s">
        <v>N/A</v>
        <stp/>
        <stp>VOLUME</stp>
        <stp>.SPY260626C680</stp>
        <tr r="T14" s="2"/>
      </tp>
      <tp t="s">
        <v>N/A</v>
        <stp/>
        <stp>VOLUME</stp>
        <stp>.SPY260626P687</stp>
        <tr r="T7" s="2"/>
      </tp>
      <tp t="s">
        <v>N/A</v>
        <stp/>
        <stp>VOLUME</stp>
        <stp>.SPY260626C687</stp>
        <tr r="T7" s="2"/>
      </tp>
      <tp t="s">
        <v>N/A</v>
        <stp/>
        <stp>VOLUME</stp>
        <stp>.SPY260626P686</stp>
        <tr r="T8" s="2"/>
      </tp>
      <tp t="s">
        <v>N/A</v>
        <stp/>
        <stp>VOLUME</stp>
        <stp>.SPY260626C686</stp>
        <tr r="T8" s="2"/>
      </tp>
      <tp t="s">
        <v>N/A</v>
        <stp/>
        <stp>VOLUME</stp>
        <stp>.SPY260626P685</stp>
        <tr r="T9" s="2"/>
      </tp>
      <tp t="s">
        <v>N/A</v>
        <stp/>
        <stp>VOLUME</stp>
        <stp>.SPY260626C685</stp>
        <tr r="T9" s="2"/>
      </tp>
      <tp t="s">
        <v>N/A</v>
        <stp/>
        <stp>VOLUME</stp>
        <stp>.SPY260626P684</stp>
        <tr r="T10" s="2"/>
      </tp>
      <tp t="s">
        <v>N/A</v>
        <stp/>
        <stp>VOLUME</stp>
        <stp>.SPY260626C684</stp>
        <tr r="T10" s="2"/>
      </tp>
      <tp t="s">
        <v>N/A</v>
        <stp/>
        <stp>VOLUME</stp>
        <stp>.SPY260626P689</stp>
        <tr r="T5" s="2"/>
      </tp>
      <tp t="s">
        <v>N/A</v>
        <stp/>
        <stp>VOLUME</stp>
        <stp>.SPY260626C689</stp>
        <tr r="T5" s="2"/>
      </tp>
      <tp t="s">
        <v>N/A</v>
        <stp/>
        <stp>VOLUME</stp>
        <stp>.SPY260626P688</stp>
        <tr r="T6" s="2"/>
      </tp>
      <tp t="s">
        <v>N/A</v>
        <stp/>
        <stp>VOLUME</stp>
        <stp>.SPY260626C688</stp>
        <tr r="T6" s="2"/>
      </tp>
      <tp t="s">
        <v>N/A</v>
        <stp/>
        <stp>VOLUME</stp>
        <stp>.SPY260626P673</stp>
        <tr r="T21" s="2"/>
      </tp>
      <tp t="s">
        <v>N/A</v>
        <stp/>
        <stp>VOLUME</stp>
        <stp>.SPY260626C673</stp>
        <tr r="T21" s="2"/>
      </tp>
      <tp t="s">
        <v>N/A</v>
        <stp/>
        <stp>VOLUME</stp>
        <stp>.SPY260626P672</stp>
        <tr r="T22" s="2"/>
      </tp>
      <tp t="s">
        <v>N/A</v>
        <stp/>
        <stp>VOLUME</stp>
        <stp>.SPY260626C672</stp>
        <tr r="T22" s="2"/>
      </tp>
      <tp t="s">
        <v>N/A</v>
        <stp/>
        <stp>VOLUME</stp>
        <stp>.SPY260626P671</stp>
        <tr r="T23" s="2"/>
      </tp>
      <tp t="s">
        <v>N/A</v>
        <stp/>
        <stp>VOLUME</stp>
        <stp>.SPY260626C671</stp>
        <tr r="T23" s="2"/>
      </tp>
      <tp t="s">
        <v>N/A</v>
        <stp/>
        <stp>VOLUME</stp>
        <stp>.SPY260626P670</stp>
        <tr r="T24" s="2"/>
      </tp>
      <tp t="s">
        <v>N/A</v>
        <stp/>
        <stp>VOLUME</stp>
        <stp>.SPY260626C670</stp>
        <tr r="T24" s="2"/>
      </tp>
      <tp t="s">
        <v>N/A</v>
        <stp/>
        <stp>VOLUME</stp>
        <stp>.SPY260626P677</stp>
        <tr r="T17" s="2"/>
      </tp>
      <tp t="s">
        <v>N/A</v>
        <stp/>
        <stp>VOLUME</stp>
        <stp>.SPY260626C677</stp>
        <tr r="T17" s="2"/>
      </tp>
      <tp t="s">
        <v>N/A</v>
        <stp/>
        <stp>VOLUME</stp>
        <stp>.SPY260626P676</stp>
        <tr r="T18" s="2"/>
      </tp>
      <tp t="s">
        <v>N/A</v>
        <stp/>
        <stp>VOLUME</stp>
        <stp>.SPY260626C676</stp>
        <tr r="T18" s="2"/>
      </tp>
      <tp t="s">
        <v>N/A</v>
        <stp/>
        <stp>VOLUME</stp>
        <stp>.SPY260626P675</stp>
        <tr r="T19" s="2"/>
      </tp>
      <tp t="s">
        <v>N/A</v>
        <stp/>
        <stp>VOLUME</stp>
        <stp>.SPY260626C675</stp>
        <tr r="T19" s="2"/>
      </tp>
      <tp t="s">
        <v>N/A</v>
        <stp/>
        <stp>VOLUME</stp>
        <stp>.SPY260626P674</stp>
        <tr r="T20" s="2"/>
      </tp>
      <tp t="s">
        <v>N/A</v>
        <stp/>
        <stp>VOLUME</stp>
        <stp>.SPY260626C674</stp>
        <tr r="T20" s="2"/>
      </tp>
      <tp t="s">
        <v>N/A</v>
        <stp/>
        <stp>VOLUME</stp>
        <stp>.SPY260626P679</stp>
        <tr r="T15" s="2"/>
      </tp>
      <tp t="s">
        <v>N/A</v>
        <stp/>
        <stp>VOLUME</stp>
        <stp>.SPY260626C679</stp>
        <tr r="T15" s="2"/>
      </tp>
      <tp t="s">
        <v>N/A</v>
        <stp/>
        <stp>VOLUME</stp>
        <stp>.SPY260626P678</stp>
        <tr r="T16" s="2"/>
      </tp>
      <tp t="s">
        <v>N/A</v>
        <stp/>
        <stp>VOLUME</stp>
        <stp>.SPY260626C678</stp>
        <tr r="T16" s="2"/>
      </tp>
      <tp t="s">
        <v>N/A</v>
        <stp/>
        <stp>VOLUME</stp>
        <stp>.SPY260626P663</stp>
        <tr r="T31" s="2"/>
      </tp>
      <tp t="s">
        <v>N/A</v>
        <stp/>
        <stp>VOLUME</stp>
        <stp>.SPY260626C663</stp>
        <tr r="T31" s="2"/>
      </tp>
      <tp t="s">
        <v>N/A</v>
        <stp/>
        <stp>VOLUME</stp>
        <stp>.SPY260626P662</stp>
        <tr r="T32" s="2"/>
      </tp>
      <tp t="s">
        <v>N/A</v>
        <stp/>
        <stp>VOLUME</stp>
        <stp>.SPY260626C662</stp>
        <tr r="T32" s="2"/>
      </tp>
      <tp t="s">
        <v>N/A</v>
        <stp/>
        <stp>VOLUME</stp>
        <stp>.SPY260626P661</stp>
        <tr r="T33" s="2"/>
      </tp>
      <tp t="s">
        <v>N/A</v>
        <stp/>
        <stp>VOLUME</stp>
        <stp>.SPY260626C661</stp>
        <tr r="T33" s="2"/>
      </tp>
      <tp t="s">
        <v>N/A</v>
        <stp/>
        <stp>VOLUME</stp>
        <stp>.SPY260626P660</stp>
        <tr r="T34" s="2"/>
      </tp>
      <tp t="s">
        <v>N/A</v>
        <stp/>
        <stp>VOLUME</stp>
        <stp>.SPY260626C660</stp>
        <tr r="T34" s="2"/>
      </tp>
      <tp t="s">
        <v>N/A</v>
        <stp/>
        <stp>VOLUME</stp>
        <stp>.SPY260626P667</stp>
        <tr r="T27" s="2"/>
      </tp>
      <tp t="s">
        <v>N/A</v>
        <stp/>
        <stp>VOLUME</stp>
        <stp>.SPY260626C667</stp>
        <tr r="T27" s="2"/>
      </tp>
      <tp t="s">
        <v>N/A</v>
        <stp/>
        <stp>VOLUME</stp>
        <stp>.SPY260626P666</stp>
        <tr r="T28" s="2"/>
      </tp>
      <tp t="s">
        <v>N/A</v>
        <stp/>
        <stp>VOLUME</stp>
        <stp>.SPY260626C666</stp>
        <tr r="T28" s="2"/>
      </tp>
      <tp t="s">
        <v>N/A</v>
        <stp/>
        <stp>VOLUME</stp>
        <stp>.SPY260626P665</stp>
        <tr r="T29" s="2"/>
      </tp>
      <tp t="s">
        <v>N/A</v>
        <stp/>
        <stp>VOLUME</stp>
        <stp>.SPY260626C665</stp>
        <tr r="T29" s="2"/>
      </tp>
      <tp t="s">
        <v>N/A</v>
        <stp/>
        <stp>VOLUME</stp>
        <stp>.SPY260626P664</stp>
        <tr r="T30" s="2"/>
      </tp>
      <tp t="s">
        <v>N/A</v>
        <stp/>
        <stp>VOLUME</stp>
        <stp>.SPY260626C664</stp>
        <tr r="T30" s="2"/>
      </tp>
      <tp t="s">
        <v>N/A</v>
        <stp/>
        <stp>VOLUME</stp>
        <stp>.SPY260626P669</stp>
        <tr r="T25" s="2"/>
      </tp>
      <tp t="s">
        <v>N/A</v>
        <stp/>
        <stp>VOLUME</stp>
        <stp>.SPY260626C669</stp>
        <tr r="T25" s="2"/>
      </tp>
      <tp t="s">
        <v>N/A</v>
        <stp/>
        <stp>VOLUME</stp>
        <stp>.SPY260626P668</stp>
        <tr r="T26" s="2"/>
      </tp>
      <tp t="s">
        <v>N/A</v>
        <stp/>
        <stp>VOLUME</stp>
        <stp>.SPY260626C668</stp>
        <tr r="T26" s="2"/>
      </tp>
      <tp t="s">
        <v>N/A</v>
        <stp/>
        <stp>VOLUME</stp>
        <stp>.SPY260626P657</stp>
        <tr r="T37" s="2"/>
      </tp>
      <tp t="s">
        <v>N/A</v>
        <stp/>
        <stp>VOLUME</stp>
        <stp>.SPY260626C657</stp>
        <tr r="T37" s="2"/>
      </tp>
      <tp t="s">
        <v>N/A</v>
        <stp/>
        <stp>VOLUME</stp>
        <stp>.SPY260626P656</stp>
        <tr r="T38" s="2"/>
      </tp>
      <tp t="s">
        <v>N/A</v>
        <stp/>
        <stp>VOLUME</stp>
        <stp>.SPY260626C656</stp>
        <tr r="T38" s="2"/>
      </tp>
      <tp t="s">
        <v>N/A</v>
        <stp/>
        <stp>VOLUME</stp>
        <stp>.SPY260626P655</stp>
        <tr r="T39" s="2"/>
      </tp>
      <tp t="s">
        <v>N/A</v>
        <stp/>
        <stp>VOLUME</stp>
        <stp>.SPY260626C655</stp>
        <tr r="T39" s="2"/>
      </tp>
      <tp t="s">
        <v>N/A</v>
        <stp/>
        <stp>VOLUME</stp>
        <stp>.SPY260626P659</stp>
        <tr r="T35" s="2"/>
      </tp>
      <tp t="s">
        <v>N/A</v>
        <stp/>
        <stp>VOLUME</stp>
        <stp>.SPY260626C659</stp>
        <tr r="T35" s="2"/>
      </tp>
      <tp t="s">
        <v>N/A</v>
        <stp/>
        <stp>VOLUME</stp>
        <stp>.SPY260626P658</stp>
        <tr r="T36" s="2"/>
      </tp>
      <tp t="s">
        <v>N/A</v>
        <stp/>
        <stp>VOLUME</stp>
        <stp>.SPY260626C658</stp>
        <tr r="T36" s="2"/>
      </tp>
      <tp t="s">
        <v>N/A</v>
        <stp/>
        <stp>VOLUME</stp>
        <stp>.SPY260731P684</stp>
        <tr r="U10" s="2"/>
      </tp>
      <tp t="s">
        <v>N/A</v>
        <stp/>
        <stp>VOLUME</stp>
        <stp>.SPY260731C684</stp>
        <tr r="U10" s="2"/>
      </tp>
      <tp t="s">
        <v>N/A</v>
        <stp/>
        <stp>VOLUME</stp>
        <stp>.SPY260731P685</stp>
        <tr r="U9" s="2"/>
      </tp>
      <tp t="s">
        <v>N/A</v>
        <stp/>
        <stp>VOLUME</stp>
        <stp>.SPY260731C685</stp>
        <tr r="U9" s="2"/>
      </tp>
      <tp t="s">
        <v>N/A</v>
        <stp/>
        <stp>VOLUME</stp>
        <stp>.SPY260731P686</stp>
        <tr r="U8" s="2"/>
      </tp>
      <tp t="s">
        <v>N/A</v>
        <stp/>
        <stp>VOLUME</stp>
        <stp>.SPY260731C686</stp>
        <tr r="U8" s="2"/>
      </tp>
      <tp t="s">
        <v>N/A</v>
        <stp/>
        <stp>VOLUME</stp>
        <stp>.SPY260731P687</stp>
        <tr r="U7" s="2"/>
      </tp>
      <tp t="s">
        <v>N/A</v>
        <stp/>
        <stp>VOLUME</stp>
        <stp>.SPY260731C687</stp>
        <tr r="U7" s="2"/>
      </tp>
      <tp t="s">
        <v>N/A</v>
        <stp/>
        <stp>VOLUME</stp>
        <stp>.SPY260731P680</stp>
        <tr r="U14" s="2"/>
      </tp>
      <tp t="s">
        <v>N/A</v>
        <stp/>
        <stp>VOLUME</stp>
        <stp>.SPY260731C680</stp>
        <tr r="U14" s="2"/>
      </tp>
      <tp t="s">
        <v>N/A</v>
        <stp/>
        <stp>VOLUME</stp>
        <stp>.SPY260731P681</stp>
        <tr r="U13" s="2"/>
      </tp>
      <tp t="s">
        <v>N/A</v>
        <stp/>
        <stp>VOLUME</stp>
        <stp>.SPY260731C681</stp>
        <tr r="U13" s="2"/>
      </tp>
      <tp t="s">
        <v>N/A</v>
        <stp/>
        <stp>VOLUME</stp>
        <stp>.SPY260731P682</stp>
        <tr r="U12" s="2"/>
      </tp>
      <tp t="s">
        <v>N/A</v>
        <stp/>
        <stp>VOLUME</stp>
        <stp>.SPY260731C682</stp>
        <tr r="U12" s="2"/>
      </tp>
      <tp t="s">
        <v>N/A</v>
        <stp/>
        <stp>VOLUME</stp>
        <stp>.SPY260731P683</stp>
        <tr r="U11" s="2"/>
      </tp>
      <tp t="s">
        <v>N/A</v>
        <stp/>
        <stp>VOLUME</stp>
        <stp>.SPY260731C683</stp>
        <tr r="U11" s="2"/>
      </tp>
      <tp t="s">
        <v>N/A</v>
        <stp/>
        <stp>VOLUME</stp>
        <stp>.SPY260731P688</stp>
        <tr r="U6" s="2"/>
      </tp>
      <tp t="s">
        <v>N/A</v>
        <stp/>
        <stp>VOLUME</stp>
        <stp>.SPY260731C688</stp>
        <tr r="U6" s="2"/>
      </tp>
      <tp t="s">
        <v>N/A</v>
        <stp/>
        <stp>VOLUME</stp>
        <stp>.SPY260731P689</stp>
        <tr r="U5" s="2"/>
      </tp>
      <tp t="s">
        <v>N/A</v>
        <stp/>
        <stp>VOLUME</stp>
        <stp>.SPY260731C689</stp>
        <tr r="U5" s="2"/>
      </tp>
      <tp t="s">
        <v>N/A</v>
        <stp/>
        <stp>VOLUME</stp>
        <stp>.SPY260731P664</stp>
        <tr r="U30" s="2"/>
      </tp>
      <tp t="s">
        <v>N/A</v>
        <stp/>
        <stp>VOLUME</stp>
        <stp>.SPY260731C664</stp>
        <tr r="U30" s="2"/>
      </tp>
      <tp t="s">
        <v>N/A</v>
        <stp/>
        <stp>VOLUME</stp>
        <stp>.SPY260731P665</stp>
        <tr r="U29" s="2"/>
      </tp>
      <tp t="s">
        <v>N/A</v>
        <stp/>
        <stp>VOLUME</stp>
        <stp>.SPY260731C665</stp>
        <tr r="U29" s="2"/>
      </tp>
      <tp t="s">
        <v>N/A</v>
        <stp/>
        <stp>VOLUME</stp>
        <stp>.SPY260731P666</stp>
        <tr r="U28" s="2"/>
      </tp>
      <tp t="s">
        <v>N/A</v>
        <stp/>
        <stp>VOLUME</stp>
        <stp>.SPY260731C666</stp>
        <tr r="U28" s="2"/>
      </tp>
      <tp t="s">
        <v>N/A</v>
        <stp/>
        <stp>VOLUME</stp>
        <stp>.SPY260731P667</stp>
        <tr r="U27" s="2"/>
      </tp>
      <tp t="s">
        <v>N/A</v>
        <stp/>
        <stp>VOLUME</stp>
        <stp>.SPY260731C667</stp>
        <tr r="U27" s="2"/>
      </tp>
      <tp t="s">
        <v>N/A</v>
        <stp/>
        <stp>VOLUME</stp>
        <stp>.SPY260731P660</stp>
        <tr r="U34" s="2"/>
      </tp>
      <tp t="s">
        <v>N/A</v>
        <stp/>
        <stp>VOLUME</stp>
        <stp>.SPY260731C660</stp>
        <tr r="U34" s="2"/>
      </tp>
      <tp t="s">
        <v>N/A</v>
        <stp/>
        <stp>VOLUME</stp>
        <stp>.SPY260731P661</stp>
        <tr r="U33" s="2"/>
      </tp>
      <tp t="s">
        <v>N/A</v>
        <stp/>
        <stp>VOLUME</stp>
        <stp>.SPY260731C661</stp>
        <tr r="U33" s="2"/>
      </tp>
      <tp t="s">
        <v>N/A</v>
        <stp/>
        <stp>VOLUME</stp>
        <stp>.SPY260731P662</stp>
        <tr r="U32" s="2"/>
      </tp>
      <tp t="s">
        <v>N/A</v>
        <stp/>
        <stp>VOLUME</stp>
        <stp>.SPY260731C662</stp>
        <tr r="U32" s="2"/>
      </tp>
      <tp t="s">
        <v>N/A</v>
        <stp/>
        <stp>VOLUME</stp>
        <stp>.SPY260731P663</stp>
        <tr r="U31" s="2"/>
      </tp>
      <tp t="s">
        <v>N/A</v>
        <stp/>
        <stp>VOLUME</stp>
        <stp>.SPY260731C663</stp>
        <tr r="U31" s="2"/>
      </tp>
      <tp t="s">
        <v>N/A</v>
        <stp/>
        <stp>VOLUME</stp>
        <stp>.SPY260731P668</stp>
        <tr r="U26" s="2"/>
      </tp>
      <tp t="s">
        <v>N/A</v>
        <stp/>
        <stp>VOLUME</stp>
        <stp>.SPY260731C668</stp>
        <tr r="U26" s="2"/>
      </tp>
      <tp t="s">
        <v>N/A</v>
        <stp/>
        <stp>VOLUME</stp>
        <stp>.SPY260731P669</stp>
        <tr r="U25" s="2"/>
      </tp>
      <tp t="s">
        <v>N/A</v>
        <stp/>
        <stp>VOLUME</stp>
        <stp>.SPY260731C669</stp>
        <tr r="U25" s="2"/>
      </tp>
      <tp t="s">
        <v>N/A</v>
        <stp/>
        <stp>VOLUME</stp>
        <stp>.SPY260731P674</stp>
        <tr r="U20" s="2"/>
      </tp>
      <tp t="s">
        <v>N/A</v>
        <stp/>
        <stp>VOLUME</stp>
        <stp>.SPY260731C674</stp>
        <tr r="U20" s="2"/>
      </tp>
      <tp t="s">
        <v>N/A</v>
        <stp/>
        <stp>VOLUME</stp>
        <stp>.SPY260731P675</stp>
        <tr r="U19" s="2"/>
      </tp>
      <tp t="s">
        <v>N/A</v>
        <stp/>
        <stp>VOLUME</stp>
        <stp>.SPY260731C675</stp>
        <tr r="U19" s="2"/>
      </tp>
      <tp t="s">
        <v>N/A</v>
        <stp/>
        <stp>VOLUME</stp>
        <stp>.SPY260731P676</stp>
        <tr r="U18" s="2"/>
      </tp>
      <tp t="s">
        <v>N/A</v>
        <stp/>
        <stp>VOLUME</stp>
        <stp>.SPY260731C676</stp>
        <tr r="U18" s="2"/>
      </tp>
      <tp t="s">
        <v>N/A</v>
        <stp/>
        <stp>VOLUME</stp>
        <stp>.SPY260731P677</stp>
        <tr r="U17" s="2"/>
      </tp>
      <tp t="s">
        <v>N/A</v>
        <stp/>
        <stp>VOLUME</stp>
        <stp>.SPY260731C677</stp>
        <tr r="U17" s="2"/>
      </tp>
      <tp t="s">
        <v>N/A</v>
        <stp/>
        <stp>VOLUME</stp>
        <stp>.SPY260731P670</stp>
        <tr r="U24" s="2"/>
      </tp>
      <tp t="s">
        <v>N/A</v>
        <stp/>
        <stp>VOLUME</stp>
        <stp>.SPY260731C670</stp>
        <tr r="U24" s="2"/>
      </tp>
      <tp t="s">
        <v>N/A</v>
        <stp/>
        <stp>VOLUME</stp>
        <stp>.SPY260731P671</stp>
        <tr r="U23" s="2"/>
      </tp>
      <tp t="s">
        <v>N/A</v>
        <stp/>
        <stp>VOLUME</stp>
        <stp>.SPY260731C671</stp>
        <tr r="U23" s="2"/>
      </tp>
      <tp t="s">
        <v>N/A</v>
        <stp/>
        <stp>VOLUME</stp>
        <stp>.SPY260731P672</stp>
        <tr r="U22" s="2"/>
      </tp>
      <tp t="s">
        <v>N/A</v>
        <stp/>
        <stp>VOLUME</stp>
        <stp>.SPY260731C672</stp>
        <tr r="U22" s="2"/>
      </tp>
      <tp t="s">
        <v>N/A</v>
        <stp/>
        <stp>VOLUME</stp>
        <stp>.SPY260731P673</stp>
        <tr r="U21" s="2"/>
      </tp>
      <tp t="s">
        <v>N/A</v>
        <stp/>
        <stp>VOLUME</stp>
        <stp>.SPY260731C673</stp>
        <tr r="U21" s="2"/>
      </tp>
      <tp t="s">
        <v>N/A</v>
        <stp/>
        <stp>VOLUME</stp>
        <stp>.SPY260731P678</stp>
        <tr r="U16" s="2"/>
      </tp>
      <tp t="s">
        <v>N/A</v>
        <stp/>
        <stp>VOLUME</stp>
        <stp>.SPY260731C678</stp>
        <tr r="U16" s="2"/>
      </tp>
      <tp t="s">
        <v>N/A</v>
        <stp/>
        <stp>VOLUME</stp>
        <stp>.SPY260731P679</stp>
        <tr r="U15" s="2"/>
      </tp>
      <tp t="s">
        <v>N/A</v>
        <stp/>
        <stp>VOLUME</stp>
        <stp>.SPY260731C679</stp>
        <tr r="U15" s="2"/>
      </tp>
      <tp t="s">
        <v>N/A</v>
        <stp/>
        <stp>VOLUME</stp>
        <stp>.SPY260731P655</stp>
        <tr r="U39" s="2"/>
      </tp>
      <tp t="s">
        <v>N/A</v>
        <stp/>
        <stp>VOLUME</stp>
        <stp>.SPY260731C655</stp>
        <tr r="U39" s="2"/>
      </tp>
      <tp t="s">
        <v>N/A</v>
        <stp/>
        <stp>VOLUME</stp>
        <stp>.SPY260731P656</stp>
        <tr r="U38" s="2"/>
      </tp>
      <tp t="s">
        <v>N/A</v>
        <stp/>
        <stp>VOLUME</stp>
        <stp>.SPY260731C656</stp>
        <tr r="U38" s="2"/>
      </tp>
      <tp t="s">
        <v>N/A</v>
        <stp/>
        <stp>VOLUME</stp>
        <stp>.SPY260731P657</stp>
        <tr r="U37" s="2"/>
      </tp>
      <tp t="s">
        <v>N/A</v>
        <stp/>
        <stp>VOLUME</stp>
        <stp>.SPY260731C657</stp>
        <tr r="U37" s="2"/>
      </tp>
      <tp t="s">
        <v>N/A</v>
        <stp/>
        <stp>VOLUME</stp>
        <stp>.SPY260731P658</stp>
        <tr r="U36" s="2"/>
      </tp>
      <tp t="s">
        <v>N/A</v>
        <stp/>
        <stp>VOLUME</stp>
        <stp>.SPY260731C658</stp>
        <tr r="U36" s="2"/>
      </tp>
      <tp t="s">
        <v>N/A</v>
        <stp/>
        <stp>VOLUME</stp>
        <stp>.SPY260731P659</stp>
        <tr r="U35" s="2"/>
      </tp>
      <tp t="s">
        <v>N/A</v>
        <stp/>
        <stp>VOLUME</stp>
        <stp>.SPY260731C659</stp>
        <tr r="U35" s="2"/>
      </tp>
      <tp t="s">
        <v>N/A</v>
        <stp/>
        <stp>VOLUME</stp>
        <stp>.SPY261002P687</stp>
        <tr r="W7" s="2"/>
      </tp>
      <tp t="s">
        <v>N/A</v>
        <stp/>
        <stp>VOLUME</stp>
        <stp>.SPY261002C687</stp>
        <tr r="W7" s="2"/>
      </tp>
      <tp t="s">
        <v>N/A</v>
        <stp/>
        <stp>VOLUME</stp>
        <stp>.SPY261002P686</stp>
        <tr r="W8" s="2"/>
      </tp>
      <tp t="s">
        <v>N/A</v>
        <stp/>
        <stp>VOLUME</stp>
        <stp>.SPY261002C686</stp>
        <tr r="W8" s="2"/>
      </tp>
      <tp t="s">
        <v>N/A</v>
        <stp/>
        <stp>VOLUME</stp>
        <stp>.SPY261002P685</stp>
        <tr r="W9" s="2"/>
      </tp>
      <tp t="s">
        <v>N/A</v>
        <stp/>
        <stp>VOLUME</stp>
        <stp>.SPY261002C685</stp>
        <tr r="W9" s="2"/>
      </tp>
      <tp t="s">
        <v>N/A</v>
        <stp/>
        <stp>VOLUME</stp>
        <stp>.SPY261002P684</stp>
        <tr r="W10" s="2"/>
      </tp>
      <tp t="s">
        <v>N/A</v>
        <stp/>
        <stp>VOLUME</stp>
        <stp>.SPY261002C684</stp>
        <tr r="W10" s="2"/>
      </tp>
      <tp t="s">
        <v>N/A</v>
        <stp/>
        <stp>VOLUME</stp>
        <stp>.SPY261002P683</stp>
        <tr r="W11" s="2"/>
      </tp>
      <tp t="s">
        <v>N/A</v>
        <stp/>
        <stp>VOLUME</stp>
        <stp>.SPY261002C683</stp>
        <tr r="W11" s="2"/>
      </tp>
      <tp t="s">
        <v>N/A</v>
        <stp/>
        <stp>VOLUME</stp>
        <stp>.SPY261002P682</stp>
        <tr r="W12" s="2"/>
      </tp>
      <tp t="s">
        <v>N/A</v>
        <stp/>
        <stp>VOLUME</stp>
        <stp>.SPY261002C682</stp>
        <tr r="W12" s="2"/>
      </tp>
      <tp t="s">
        <v>N/A</v>
        <stp/>
        <stp>VOLUME</stp>
        <stp>.SPY261002P681</stp>
        <tr r="W13" s="2"/>
      </tp>
      <tp t="s">
        <v>N/A</v>
        <stp/>
        <stp>VOLUME</stp>
        <stp>.SPY261002C681</stp>
        <tr r="W13" s="2"/>
      </tp>
      <tp t="s">
        <v>N/A</v>
        <stp/>
        <stp>VOLUME</stp>
        <stp>.SPY261002P680</stp>
        <tr r="W14" s="2"/>
      </tp>
      <tp t="s">
        <v>N/A</v>
        <stp/>
        <stp>VOLUME</stp>
        <stp>.SPY261002C680</stp>
        <tr r="W14" s="2"/>
      </tp>
      <tp t="s">
        <v>N/A</v>
        <stp/>
        <stp>VOLUME</stp>
        <stp>.SPY261002P689</stp>
        <tr r="W5" s="2"/>
      </tp>
      <tp t="s">
        <v>N/A</v>
        <stp/>
        <stp>VOLUME</stp>
        <stp>.SPY261002C689</stp>
        <tr r="W5" s="2"/>
      </tp>
      <tp t="s">
        <v>N/A</v>
        <stp/>
        <stp>VOLUME</stp>
        <stp>.SPY261002P688</stp>
        <tr r="W6" s="2"/>
      </tp>
      <tp t="s">
        <v>N/A</v>
        <stp/>
        <stp>VOLUME</stp>
        <stp>.SPY261002C688</stp>
        <tr r="W6" s="2"/>
      </tp>
      <tp t="s">
        <v>N/A</v>
        <stp/>
        <stp>VOLUME</stp>
        <stp>.SPY261030P685</stp>
        <tr r="X9" s="2"/>
      </tp>
      <tp t="s">
        <v>N/A</v>
        <stp/>
        <stp>VOLUME</stp>
        <stp>.SPY261030C685</stp>
        <tr r="X9" s="2"/>
      </tp>
      <tp t="s">
        <v>N/A</v>
        <stp/>
        <stp>VOLUME</stp>
        <stp>.SPY261030P684</stp>
        <tr r="X10" s="2"/>
      </tp>
      <tp t="s">
        <v>N/A</v>
        <stp/>
        <stp>VOLUME</stp>
        <stp>.SPY261030C684</stp>
        <tr r="X10" s="2"/>
      </tp>
      <tp t="s">
        <v>N/A</v>
        <stp/>
        <stp>VOLUME</stp>
        <stp>.SPY261030P687</stp>
        <tr r="X7" s="2"/>
      </tp>
      <tp t="s">
        <v>N/A</v>
        <stp/>
        <stp>VOLUME</stp>
        <stp>.SPY261030C687</stp>
        <tr r="X7" s="2"/>
      </tp>
      <tp t="s">
        <v>N/A</v>
        <stp/>
        <stp>VOLUME</stp>
        <stp>.SPY261030P686</stp>
        <tr r="X8" s="2"/>
      </tp>
      <tp t="s">
        <v>N/A</v>
        <stp/>
        <stp>VOLUME</stp>
        <stp>.SPY261030C686</stp>
        <tr r="X8" s="2"/>
      </tp>
      <tp t="s">
        <v>N/A</v>
        <stp/>
        <stp>VOLUME</stp>
        <stp>.SPY261030P681</stp>
        <tr r="X13" s="2"/>
      </tp>
      <tp t="s">
        <v>N/A</v>
        <stp/>
        <stp>VOLUME</stp>
        <stp>.SPY261030C681</stp>
        <tr r="X13" s="2"/>
      </tp>
      <tp t="s">
        <v>N/A</v>
        <stp/>
        <stp>VOLUME</stp>
        <stp>.SPY261030P680</stp>
        <tr r="X14" s="2"/>
      </tp>
      <tp t="s">
        <v>N/A</v>
        <stp/>
        <stp>VOLUME</stp>
        <stp>.SPY261030C680</stp>
        <tr r="X14" s="2"/>
      </tp>
      <tp t="s">
        <v>N/A</v>
        <stp/>
        <stp>VOLUME</stp>
        <stp>.SPY261030P683</stp>
        <tr r="X11" s="2"/>
      </tp>
      <tp t="s">
        <v>N/A</v>
        <stp/>
        <stp>VOLUME</stp>
        <stp>.SPY261030C683</stp>
        <tr r="X11" s="2"/>
      </tp>
      <tp t="s">
        <v>N/A</v>
        <stp/>
        <stp>VOLUME</stp>
        <stp>.SPY261030P682</stp>
        <tr r="X12" s="2"/>
      </tp>
      <tp t="s">
        <v>N/A</v>
        <stp/>
        <stp>VOLUME</stp>
        <stp>.SPY261030C682</stp>
        <tr r="X12" s="2"/>
      </tp>
      <tp t="s">
        <v>N/A</v>
        <stp/>
        <stp>VOLUME</stp>
        <stp>.SPY261030P689</stp>
        <tr r="X5" s="2"/>
      </tp>
      <tp t="s">
        <v>N/A</v>
        <stp/>
        <stp>VOLUME</stp>
        <stp>.SPY261030C689</stp>
        <tr r="X5" s="2"/>
      </tp>
      <tp t="s">
        <v>N/A</v>
        <stp/>
        <stp>VOLUME</stp>
        <stp>.SPY261030P688</stp>
        <tr r="X6" s="2"/>
      </tp>
      <tp t="s">
        <v>N/A</v>
        <stp/>
        <stp>VOLUME</stp>
        <stp>.SPY261030C688</stp>
        <tr r="X6" s="2"/>
      </tp>
      <tp t="s">
        <v>N/A</v>
        <stp/>
        <stp>VOLUME</stp>
        <stp>.QQQ260828P629</stp>
        <tr r="V46" s="2"/>
      </tp>
      <tp t="s">
        <v>N/A</v>
        <stp/>
        <stp>VOLUME</stp>
        <stp>.QQQ260828C629</stp>
        <tr r="V46" s="2"/>
      </tp>
      <tp t="s">
        <v>N/A</v>
        <stp/>
        <stp>VOLUME</stp>
        <stp>.QQQ260828P628</stp>
        <tr r="V47" s="2"/>
      </tp>
      <tp t="s">
        <v>N/A</v>
        <stp/>
        <stp>VOLUME</stp>
        <stp>.QQQ260828C628</stp>
        <tr r="V47" s="2"/>
      </tp>
      <tp t="s">
        <v>N/A</v>
        <stp/>
        <stp>VOLUME</stp>
        <stp>.QQQ260828P627</stp>
        <tr r="V48" s="2"/>
      </tp>
      <tp t="s">
        <v>N/A</v>
        <stp/>
        <stp>VOLUME</stp>
        <stp>.QQQ260828C627</stp>
        <tr r="V48" s="2"/>
      </tp>
      <tp t="s">
        <v>N/A</v>
        <stp/>
        <stp>VOLUME</stp>
        <stp>.QQQ260828P626</stp>
        <tr r="V49" s="2"/>
      </tp>
      <tp t="s">
        <v>N/A</v>
        <stp/>
        <stp>VOLUME</stp>
        <stp>.QQQ260828C626</stp>
        <tr r="V49" s="2"/>
      </tp>
      <tp t="s">
        <v>N/A</v>
        <stp/>
        <stp>VOLUME</stp>
        <stp>.QQQ260828P625</stp>
        <tr r="V50" s="2"/>
      </tp>
      <tp t="s">
        <v>N/A</v>
        <stp/>
        <stp>VOLUME</stp>
        <stp>.QQQ260828C625</stp>
        <tr r="V50" s="2"/>
      </tp>
      <tp t="s">
        <v>N/A</v>
        <stp/>
        <stp>VOLUME</stp>
        <stp>.QQQ260828P624</stp>
        <tr r="V51" s="2"/>
      </tp>
      <tp t="s">
        <v>N/A</v>
        <stp/>
        <stp>VOLUME</stp>
        <stp>.QQQ260828C624</stp>
        <tr r="V51" s="2"/>
      </tp>
      <tp t="s">
        <v>N/A</v>
        <stp/>
        <stp>VOLUME</stp>
        <stp>.QQQ260828P623</stp>
        <tr r="V52" s="2"/>
      </tp>
      <tp t="s">
        <v>N/A</v>
        <stp/>
        <stp>VOLUME</stp>
        <stp>.QQQ260828C623</stp>
        <tr r="V52" s="2"/>
      </tp>
      <tp t="s">
        <v>N/A</v>
        <stp/>
        <stp>VOLUME</stp>
        <stp>.QQQ260828P622</stp>
        <tr r="V53" s="2"/>
      </tp>
      <tp t="s">
        <v>N/A</v>
        <stp/>
        <stp>VOLUME</stp>
        <stp>.QQQ260828C622</stp>
        <tr r="V53" s="2"/>
      </tp>
      <tp t="s">
        <v>N/A</v>
        <stp/>
        <stp>VOLUME</stp>
        <stp>.QQQ260828P621</stp>
        <tr r="V54" s="2"/>
      </tp>
      <tp t="s">
        <v>N/A</v>
        <stp/>
        <stp>VOLUME</stp>
        <stp>.QQQ260828C621</stp>
        <tr r="V54" s="2"/>
      </tp>
      <tp t="s">
        <v>N/A</v>
        <stp/>
        <stp>VOLUME</stp>
        <stp>.QQQ260828P620</stp>
        <tr r="V55" s="2"/>
      </tp>
      <tp t="s">
        <v>N/A</v>
        <stp/>
        <stp>VOLUME</stp>
        <stp>.QQQ260828C620</stp>
        <tr r="V55" s="2"/>
      </tp>
      <tp t="s">
        <v>N/A</v>
        <stp/>
        <stp>VOLUME</stp>
        <stp>.QQQ260828P619</stp>
        <tr r="V56" s="2"/>
      </tp>
      <tp t="s">
        <v>N/A</v>
        <stp/>
        <stp>VOLUME</stp>
        <stp>.QQQ260828C619</stp>
        <tr r="V56" s="2"/>
      </tp>
      <tp t="s">
        <v>N/A</v>
        <stp/>
        <stp>VOLUME</stp>
        <stp>.QQQ260828P618</stp>
        <tr r="V57" s="2"/>
      </tp>
      <tp t="s">
        <v>N/A</v>
        <stp/>
        <stp>VOLUME</stp>
        <stp>.QQQ260828C618</stp>
        <tr r="V57" s="2"/>
      </tp>
      <tp t="s">
        <v>N/A</v>
        <stp/>
        <stp>VOLUME</stp>
        <stp>.QQQ260828P617</stp>
        <tr r="V58" s="2"/>
      </tp>
      <tp t="s">
        <v>N/A</v>
        <stp/>
        <stp>VOLUME</stp>
        <stp>.QQQ260828C617</stp>
        <tr r="V58" s="2"/>
      </tp>
      <tp t="s">
        <v>N/A</v>
        <stp/>
        <stp>VOLUME</stp>
        <stp>.QQQ260828P616</stp>
        <tr r="V59" s="2"/>
      </tp>
      <tp t="s">
        <v>N/A</v>
        <stp/>
        <stp>VOLUME</stp>
        <stp>.QQQ260828C616</stp>
        <tr r="V59" s="2"/>
      </tp>
      <tp t="s">
        <v>N/A</v>
        <stp/>
        <stp>VOLUME</stp>
        <stp>.QQQ260828P615</stp>
        <tr r="V60" s="2"/>
      </tp>
      <tp t="s">
        <v>N/A</v>
        <stp/>
        <stp>VOLUME</stp>
        <stp>.QQQ260828C615</stp>
        <tr r="V60" s="2"/>
      </tp>
      <tp t="s">
        <v>N/A</v>
        <stp/>
        <stp>VOLUME</stp>
        <stp>.QQQ260828P614</stp>
        <tr r="V61" s="2"/>
      </tp>
      <tp t="s">
        <v>N/A</v>
        <stp/>
        <stp>VOLUME</stp>
        <stp>.QQQ260828C614</stp>
        <tr r="V61" s="2"/>
      </tp>
      <tp t="s">
        <v>N/A</v>
        <stp/>
        <stp>VOLUME</stp>
        <stp>.QQQ260828P613</stp>
        <tr r="V62" s="2"/>
      </tp>
      <tp t="s">
        <v>N/A</v>
        <stp/>
        <stp>VOLUME</stp>
        <stp>.QQQ260828C613</stp>
        <tr r="V62" s="2"/>
      </tp>
      <tp t="s">
        <v>N/A</v>
        <stp/>
        <stp>VOLUME</stp>
        <stp>.QQQ260828P612</stp>
        <tr r="V63" s="2"/>
      </tp>
      <tp t="s">
        <v>N/A</v>
        <stp/>
        <stp>VOLUME</stp>
        <stp>.QQQ260828C612</stp>
        <tr r="V63" s="2"/>
      </tp>
      <tp t="s">
        <v>N/A</v>
        <stp/>
        <stp>VOLUME</stp>
        <stp>.QQQ260828P611</stp>
        <tr r="V64" s="2"/>
      </tp>
      <tp t="s">
        <v>N/A</v>
        <stp/>
        <stp>VOLUME</stp>
        <stp>.QQQ260828C611</stp>
        <tr r="V64" s="2"/>
      </tp>
      <tp t="s">
        <v>N/A</v>
        <stp/>
        <stp>VOLUME</stp>
        <stp>.QQQ260828P610</stp>
        <tr r="V65" s="2"/>
      </tp>
      <tp t="s">
        <v>N/A</v>
        <stp/>
        <stp>VOLUME</stp>
        <stp>.QQQ260828C610</stp>
        <tr r="V65" s="2"/>
      </tp>
      <tp t="s">
        <v>N/A</v>
        <stp/>
        <stp>VOLUME</stp>
        <stp>.QQQ260828P609</stp>
        <tr r="V66" s="2"/>
      </tp>
      <tp t="s">
        <v>N/A</v>
        <stp/>
        <stp>VOLUME</stp>
        <stp>.QQQ260828C609</stp>
        <tr r="V66" s="2"/>
      </tp>
      <tp t="s">
        <v>N/A</v>
        <stp/>
        <stp>VOLUME</stp>
        <stp>.QQQ260828P608</stp>
        <tr r="V67" s="2"/>
      </tp>
      <tp t="s">
        <v>N/A</v>
        <stp/>
        <stp>VOLUME</stp>
        <stp>.QQQ260828C608</stp>
        <tr r="V67" s="2"/>
      </tp>
      <tp t="s">
        <v>N/A</v>
        <stp/>
        <stp>VOLUME</stp>
        <stp>.QQQ260828P607</stp>
        <tr r="V68" s="2"/>
      </tp>
      <tp t="s">
        <v>N/A</v>
        <stp/>
        <stp>VOLUME</stp>
        <stp>.QQQ260828C607</stp>
        <tr r="V68" s="2"/>
      </tp>
      <tp t="s">
        <v>N/A</v>
        <stp/>
        <stp>VOLUME</stp>
        <stp>.QQQ260828P606</stp>
        <tr r="V69" s="2"/>
      </tp>
      <tp t="s">
        <v>N/A</v>
        <stp/>
        <stp>VOLUME</stp>
        <stp>.QQQ260828C606</stp>
        <tr r="V69" s="2"/>
      </tp>
      <tp t="s">
        <v>N/A</v>
        <stp/>
        <stp>VOLUME</stp>
        <stp>.QQQ260828P605</stp>
        <tr r="V70" s="2"/>
      </tp>
      <tp t="s">
        <v>N/A</v>
        <stp/>
        <stp>VOLUME</stp>
        <stp>.QQQ260828C605</stp>
        <tr r="V70" s="2"/>
      </tp>
      <tp t="s">
        <v>N/A</v>
        <stp/>
        <stp>VOLUME</stp>
        <stp>.QQQ260828P604</stp>
        <tr r="V71" s="2"/>
      </tp>
      <tp t="s">
        <v>N/A</v>
        <stp/>
        <stp>VOLUME</stp>
        <stp>.QQQ260828C604</stp>
        <tr r="V71" s="2"/>
      </tp>
      <tp t="s">
        <v>N/A</v>
        <stp/>
        <stp>VOLUME</stp>
        <stp>.QQQ260828P603</stp>
        <tr r="V72" s="2"/>
      </tp>
      <tp t="s">
        <v>N/A</v>
        <stp/>
        <stp>VOLUME</stp>
        <stp>.QQQ260828C603</stp>
        <tr r="V72" s="2"/>
      </tp>
      <tp t="s">
        <v>N/A</v>
        <stp/>
        <stp>VOLUME</stp>
        <stp>.QQQ260828P602</stp>
        <tr r="V73" s="2"/>
      </tp>
      <tp t="s">
        <v>N/A</v>
        <stp/>
        <stp>VOLUME</stp>
        <stp>.QQQ260828C602</stp>
        <tr r="V73" s="2"/>
      </tp>
      <tp t="s">
        <v>N/A</v>
        <stp/>
        <stp>VOLUME</stp>
        <stp>.QQQ260828P601</stp>
        <tr r="V74" s="2"/>
      </tp>
      <tp t="s">
        <v>N/A</v>
        <stp/>
        <stp>VOLUME</stp>
        <stp>.QQQ260828C601</stp>
        <tr r="V74" s="2"/>
      </tp>
      <tp t="s">
        <v>N/A</v>
        <stp/>
        <stp>VOLUME</stp>
        <stp>.QQQ260828P600</stp>
        <tr r="V75" s="2"/>
      </tp>
      <tp t="s">
        <v>N/A</v>
        <stp/>
        <stp>VOLUME</stp>
        <stp>.QQQ260828C600</stp>
        <tr r="V75" s="2"/>
      </tp>
      <tp t="s">
        <v>N/A</v>
        <stp/>
        <stp>VOLUME</stp>
        <stp>.SPY261002P657</stp>
        <tr r="W37" s="2"/>
      </tp>
      <tp t="s">
        <v>N/A</v>
        <stp/>
        <stp>VOLUME</stp>
        <stp>.SPY261030P665</stp>
        <tr r="X29" s="2"/>
      </tp>
      <tp t="s">
        <v>N/A</v>
        <stp/>
        <stp>VOLUME</stp>
        <stp>.SPY261002C657</stp>
        <tr r="W37" s="2"/>
      </tp>
      <tp t="s">
        <v>N/A</v>
        <stp/>
        <stp>VOLUME</stp>
        <stp>.SPY261030C665</stp>
        <tr r="X29" s="2"/>
      </tp>
      <tp t="s">
        <v>N/A</v>
        <stp/>
        <stp>VOLUME</stp>
        <stp>.SPY261002P656</stp>
        <tr r="W38" s="2"/>
      </tp>
      <tp t="s">
        <v>N/A</v>
        <stp/>
        <stp>VOLUME</stp>
        <stp>.SPY261030P664</stp>
        <tr r="X30" s="2"/>
      </tp>
      <tp t="s">
        <v>N/A</v>
        <stp/>
        <stp>VOLUME</stp>
        <stp>.SPY261002C656</stp>
        <tr r="W38" s="2"/>
      </tp>
      <tp t="s">
        <v>N/A</v>
        <stp/>
        <stp>VOLUME</stp>
        <stp>.SPY261030C664</stp>
        <tr r="X30" s="2"/>
      </tp>
      <tp t="s">
        <v>N/A</v>
        <stp/>
        <stp>VOLUME</stp>
        <stp>.SPY261002P655</stp>
        <tr r="W39" s="2"/>
      </tp>
      <tp t="s">
        <v>N/A</v>
        <stp/>
        <stp>VOLUME</stp>
        <stp>.SPY261030P667</stp>
        <tr r="X27" s="2"/>
      </tp>
      <tp t="s">
        <v>N/A</v>
        <stp/>
        <stp>VOLUME</stp>
        <stp>.SPY261002C655</stp>
        <tr r="W39" s="2"/>
      </tp>
      <tp t="s">
        <v>N/A</v>
        <stp/>
        <stp>VOLUME</stp>
        <stp>.SPY261030C667</stp>
        <tr r="X27" s="2"/>
      </tp>
      <tp t="s">
        <v>N/A</v>
        <stp/>
        <stp>VOLUME</stp>
        <stp>.SPY261030P666</stp>
        <tr r="X28" s="2"/>
      </tp>
      <tp t="s">
        <v>N/A</v>
        <stp/>
        <stp>VOLUME</stp>
        <stp>.SPY261030C666</stp>
        <tr r="X28" s="2"/>
      </tp>
      <tp t="s">
        <v>N/A</v>
        <stp/>
        <stp>VOLUME</stp>
        <stp>.SPY261030P661</stp>
        <tr r="X33" s="2"/>
      </tp>
      <tp t="s">
        <v>N/A</v>
        <stp/>
        <stp>VOLUME</stp>
        <stp>.SPY261030C661</stp>
        <tr r="X33" s="2"/>
      </tp>
      <tp t="s">
        <v>N/A</v>
        <stp/>
        <stp>VOLUME</stp>
        <stp>.SPY261030P660</stp>
        <tr r="X34" s="2"/>
      </tp>
      <tp t="s">
        <v>N/A</v>
        <stp/>
        <stp>VOLUME</stp>
        <stp>.SPY261030C660</stp>
        <tr r="X34" s="2"/>
      </tp>
      <tp t="s">
        <v>N/A</v>
        <stp/>
        <stp>VOLUME</stp>
        <stp>.SPY261030P663</stp>
        <tr r="X31" s="2"/>
      </tp>
      <tp t="s">
        <v>N/A</v>
        <stp/>
        <stp>VOLUME</stp>
        <stp>.SPY261030C663</stp>
        <tr r="X31" s="2"/>
      </tp>
      <tp t="s">
        <v>N/A</v>
        <stp/>
        <stp>VOLUME</stp>
        <stp>.SPY261030P662</stp>
        <tr r="X32" s="2"/>
      </tp>
      <tp t="s">
        <v>N/A</v>
        <stp/>
        <stp>VOLUME</stp>
        <stp>.SPY261030C662</stp>
        <tr r="X32" s="2"/>
      </tp>
      <tp t="s">
        <v>N/A</v>
        <stp/>
        <stp>VOLUME</stp>
        <stp>.SPY261030P669</stp>
        <tr r="X25" s="2"/>
      </tp>
      <tp t="s">
        <v>N/A</v>
        <stp/>
        <stp>VOLUME</stp>
        <stp>.SPY261030C669</stp>
        <tr r="X25" s="2"/>
      </tp>
      <tp t="s">
        <v>N/A</v>
        <stp/>
        <stp>VOLUME</stp>
        <stp>.SPY261030P668</stp>
        <tr r="X26" s="2"/>
      </tp>
      <tp t="s">
        <v>N/A</v>
        <stp/>
        <stp>VOLUME</stp>
        <stp>.SPY261030C668</stp>
        <tr r="X26" s="2"/>
      </tp>
      <tp t="s">
        <v>N/A</v>
        <stp/>
        <stp>VOLUME</stp>
        <stp>.SPY261002P659</stp>
        <tr r="W35" s="2"/>
      </tp>
      <tp t="s">
        <v>N/A</v>
        <stp/>
        <stp>VOLUME</stp>
        <stp>.SPY261002C659</stp>
        <tr r="W35" s="2"/>
      </tp>
      <tp t="s">
        <v>N/A</v>
        <stp/>
        <stp>VOLUME</stp>
        <stp>.SPY261002P658</stp>
        <tr r="W36" s="2"/>
      </tp>
      <tp t="s">
        <v>N/A</v>
        <stp/>
        <stp>VOLUME</stp>
        <stp>.SPY261002C658</stp>
        <tr r="W36" s="2"/>
      </tp>
      <tp t="s">
        <v>N/A</v>
        <stp/>
        <stp>VOLUME</stp>
        <stp>.SPY261030P675</stp>
        <tr r="X19" s="2"/>
      </tp>
      <tp t="s">
        <v>N/A</v>
        <stp/>
        <stp>VOLUME</stp>
        <stp>.SPY261030C675</stp>
        <tr r="X19" s="2"/>
      </tp>
      <tp t="s">
        <v>N/A</v>
        <stp/>
        <stp>VOLUME</stp>
        <stp>.SPY261030P674</stp>
        <tr r="X20" s="2"/>
      </tp>
      <tp t="s">
        <v>N/A</v>
        <stp/>
        <stp>VOLUME</stp>
        <stp>.SPY261030C674</stp>
        <tr r="X20" s="2"/>
      </tp>
      <tp t="s">
        <v>N/A</v>
        <stp/>
        <stp>VOLUME</stp>
        <stp>.SPY261030P677</stp>
        <tr r="X17" s="2"/>
      </tp>
      <tp t="s">
        <v>N/A</v>
        <stp/>
        <stp>VOLUME</stp>
        <stp>.SPY261030C677</stp>
        <tr r="X17" s="2"/>
      </tp>
      <tp t="s">
        <v>N/A</v>
        <stp/>
        <stp>VOLUME</stp>
        <stp>.SPY261030P676</stp>
        <tr r="X18" s="2"/>
      </tp>
      <tp t="s">
        <v>N/A</v>
        <stp/>
        <stp>VOLUME</stp>
        <stp>.SPY261030C676</stp>
        <tr r="X18" s="2"/>
      </tp>
      <tp t="s">
        <v>N/A</v>
        <stp/>
        <stp>VOLUME</stp>
        <stp>.SPY261030P671</stp>
        <tr r="X23" s="2"/>
      </tp>
      <tp t="s">
        <v>N/A</v>
        <stp/>
        <stp>VOLUME</stp>
        <stp>.SPY261030C671</stp>
        <tr r="X23" s="2"/>
      </tp>
      <tp t="s">
        <v>N/A</v>
        <stp/>
        <stp>VOLUME</stp>
        <stp>.SPY261030P670</stp>
        <tr r="X24" s="2"/>
      </tp>
      <tp t="s">
        <v>N/A</v>
        <stp/>
        <stp>VOLUME</stp>
        <stp>.SPY261030C670</stp>
        <tr r="X24" s="2"/>
      </tp>
      <tp t="s">
        <v>N/A</v>
        <stp/>
        <stp>VOLUME</stp>
        <stp>.SPY261030P673</stp>
        <tr r="X21" s="2"/>
      </tp>
      <tp t="s">
        <v>N/A</v>
        <stp/>
        <stp>VOLUME</stp>
        <stp>.SPY261030C673</stp>
        <tr r="X21" s="2"/>
      </tp>
      <tp t="s">
        <v>N/A</v>
        <stp/>
        <stp>VOLUME</stp>
        <stp>.SPY261030P672</stp>
        <tr r="X22" s="2"/>
      </tp>
      <tp t="s">
        <v>N/A</v>
        <stp/>
        <stp>VOLUME</stp>
        <stp>.SPY261030C672</stp>
        <tr r="X22" s="2"/>
      </tp>
      <tp t="s">
        <v>N/A</v>
        <stp/>
        <stp>VOLUME</stp>
        <stp>.SPY261030P679</stp>
        <tr r="X15" s="2"/>
      </tp>
      <tp t="s">
        <v>N/A</v>
        <stp/>
        <stp>VOLUME</stp>
        <stp>.SPY261030C679</stp>
        <tr r="X15" s="2"/>
      </tp>
      <tp t="s">
        <v>N/A</v>
        <stp/>
        <stp>VOLUME</stp>
        <stp>.SPY261030P678</stp>
        <tr r="X16" s="2"/>
      </tp>
      <tp t="s">
        <v>N/A</v>
        <stp/>
        <stp>VOLUME</stp>
        <stp>.SPY261030C678</stp>
        <tr r="X16" s="2"/>
      </tp>
      <tp t="s">
        <v>N/A</v>
        <stp/>
        <stp>VOLUME</stp>
        <stp>.SPY261002P677</stp>
        <tr r="W17" s="2"/>
      </tp>
      <tp t="s">
        <v>N/A</v>
        <stp/>
        <stp>VOLUME</stp>
        <stp>.SPY261002C677</stp>
        <tr r="W17" s="2"/>
      </tp>
      <tp t="s">
        <v>N/A</v>
        <stp/>
        <stp>VOLUME</stp>
        <stp>.SPY261002P676</stp>
        <tr r="W18" s="2"/>
      </tp>
      <tp t="s">
        <v>N/A</v>
        <stp/>
        <stp>VOLUME</stp>
        <stp>.SPY261002C676</stp>
        <tr r="W18" s="2"/>
      </tp>
      <tp t="s">
        <v>N/A</v>
        <stp/>
        <stp>VOLUME</stp>
        <stp>.SPY261002P675</stp>
        <tr r="W19" s="2"/>
      </tp>
      <tp t="s">
        <v>N/A</v>
        <stp/>
        <stp>VOLUME</stp>
        <stp>.SPY261002C675</stp>
        <tr r="W19" s="2"/>
      </tp>
      <tp t="s">
        <v>N/A</v>
        <stp/>
        <stp>VOLUME</stp>
        <stp>.SPY261002P674</stp>
        <tr r="W20" s="2"/>
      </tp>
      <tp t="s">
        <v>N/A</v>
        <stp/>
        <stp>VOLUME</stp>
        <stp>.SPY261002C674</stp>
        <tr r="W20" s="2"/>
      </tp>
      <tp t="s">
        <v>N/A</v>
        <stp/>
        <stp>VOLUME</stp>
        <stp>.SPY261002P673</stp>
        <tr r="W21" s="2"/>
      </tp>
      <tp t="s">
        <v>N/A</v>
        <stp/>
        <stp>VOLUME</stp>
        <stp>.SPY261002C673</stp>
        <tr r="W21" s="2"/>
      </tp>
      <tp t="s">
        <v>N/A</v>
        <stp/>
        <stp>VOLUME</stp>
        <stp>.SPY261002P672</stp>
        <tr r="W22" s="2"/>
      </tp>
      <tp t="s">
        <v>N/A</v>
        <stp/>
        <stp>VOLUME</stp>
        <stp>.SPY261002C672</stp>
        <tr r="W22" s="2"/>
      </tp>
      <tp t="s">
        <v>N/A</v>
        <stp/>
        <stp>VOLUME</stp>
        <stp>.SPY261002P671</stp>
        <tr r="W23" s="2"/>
      </tp>
      <tp t="s">
        <v>N/A</v>
        <stp/>
        <stp>VOLUME</stp>
        <stp>.SPY261002C671</stp>
        <tr r="W23" s="2"/>
      </tp>
      <tp t="s">
        <v>N/A</v>
        <stp/>
        <stp>VOLUME</stp>
        <stp>.SPY261002P670</stp>
        <tr r="W24" s="2"/>
      </tp>
      <tp t="s">
        <v>N/A</v>
        <stp/>
        <stp>VOLUME</stp>
        <stp>.SPY261002C670</stp>
        <tr r="W24" s="2"/>
      </tp>
      <tp t="s">
        <v>N/A</v>
        <stp/>
        <stp>VOLUME</stp>
        <stp>.SPY261002P679</stp>
        <tr r="W15" s="2"/>
      </tp>
      <tp t="s">
        <v>N/A</v>
        <stp/>
        <stp>VOLUME</stp>
        <stp>.SPY261002C679</stp>
        <tr r="W15" s="2"/>
      </tp>
      <tp t="s">
        <v>N/A</v>
        <stp/>
        <stp>VOLUME</stp>
        <stp>.SPY261002P678</stp>
        <tr r="W16" s="2"/>
      </tp>
      <tp t="s">
        <v>N/A</v>
        <stp/>
        <stp>VOLUME</stp>
        <stp>.SPY261002C678</stp>
        <tr r="W16" s="2"/>
      </tp>
      <tp t="s">
        <v>N/A</v>
        <stp/>
        <stp>VOLUME</stp>
        <stp>.SPY261002P667</stp>
        <tr r="W27" s="2"/>
      </tp>
      <tp t="s">
        <v>N/A</v>
        <stp/>
        <stp>VOLUME</stp>
        <stp>.SPY261030P655</stp>
        <tr r="X39" s="2"/>
      </tp>
      <tp t="s">
        <v>N/A</v>
        <stp/>
        <stp>VOLUME</stp>
        <stp>.SPY261002C667</stp>
        <tr r="W27" s="2"/>
      </tp>
      <tp t="s">
        <v>N/A</v>
        <stp/>
        <stp>VOLUME</stp>
        <stp>.SPY261030C655</stp>
        <tr r="X39" s="2"/>
      </tp>
      <tp t="s">
        <v>N/A</v>
        <stp/>
        <stp>VOLUME</stp>
        <stp>.SPY261002P666</stp>
        <tr r="W28" s="2"/>
      </tp>
      <tp t="s">
        <v>N/A</v>
        <stp/>
        <stp>VOLUME</stp>
        <stp>.SPY261002C666</stp>
        <tr r="W28" s="2"/>
      </tp>
      <tp t="s">
        <v>N/A</v>
        <stp/>
        <stp>VOLUME</stp>
        <stp>.SPY261002P665</stp>
        <tr r="W29" s="2"/>
      </tp>
      <tp t="s">
        <v>N/A</v>
        <stp/>
        <stp>VOLUME</stp>
        <stp>.SPY261030P657</stp>
        <tr r="X37" s="2"/>
      </tp>
      <tp t="s">
        <v>N/A</v>
        <stp/>
        <stp>VOLUME</stp>
        <stp>.SPY261002C665</stp>
        <tr r="W29" s="2"/>
      </tp>
      <tp t="s">
        <v>N/A</v>
        <stp/>
        <stp>VOLUME</stp>
        <stp>.SPY261030C657</stp>
        <tr r="X37" s="2"/>
      </tp>
      <tp t="s">
        <v>N/A</v>
        <stp/>
        <stp>VOLUME</stp>
        <stp>.SPY261002P664</stp>
        <tr r="W30" s="2"/>
      </tp>
      <tp t="s">
        <v>N/A</v>
        <stp/>
        <stp>VOLUME</stp>
        <stp>.SPY261030P656</stp>
        <tr r="X38" s="2"/>
      </tp>
      <tp t="s">
        <v>N/A</v>
        <stp/>
        <stp>VOLUME</stp>
        <stp>.SPY261002C664</stp>
        <tr r="W30" s="2"/>
      </tp>
      <tp t="s">
        <v>N/A</v>
        <stp/>
        <stp>VOLUME</stp>
        <stp>.SPY261030C656</stp>
        <tr r="X38" s="2"/>
      </tp>
      <tp t="s">
        <v>N/A</v>
        <stp/>
        <stp>VOLUME</stp>
        <stp>.SPY261002P663</stp>
        <tr r="W31" s="2"/>
      </tp>
      <tp t="s">
        <v>N/A</v>
        <stp/>
        <stp>VOLUME</stp>
        <stp>.SPY261002C663</stp>
        <tr r="W31" s="2"/>
      </tp>
      <tp t="s">
        <v>N/A</v>
        <stp/>
        <stp>VOLUME</stp>
        <stp>.SPY261002P662</stp>
        <tr r="W32" s="2"/>
      </tp>
      <tp t="s">
        <v>N/A</v>
        <stp/>
        <stp>VOLUME</stp>
        <stp>.SPY261002C662</stp>
        <tr r="W32" s="2"/>
      </tp>
      <tp t="s">
        <v>N/A</v>
        <stp/>
        <stp>VOLUME</stp>
        <stp>.SPY261002P661</stp>
        <tr r="W33" s="2"/>
      </tp>
      <tp t="s">
        <v>N/A</v>
        <stp/>
        <stp>VOLUME</stp>
        <stp>.SPY261002C661</stp>
        <tr r="W33" s="2"/>
      </tp>
      <tp t="s">
        <v>N/A</v>
        <stp/>
        <stp>VOLUME</stp>
        <stp>.SPY261002P660</stp>
        <tr r="W34" s="2"/>
      </tp>
      <tp t="s">
        <v>N/A</v>
        <stp/>
        <stp>VOLUME</stp>
        <stp>.SPY261002C660</stp>
        <tr r="W34" s="2"/>
      </tp>
      <tp t="s">
        <v>N/A</v>
        <stp/>
        <stp>VOLUME</stp>
        <stp>.SPY261030P659</stp>
        <tr r="X35" s="2"/>
      </tp>
      <tp t="s">
        <v>N/A</v>
        <stp/>
        <stp>VOLUME</stp>
        <stp>.SPY261030C659</stp>
        <tr r="X35" s="2"/>
      </tp>
      <tp t="s">
        <v>N/A</v>
        <stp/>
        <stp>VOLUME</stp>
        <stp>.SPY261030P658</stp>
        <tr r="X36" s="2"/>
      </tp>
      <tp t="s">
        <v>N/A</v>
        <stp/>
        <stp>VOLUME</stp>
        <stp>.SPY261030C658</stp>
        <tr r="X36" s="2"/>
      </tp>
      <tp t="s">
        <v>N/A</v>
        <stp/>
        <stp>VOLUME</stp>
        <stp>.SPY261002P669</stp>
        <tr r="W25" s="2"/>
      </tp>
      <tp t="s">
        <v>N/A</v>
        <stp/>
        <stp>VOLUME</stp>
        <stp>.SPY261002C669</stp>
        <tr r="W25" s="2"/>
      </tp>
      <tp t="s">
        <v>N/A</v>
        <stp/>
        <stp>VOLUME</stp>
        <stp>.SPY261002P668</stp>
        <tr r="W26" s="2"/>
      </tp>
      <tp t="s">
        <v>N/A</v>
        <stp/>
        <stp>VOLUME</stp>
        <stp>.SPY261002C668</stp>
        <tr r="W26" s="2"/>
      </tp>
      <tp>
        <v>759</v>
        <stp/>
        <stp>VOLUME</stp>
        <stp>.SPY251110P686</stp>
        <tr r="Q7" s="1"/>
        <tr r="Q7" s="1"/>
        <tr r="B8" s="2"/>
        <tr r="B8" s="2"/>
      </tp>
      <tp>
        <v>280</v>
        <stp/>
        <stp>VOLUME</stp>
        <stp>.SPY251111P687</stp>
        <tr r="C7" s="2"/>
        <tr r="C7" s="2"/>
      </tp>
      <tp>
        <v>51</v>
        <stp/>
        <stp>VOLUME</stp>
        <stp>.SPY251112P684</stp>
        <tr r="D10" s="2"/>
        <tr r="D10" s="2"/>
      </tp>
      <tp>
        <v>10</v>
        <stp/>
        <stp>VOLUME</stp>
        <stp>.SPY251113P685</stp>
        <tr r="E9" s="2"/>
        <tr r="E9" s="2"/>
      </tp>
      <tp>
        <v>331</v>
        <stp/>
        <stp>VOLUME</stp>
        <stp>.SPY251114P682</stp>
        <tr r="S11" s="1"/>
        <tr r="S11" s="1"/>
      </tp>
      <tp>
        <v>3715</v>
        <stp/>
        <stp>VOLUME</stp>
        <stp>.SPY251110C686</stp>
        <tr r="P7" s="1"/>
        <tr r="P7" s="1"/>
        <tr r="B8" s="2"/>
        <tr r="B8" s="2"/>
      </tp>
      <tp>
        <v>899</v>
        <stp/>
        <stp>VOLUME</stp>
        <stp>.SPY251111C687</stp>
        <tr r="C7" s="2"/>
        <tr r="C7" s="2"/>
      </tp>
      <tp>
        <v>1246</v>
        <stp/>
        <stp>VOLUME</stp>
        <stp>.SPY251112C684</stp>
        <tr r="D10" s="2"/>
        <tr r="D10" s="2"/>
      </tp>
      <tp>
        <v>529</v>
        <stp/>
        <stp>VOLUME</stp>
        <stp>.SPY251113C685</stp>
        <tr r="E9" s="2"/>
        <tr r="E9" s="2"/>
      </tp>
      <tp>
        <v>4763</v>
        <stp/>
        <stp>VOLUME</stp>
        <stp>.SPY251114C682</stp>
        <tr r="R11" s="1"/>
        <tr r="R11" s="1"/>
      </tp>
      <tp>
        <v>51</v>
        <stp/>
        <stp>VOLUME</stp>
        <stp>.SPY251110P687</stp>
        <tr r="Q6" s="1"/>
        <tr r="Q6" s="1"/>
        <tr r="B7" s="2"/>
        <tr r="B7" s="2"/>
      </tp>
      <tp>
        <v>4</v>
        <stp/>
        <stp>VOLUME</stp>
        <stp>.SPY251111P686</stp>
        <tr r="C8" s="2"/>
        <tr r="C8" s="2"/>
      </tp>
      <tp>
        <v>161</v>
        <stp/>
        <stp>VOLUME</stp>
        <stp>.SPY251112P685</stp>
        <tr r="D9" s="2"/>
        <tr r="D9" s="2"/>
      </tp>
      <tp>
        <v>11</v>
        <stp/>
        <stp>VOLUME</stp>
        <stp>.SPY251113P684</stp>
        <tr r="E10" s="2"/>
        <tr r="E10" s="2"/>
      </tp>
      <tp>
        <v>66</v>
        <stp/>
        <stp>VOLUME</stp>
        <stp>.SPY251114P683</stp>
        <tr r="S10" s="1"/>
        <tr r="S10" s="1"/>
      </tp>
      <tp>
        <v>1915</v>
        <stp/>
        <stp>VOLUME</stp>
        <stp>.SPY251110C687</stp>
        <tr r="B7" s="2"/>
        <tr r="B7" s="2"/>
        <tr r="P6" s="1"/>
        <tr r="P6" s="1"/>
      </tp>
      <tp>
        <v>710</v>
        <stp/>
        <stp>VOLUME</stp>
        <stp>.SPY251111C686</stp>
        <tr r="C8" s="2"/>
        <tr r="C8" s="2"/>
      </tp>
      <tp>
        <v>1979</v>
        <stp/>
        <stp>VOLUME</stp>
        <stp>.SPY251112C685</stp>
        <tr r="D9" s="2"/>
        <tr r="D9" s="2"/>
      </tp>
      <tp>
        <v>475</v>
        <stp/>
        <stp>VOLUME</stp>
        <stp>.SPY251113C684</stp>
        <tr r="E10" s="2"/>
        <tr r="E10" s="2"/>
      </tp>
      <tp>
        <v>2136</v>
        <stp/>
        <stp>VOLUME</stp>
        <stp>.SPY251114C683</stp>
        <tr r="R10" s="1"/>
        <tr r="R10" s="1"/>
      </tp>
      <tp>
        <v>27</v>
        <stp/>
        <stp>VOLUME</stp>
        <stp>.SPY251110P684</stp>
        <tr r="B10" s="2"/>
        <tr r="B10" s="2"/>
        <tr r="Q9" s="1"/>
        <tr r="Q9" s="1"/>
      </tp>
      <tp>
        <v>9</v>
        <stp/>
        <stp>VOLUME</stp>
        <stp>.SPY251111P685</stp>
        <tr r="C9" s="2"/>
        <tr r="C9" s="2"/>
      </tp>
      <tp>
        <v>1</v>
        <stp/>
        <stp>VOLUME</stp>
        <stp>.SPY251112P686</stp>
        <tr r="D8" s="2"/>
        <tr r="D8" s="2"/>
      </tp>
      <tp t="s">
        <v>N/A</v>
        <stp/>
        <stp>VOLUME</stp>
        <stp>.SPY251113P687</stp>
        <tr r="E7" s="2"/>
      </tp>
      <tp>
        <v>1165</v>
        <stp/>
        <stp>VOLUME</stp>
        <stp>.SPY251114P680</stp>
        <tr r="S13" s="1"/>
        <tr r="S13" s="1"/>
      </tp>
      <tp>
        <v>4102</v>
        <stp/>
        <stp>VOLUME</stp>
        <stp>.SPY251110C684</stp>
        <tr r="P9" s="1"/>
        <tr r="P9" s="1"/>
        <tr r="B10" s="2"/>
        <tr r="B10" s="2"/>
      </tp>
      <tp>
        <v>5588</v>
        <stp/>
        <stp>VOLUME</stp>
        <stp>.SPY251111C685</stp>
        <tr r="C9" s="2"/>
        <tr r="C9" s="2"/>
      </tp>
      <tp>
        <v>439</v>
        <stp/>
        <stp>VOLUME</stp>
        <stp>.SPY251112C686</stp>
        <tr r="D8" s="2"/>
        <tr r="D8" s="2"/>
      </tp>
      <tp>
        <v>305</v>
        <stp/>
        <stp>VOLUME</stp>
        <stp>.SPY251113C687</stp>
        <tr r="E7" s="2"/>
        <tr r="E7" s="2"/>
      </tp>
      <tp>
        <v>48542</v>
        <stp/>
        <stp>VOLUME</stp>
        <stp>.SPY251114C680</stp>
        <tr r="R13" s="1"/>
        <tr r="R13" s="1"/>
      </tp>
      <tp>
        <v>640</v>
        <stp/>
        <stp>VOLUME</stp>
        <stp>.SPY251110P685</stp>
        <tr r="B9" s="2"/>
        <tr r="B9" s="2"/>
        <tr r="Q8" s="1"/>
        <tr r="Q8" s="1"/>
      </tp>
      <tp>
        <v>3</v>
        <stp/>
        <stp>VOLUME</stp>
        <stp>.SPY251111P684</stp>
        <tr r="C10" s="2"/>
        <tr r="C10" s="2"/>
      </tp>
      <tp>
        <v>18</v>
        <stp/>
        <stp>VOLUME</stp>
        <stp>.SPY251112P687</stp>
        <tr r="D7" s="2"/>
        <tr r="D7" s="2"/>
      </tp>
      <tp>
        <v>34</v>
        <stp/>
        <stp>VOLUME</stp>
        <stp>.SPY251113P686</stp>
        <tr r="E8" s="2"/>
        <tr r="E8" s="2"/>
      </tp>
      <tp>
        <v>219</v>
        <stp/>
        <stp>VOLUME</stp>
        <stp>.SPY251114P681</stp>
        <tr r="S12" s="1"/>
        <tr r="S12" s="1"/>
      </tp>
      <tp>
        <v>9694</v>
        <stp/>
        <stp>VOLUME</stp>
        <stp>.SPY251110C685</stp>
        <tr r="B9" s="2"/>
        <tr r="B9" s="2"/>
        <tr r="P8" s="1"/>
        <tr r="P8" s="1"/>
      </tp>
      <tp>
        <v>1716</v>
        <stp/>
        <stp>VOLUME</stp>
        <stp>.SPY251111C684</stp>
        <tr r="C10" s="2"/>
        <tr r="C10" s="2"/>
      </tp>
      <tp>
        <v>1225</v>
        <stp/>
        <stp>VOLUME</stp>
        <stp>.SPY251112C687</stp>
        <tr r="D7" s="2"/>
        <tr r="D7" s="2"/>
      </tp>
      <tp>
        <v>4796</v>
        <stp/>
        <stp>VOLUME</stp>
        <stp>.SPY251113C686</stp>
        <tr r="E8" s="2"/>
        <tr r="E8" s="2"/>
      </tp>
      <tp>
        <v>3335</v>
        <stp/>
        <stp>VOLUME</stp>
        <stp>.SPY251114C681</stp>
        <tr r="R12" s="1"/>
        <tr r="R12" s="1"/>
      </tp>
      <tp>
        <v>81</v>
        <stp/>
        <stp>VOLUME</stp>
        <stp>.SPY251110P682</stp>
        <tr r="Q11" s="1"/>
        <tr r="Q11" s="1"/>
        <tr r="B12" s="2"/>
        <tr r="B12" s="2"/>
      </tp>
      <tp>
        <v>7</v>
        <stp/>
        <stp>VOLUME</stp>
        <stp>.SPY251111P683</stp>
        <tr r="C11" s="2"/>
        <tr r="C11" s="2"/>
      </tp>
      <tp>
        <v>209</v>
        <stp/>
        <stp>VOLUME</stp>
        <stp>.SPY251112P680</stp>
        <tr r="D14" s="2"/>
        <tr r="D14" s="2"/>
      </tp>
      <tp>
        <v>177</v>
        <stp/>
        <stp>VOLUME</stp>
        <stp>.SPY251113P681</stp>
        <tr r="E13" s="2"/>
        <tr r="E13" s="2"/>
      </tp>
      <tp>
        <v>239</v>
        <stp/>
        <stp>VOLUME</stp>
        <stp>.SPY251114P686</stp>
        <tr r="S7" s="1"/>
        <tr r="S7" s="1"/>
      </tp>
      <tp>
        <v>12001</v>
        <stp/>
        <stp>VOLUME</stp>
        <stp>.SPY251110C682</stp>
        <tr r="P11" s="1"/>
        <tr r="P11" s="1"/>
        <tr r="B12" s="2"/>
        <tr r="B12" s="2"/>
      </tp>
      <tp>
        <v>6924</v>
        <stp/>
        <stp>VOLUME</stp>
        <stp>.SPY251111C683</stp>
        <tr r="C11" s="2"/>
        <tr r="C11" s="2"/>
      </tp>
      <tp>
        <v>5960</v>
        <stp/>
        <stp>VOLUME</stp>
        <stp>.SPY251112C680</stp>
        <tr r="D14" s="2"/>
        <tr r="D14" s="2"/>
      </tp>
      <tp>
        <v>691</v>
        <stp/>
        <stp>VOLUME</stp>
        <stp>.SPY251113C681</stp>
        <tr r="E13" s="2"/>
        <tr r="E13" s="2"/>
      </tp>
      <tp>
        <v>4475</v>
        <stp/>
        <stp>VOLUME</stp>
        <stp>.SPY251114C686</stp>
        <tr r="R7" s="1"/>
        <tr r="R7" s="1"/>
      </tp>
      <tp>
        <v>115</v>
        <stp/>
        <stp>VOLUME</stp>
        <stp>.SPY251110P683</stp>
        <tr r="B11" s="2"/>
        <tr r="B11" s="2"/>
        <tr r="Q10" s="1"/>
        <tr r="Q10" s="1"/>
      </tp>
      <tp>
        <v>58</v>
        <stp/>
        <stp>VOLUME</stp>
        <stp>.SPY251111P682</stp>
        <tr r="C12" s="2"/>
        <tr r="C12" s="2"/>
      </tp>
      <tp>
        <v>488</v>
        <stp/>
        <stp>VOLUME</stp>
        <stp>.SPY251112P681</stp>
        <tr r="D13" s="2"/>
        <tr r="D13" s="2"/>
      </tp>
      <tp>
        <v>307</v>
        <stp/>
        <stp>VOLUME</stp>
        <stp>.SPY251113P680</stp>
        <tr r="E14" s="2"/>
        <tr r="E14" s="2"/>
      </tp>
      <tp>
        <v>170</v>
        <stp/>
        <stp>VOLUME</stp>
        <stp>.SPY251114P687</stp>
        <tr r="S6" s="1"/>
        <tr r="S6" s="1"/>
      </tp>
      <tp>
        <v>5745</v>
        <stp/>
        <stp>VOLUME</stp>
        <stp>.SPY251110C683</stp>
        <tr r="B11" s="2"/>
        <tr r="B11" s="2"/>
        <tr r="P10" s="1"/>
        <tr r="P10" s="1"/>
      </tp>
      <tp>
        <v>4103</v>
        <stp/>
        <stp>VOLUME</stp>
        <stp>.SPY251111C682</stp>
        <tr r="C12" s="2"/>
        <tr r="C12" s="2"/>
      </tp>
      <tp>
        <v>1887</v>
        <stp/>
        <stp>VOLUME</stp>
        <stp>.SPY251112C681</stp>
        <tr r="D13" s="2"/>
        <tr r="D13" s="2"/>
      </tp>
      <tp>
        <v>3443</v>
        <stp/>
        <stp>VOLUME</stp>
        <stp>.SPY251113C680</stp>
        <tr r="E14" s="2"/>
        <tr r="E14" s="2"/>
      </tp>
      <tp>
        <v>3790</v>
        <stp/>
        <stp>VOLUME</stp>
        <stp>.SPY251114C687</stp>
        <tr r="R6" s="1"/>
        <tr r="R6" s="1"/>
      </tp>
      <tp>
        <v>1436</v>
        <stp/>
        <stp>VOLUME</stp>
        <stp>.SPY251110P680</stp>
        <tr r="B14" s="2"/>
        <tr r="B14" s="2"/>
        <tr r="Q13" s="1"/>
        <tr r="Q13" s="1"/>
      </tp>
      <tp>
        <v>78</v>
        <stp/>
        <stp>VOLUME</stp>
        <stp>.SPY251111P681</stp>
        <tr r="C13" s="2"/>
        <tr r="C13" s="2"/>
      </tp>
      <tp>
        <v>12</v>
        <stp/>
        <stp>VOLUME</stp>
        <stp>.SPY251112P682</stp>
        <tr r="D12" s="2"/>
        <tr r="D12" s="2"/>
      </tp>
      <tp>
        <v>26</v>
        <stp/>
        <stp>VOLUME</stp>
        <stp>.SPY251113P683</stp>
        <tr r="E11" s="2"/>
        <tr r="E11" s="2"/>
      </tp>
      <tp>
        <v>501</v>
        <stp/>
        <stp>VOLUME</stp>
        <stp>.SPY251114P684</stp>
        <tr r="S9" s="1"/>
        <tr r="S9" s="1"/>
      </tp>
      <tp>
        <v>37037</v>
        <stp/>
        <stp>VOLUME</stp>
        <stp>.SPY251110C680</stp>
        <tr r="B14" s="2"/>
        <tr r="B14" s="2"/>
        <tr r="P13" s="1"/>
        <tr r="P13" s="1"/>
      </tp>
      <tp>
        <v>2785</v>
        <stp/>
        <stp>VOLUME</stp>
        <stp>.SPY251111C681</stp>
        <tr r="C13" s="2"/>
        <tr r="C13" s="2"/>
      </tp>
      <tp>
        <v>2645</v>
        <stp/>
        <stp>VOLUME</stp>
        <stp>.SPY251112C682</stp>
        <tr r="D12" s="2"/>
        <tr r="D12" s="2"/>
      </tp>
      <tp>
        <v>3591</v>
        <stp/>
        <stp>VOLUME</stp>
        <stp>.SPY251113C683</stp>
        <tr r="E11" s="2"/>
        <tr r="E11" s="2"/>
      </tp>
      <tp>
        <v>2394</v>
        <stp/>
        <stp>VOLUME</stp>
        <stp>.SPY251114C684</stp>
        <tr r="R9" s="1"/>
        <tr r="R9" s="1"/>
      </tp>
      <tp>
        <v>220</v>
        <stp/>
        <stp>VOLUME</stp>
        <stp>.SPY251110P681</stp>
        <tr r="Q12" s="1"/>
        <tr r="Q12" s="1"/>
        <tr r="B13" s="2"/>
        <tr r="B13" s="2"/>
      </tp>
      <tp>
        <v>193</v>
        <stp/>
        <stp>VOLUME</stp>
        <stp>.SPY251111P680</stp>
        <tr r="C14" s="2"/>
        <tr r="C14" s="2"/>
      </tp>
      <tp>
        <v>249</v>
        <stp/>
        <stp>VOLUME</stp>
        <stp>.SPY251112P683</stp>
        <tr r="D11" s="2"/>
        <tr r="D11" s="2"/>
      </tp>
      <tp>
        <v>221</v>
        <stp/>
        <stp>VOLUME</stp>
        <stp>.SPY251113P682</stp>
        <tr r="E12" s="2"/>
        <tr r="E12" s="2"/>
      </tp>
      <tp>
        <v>383</v>
        <stp/>
        <stp>VOLUME</stp>
        <stp>.SPY251114P685</stp>
        <tr r="S8" s="1"/>
        <tr r="S8" s="1"/>
      </tp>
      <tp>
        <v>15662</v>
        <stp/>
        <stp>VOLUME</stp>
        <stp>.SPY251110C681</stp>
        <tr r="B13" s="2"/>
        <tr r="B13" s="2"/>
        <tr r="P12" s="1"/>
        <tr r="P12" s="1"/>
      </tp>
      <tp>
        <v>9719</v>
        <stp/>
        <stp>VOLUME</stp>
        <stp>.SPY251111C680</stp>
        <tr r="C14" s="2"/>
        <tr r="C14" s="2"/>
      </tp>
      <tp>
        <v>1438</v>
        <stp/>
        <stp>VOLUME</stp>
        <stp>.SPY251112C683</stp>
        <tr r="D11" s="2"/>
        <tr r="D11" s="2"/>
      </tp>
      <tp>
        <v>625</v>
        <stp/>
        <stp>VOLUME</stp>
        <stp>.SPY251113C682</stp>
        <tr r="E12" s="2"/>
        <tr r="E12" s="2"/>
      </tp>
      <tp>
        <v>9166</v>
        <stp/>
        <stp>VOLUME</stp>
        <stp>.SPY251114C685</stp>
        <tr r="R8" s="1"/>
        <tr r="R8" s="1"/>
      </tp>
      <tp>
        <v>19</v>
        <stp/>
        <stp>VOLUME</stp>
        <stp>.SPY251114P688</stp>
        <tr r="S5" s="1"/>
        <tr r="S5" s="1"/>
      </tp>
      <tp>
        <v>2552</v>
        <stp/>
        <stp>VOLUME</stp>
        <stp>.SPY251114C688</stp>
        <tr r="R5" s="1"/>
        <tr r="R5" s="1"/>
      </tp>
      <tp>
        <v>89</v>
        <stp/>
        <stp>VOLUME</stp>
        <stp>.SPY251114P689</stp>
        <tr r="S4" s="1"/>
        <tr r="S4" s="1"/>
      </tp>
      <tp>
        <v>1371</v>
        <stp/>
        <stp>VOLUME</stp>
        <stp>.SPY251114C689</stp>
        <tr r="R4" s="1"/>
        <tr r="R4" s="1"/>
      </tp>
      <tp t="s">
        <v>N/A</v>
        <stp/>
        <stp>VOLUME</stp>
        <stp>.SPY251112P688</stp>
        <tr r="D6" s="2"/>
      </tp>
      <tp>
        <v>10</v>
        <stp/>
        <stp>VOLUME</stp>
        <stp>.SPY251113P689</stp>
        <tr r="E5" s="2"/>
        <tr r="E5" s="2"/>
      </tp>
      <tp>
        <v>499</v>
        <stp/>
        <stp>VOLUME</stp>
        <stp>.SPY251112C688</stp>
        <tr r="D6" s="2"/>
        <tr r="D6" s="2"/>
      </tp>
      <tp>
        <v>465</v>
        <stp/>
        <stp>VOLUME</stp>
        <stp>.SPY251113C689</stp>
        <tr r="E5" s="2"/>
        <tr r="E5" s="2"/>
      </tp>
      <tp>
        <v>120</v>
        <stp/>
        <stp>VOLUME</stp>
        <stp>.SPY251112P689</stp>
        <tr r="D5" s="2"/>
        <tr r="D5" s="2"/>
      </tp>
      <tp>
        <v>8</v>
        <stp/>
        <stp>VOLUME</stp>
        <stp>.SPY251113P688</stp>
        <tr r="E6" s="2"/>
        <tr r="E6" s="2"/>
      </tp>
      <tp>
        <v>241</v>
        <stp/>
        <stp>VOLUME</stp>
        <stp>.SPY251112C689</stp>
        <tr r="D5" s="2"/>
        <tr r="D5" s="2"/>
      </tp>
      <tp>
        <v>249</v>
        <stp/>
        <stp>VOLUME</stp>
        <stp>.SPY251113C688</stp>
        <tr r="E6" s="2"/>
        <tr r="E6" s="2"/>
      </tp>
      <tp>
        <v>309</v>
        <stp/>
        <stp>VOLUME</stp>
        <stp>.SPY251110P688</stp>
        <tr r="B6" s="2"/>
        <tr r="B6" s="2"/>
        <tr r="Q5" s="1"/>
        <tr r="Q5" s="1"/>
      </tp>
      <tp>
        <v>3</v>
        <stp/>
        <stp>VOLUME</stp>
        <stp>.SPY251111P689</stp>
        <tr r="C5" s="2"/>
        <tr r="C5" s="2"/>
      </tp>
      <tp>
        <v>2525</v>
        <stp/>
        <stp>VOLUME</stp>
        <stp>.SPY251110C688</stp>
        <tr r="B6" s="2"/>
        <tr r="B6" s="2"/>
        <tr r="P5" s="1"/>
        <tr r="P5" s="1"/>
      </tp>
      <tp>
        <v>675</v>
        <stp/>
        <stp>VOLUME</stp>
        <stp>.SPY251111C689</stp>
        <tr r="C5" s="2"/>
        <tr r="C5" s="2"/>
      </tp>
      <tp>
        <v>44</v>
        <stp/>
        <stp>VOLUME</stp>
        <stp>.SPY251110P689</stp>
        <tr r="B5" s="2"/>
        <tr r="B5" s="2"/>
        <tr r="Q4" s="1"/>
        <tr r="Q4" s="1"/>
      </tp>
      <tp>
        <v>1</v>
        <stp/>
        <stp>VOLUME</stp>
        <stp>.SPY251111P688</stp>
        <tr r="C6" s="2"/>
        <tr r="C6" s="2"/>
      </tp>
      <tp>
        <v>593</v>
        <stp/>
        <stp>VOLUME</stp>
        <stp>.SPY251110C689</stp>
        <tr r="B5" s="2"/>
        <tr r="B5" s="2"/>
        <tr r="P4" s="1"/>
        <tr r="P4" s="1"/>
      </tp>
      <tp>
        <v>327</v>
        <stp/>
        <stp>VOLUME</stp>
        <stp>.SPY251111C688</stp>
        <tr r="C6" s="2"/>
        <tr r="C6" s="2"/>
      </tp>
      <tp t="s">
        <v>N/A</v>
        <stp/>
        <stp>VOLUME</stp>
        <stp>.SPY260109P688</stp>
        <tr r="L6" s="2"/>
      </tp>
      <tp t="s">
        <v>N/A</v>
        <stp/>
        <stp>VOLUME</stp>
        <stp>.SPY260109C688</stp>
        <tr r="L6" s="2"/>
      </tp>
      <tp t="s">
        <v>N/A</v>
        <stp/>
        <stp>VOLUME</stp>
        <stp>.SPY260109P689</stp>
        <tr r="L5" s="2"/>
      </tp>
      <tp t="s">
        <v>N/A</v>
        <stp/>
        <stp>VOLUME</stp>
        <stp>.SPY260109C689</stp>
        <tr r="L5" s="2"/>
      </tp>
      <tp t="s">
        <v>N/A</v>
        <stp/>
        <stp>VOLUME</stp>
        <stp>.SPY260109P684</stp>
        <tr r="L10" s="2"/>
      </tp>
      <tp t="s">
        <v>N/A</v>
        <stp/>
        <stp>VOLUME</stp>
        <stp>.SPY260109C684</stp>
        <tr r="L10" s="2"/>
      </tp>
      <tp t="s">
        <v>N/A</v>
        <stp/>
        <stp>VOLUME</stp>
        <stp>.SPY260109P685</stp>
        <tr r="L9" s="2"/>
      </tp>
      <tp t="s">
        <v>N/A</v>
        <stp/>
        <stp>VOLUME</stp>
        <stp>.SPY260109C685</stp>
        <tr r="L9" s="2"/>
      </tp>
      <tp t="s">
        <v>N/A</v>
        <stp/>
        <stp>VOLUME</stp>
        <stp>.SPY260109P686</stp>
        <tr r="L8" s="2"/>
      </tp>
      <tp t="s">
        <v>N/A</v>
        <stp/>
        <stp>VOLUME</stp>
        <stp>.SPY260109C686</stp>
        <tr r="L8" s="2"/>
      </tp>
      <tp t="s">
        <v>N/A</v>
        <stp/>
        <stp>VOLUME</stp>
        <stp>.SPY260109P687</stp>
        <tr r="L7" s="2"/>
      </tp>
      <tp t="s">
        <v>N/A</v>
        <stp/>
        <stp>VOLUME</stp>
        <stp>.SPY260109C687</stp>
        <tr r="L7" s="2"/>
      </tp>
      <tp t="s">
        <v>N/A</v>
        <stp/>
        <stp>VOLUME</stp>
        <stp>.SPY260109P680</stp>
        <tr r="L14" s="2"/>
      </tp>
      <tp t="s">
        <v>N/A</v>
        <stp/>
        <stp>VOLUME</stp>
        <stp>.SPY260109C680</stp>
        <tr r="L14" s="2"/>
      </tp>
      <tp t="s">
        <v>N/A</v>
        <stp/>
        <stp>VOLUME</stp>
        <stp>.SPY260109P681</stp>
        <tr r="L13" s="2"/>
      </tp>
      <tp t="s">
        <v>N/A</v>
        <stp/>
        <stp>VOLUME</stp>
        <stp>.SPY260109C681</stp>
        <tr r="L13" s="2"/>
      </tp>
      <tp t="s">
        <v>N/A</v>
        <stp/>
        <stp>VOLUME</stp>
        <stp>.SPY260109P682</stp>
        <tr r="L12" s="2"/>
      </tp>
      <tp t="s">
        <v>N/A</v>
        <stp/>
        <stp>VOLUME</stp>
        <stp>.SPY260109C682</stp>
        <tr r="L12" s="2"/>
      </tp>
      <tp t="s">
        <v>N/A</v>
        <stp/>
        <stp>VOLUME</stp>
        <stp>.SPY260109P683</stp>
        <tr r="L11" s="2"/>
      </tp>
      <tp t="s">
        <v>N/A</v>
        <stp/>
        <stp>VOLUME</stp>
        <stp>.SPY260109C683</stp>
        <tr r="L11" s="2"/>
      </tp>
      <tp>
        <v>13</v>
        <stp/>
        <stp>VOLUME</stp>
        <stp>.SPY260130P685</stp>
        <tr r="M9" s="2"/>
        <tr r="M9" s="2"/>
      </tp>
      <tp>
        <v>135</v>
        <stp/>
        <stp>VOLUME</stp>
        <stp>.SPY260130C685</stp>
        <tr r="M9" s="2"/>
        <tr r="M9" s="2"/>
      </tp>
      <tp>
        <v>14</v>
        <stp/>
        <stp>VOLUME</stp>
        <stp>.SPY260130P684</stp>
        <tr r="M10" s="2"/>
        <tr r="M10" s="2"/>
      </tp>
      <tp>
        <v>8</v>
        <stp/>
        <stp>VOLUME</stp>
        <stp>.SPY260130C684</stp>
        <tr r="M10" s="2"/>
        <tr r="M10" s="2"/>
      </tp>
      <tp>
        <v>29</v>
        <stp/>
        <stp>VOLUME</stp>
        <stp>.SPY260130P687</stp>
        <tr r="M7" s="2"/>
        <tr r="M7" s="2"/>
      </tp>
      <tp>
        <v>96</v>
        <stp/>
        <stp>VOLUME</stp>
        <stp>.SPY260130C687</stp>
        <tr r="M7" s="2"/>
        <tr r="M7" s="2"/>
      </tp>
      <tp>
        <v>35</v>
        <stp/>
        <stp>VOLUME</stp>
        <stp>.SPY260130P686</stp>
        <tr r="M8" s="2"/>
        <tr r="M8" s="2"/>
      </tp>
      <tp>
        <v>15</v>
        <stp/>
        <stp>VOLUME</stp>
        <stp>.SPY260130C686</stp>
        <tr r="M8" s="2"/>
        <tr r="M8" s="2"/>
      </tp>
      <tp t="s">
        <v>N/A</v>
        <stp/>
        <stp>VOLUME</stp>
        <stp>.SPY260130P681</stp>
        <tr r="M13" s="2"/>
      </tp>
      <tp>
        <v>9</v>
        <stp/>
        <stp>VOLUME</stp>
        <stp>.SPY260130C681</stp>
        <tr r="M13" s="2"/>
        <tr r="M13" s="2"/>
      </tp>
      <tp>
        <v>138</v>
        <stp/>
        <stp>VOLUME</stp>
        <stp>.SPY260130P680</stp>
        <tr r="M14" s="2"/>
        <tr r="M14" s="2"/>
      </tp>
      <tp>
        <v>220</v>
        <stp/>
        <stp>VOLUME</stp>
        <stp>.SPY260130C680</stp>
        <tr r="M14" s="2"/>
        <tr r="M14" s="2"/>
      </tp>
      <tp>
        <v>12</v>
        <stp/>
        <stp>VOLUME</stp>
        <stp>.SPY260130P683</stp>
        <tr r="M11" s="2"/>
        <tr r="M11" s="2"/>
      </tp>
      <tp>
        <v>27</v>
        <stp/>
        <stp>VOLUME</stp>
        <stp>.SPY260130C683</stp>
        <tr r="M11" s="2"/>
        <tr r="M11" s="2"/>
      </tp>
      <tp>
        <v>173</v>
        <stp/>
        <stp>VOLUME</stp>
        <stp>.SPY260130P682</stp>
        <tr r="M12" s="2"/>
        <tr r="M12" s="2"/>
      </tp>
      <tp>
        <v>15</v>
        <stp/>
        <stp>VOLUME</stp>
        <stp>.SPY260130C682</stp>
        <tr r="M12" s="2"/>
        <tr r="M12" s="2"/>
      </tp>
      <tp>
        <v>7</v>
        <stp/>
        <stp>VOLUME</stp>
        <stp>.SPY260130P689</stp>
        <tr r="M5" s="2"/>
        <tr r="M5" s="2"/>
      </tp>
      <tp>
        <v>24</v>
        <stp/>
        <stp>VOLUME</stp>
        <stp>.SPY260130C689</stp>
        <tr r="M5" s="2"/>
        <tr r="M5" s="2"/>
      </tp>
      <tp>
        <v>8</v>
        <stp/>
        <stp>VOLUME</stp>
        <stp>.SPY260130P688</stp>
        <tr r="M6" s="2"/>
        <tr r="M6" s="2"/>
      </tp>
      <tp>
        <v>70</v>
        <stp/>
        <stp>VOLUME</stp>
        <stp>.SPY260130C688</stp>
        <tr r="M6" s="2"/>
        <tr r="M6" s="2"/>
      </tp>
      <tp>
        <v>32</v>
        <stp/>
        <stp>VOLUME</stp>
        <stp>.SPY251121P687</stp>
        <tr r="U6" s="1"/>
        <tr r="U6" s="1"/>
      </tp>
      <tp>
        <v>1448</v>
        <stp/>
        <stp>VOLUME</stp>
        <stp>.SPY251121C687</stp>
        <tr r="T6" s="1"/>
        <tr r="T6" s="1"/>
      </tp>
      <tp>
        <v>84</v>
        <stp/>
        <stp>VOLUME</stp>
        <stp>.SPY251121P686</stp>
        <tr r="U7" s="1"/>
        <tr r="U7" s="1"/>
      </tp>
      <tp>
        <v>1800</v>
        <stp/>
        <stp>VOLUME</stp>
        <stp>.SPY251121C686</stp>
        <tr r="T7" s="1"/>
        <tr r="T7" s="1"/>
      </tp>
      <tp>
        <v>489</v>
        <stp/>
        <stp>VOLUME</stp>
        <stp>.SPY251121P685</stp>
        <tr r="U8" s="1"/>
        <tr r="U8" s="1"/>
      </tp>
      <tp>
        <v>12720</v>
        <stp/>
        <stp>VOLUME</stp>
        <stp>.SPY251121C685</stp>
        <tr r="T8" s="1"/>
        <tr r="T8" s="1"/>
      </tp>
      <tp>
        <v>60</v>
        <stp/>
        <stp>VOLUME</stp>
        <stp>.SPY251121P684</stp>
        <tr r="U9" s="1"/>
        <tr r="U9" s="1"/>
      </tp>
      <tp>
        <v>1539</v>
        <stp/>
        <stp>VOLUME</stp>
        <stp>.SPY251121C684</stp>
        <tr r="T9" s="1"/>
        <tr r="T9" s="1"/>
      </tp>
      <tp>
        <v>114</v>
        <stp/>
        <stp>VOLUME</stp>
        <stp>.SPY251121P683</stp>
        <tr r="U10" s="1"/>
        <tr r="U10" s="1"/>
      </tp>
      <tp>
        <v>1765</v>
        <stp/>
        <stp>VOLUME</stp>
        <stp>.SPY251121C683</stp>
        <tr r="T10" s="1"/>
        <tr r="T10" s="1"/>
      </tp>
      <tp>
        <v>450</v>
        <stp/>
        <stp>VOLUME</stp>
        <stp>.SPY251121P682</stp>
        <tr r="U11" s="1"/>
        <tr r="U11" s="1"/>
      </tp>
      <tp>
        <v>1613</v>
        <stp/>
        <stp>VOLUME</stp>
        <stp>.SPY251121C682</stp>
        <tr r="T11" s="1"/>
        <tr r="T11" s="1"/>
      </tp>
      <tp>
        <v>35</v>
        <stp/>
        <stp>VOLUME</stp>
        <stp>.SPY251121P681</stp>
        <tr r="U12" s="1"/>
        <tr r="U12" s="1"/>
      </tp>
      <tp>
        <v>84</v>
        <stp/>
        <stp>VOLUME</stp>
        <stp>.SPY251128P688</stp>
        <tr r="H6" s="2"/>
        <tr r="H6" s="2"/>
      </tp>
      <tp>
        <v>1424</v>
        <stp/>
        <stp>VOLUME</stp>
        <stp>.SPY251121C681</stp>
        <tr r="T12" s="1"/>
        <tr r="T12" s="1"/>
      </tp>
      <tp>
        <v>587</v>
        <stp/>
        <stp>VOLUME</stp>
        <stp>.SPY251128C688</stp>
        <tr r="H6" s="2"/>
        <tr r="H6" s="2"/>
      </tp>
      <tp>
        <v>2226</v>
        <stp/>
        <stp>VOLUME</stp>
        <stp>.SPY251121P680</stp>
        <tr r="U13" s="1"/>
        <tr r="U13" s="1"/>
      </tp>
      <tp>
        <v>31</v>
        <stp/>
        <stp>VOLUME</stp>
        <stp>.SPY251128P689</stp>
        <tr r="H5" s="2"/>
        <tr r="H5" s="2"/>
      </tp>
      <tp>
        <v>16301</v>
        <stp/>
        <stp>VOLUME</stp>
        <stp>.SPY251121C680</stp>
        <tr r="T13" s="1"/>
        <tr r="T13" s="1"/>
      </tp>
      <tp>
        <v>606</v>
        <stp/>
        <stp>VOLUME</stp>
        <stp>.SPY251128C689</stp>
        <tr r="H5" s="2"/>
        <tr r="H5" s="2"/>
      </tp>
      <tp>
        <v>35</v>
        <stp/>
        <stp>VOLUME</stp>
        <stp>.SPY251128P686</stp>
        <tr r="H8" s="2"/>
        <tr r="H8" s="2"/>
      </tp>
      <tp>
        <v>597</v>
        <stp/>
        <stp>VOLUME</stp>
        <stp>.SPY251128C686</stp>
        <tr r="H8" s="2"/>
        <tr r="H8" s="2"/>
      </tp>
      <tp>
        <v>410</v>
        <stp/>
        <stp>VOLUME</stp>
        <stp>.SPY251128P687</stp>
        <tr r="H7" s="2"/>
        <tr r="H7" s="2"/>
      </tp>
      <tp>
        <v>347</v>
        <stp/>
        <stp>VOLUME</stp>
        <stp>.SPY251128C687</stp>
        <tr r="H7" s="2"/>
        <tr r="H7" s="2"/>
      </tp>
      <tp>
        <v>199</v>
        <stp/>
        <stp>VOLUME</stp>
        <stp>.SPY251128P684</stp>
        <tr r="H10" s="2"/>
        <tr r="H10" s="2"/>
      </tp>
      <tp>
        <v>328</v>
        <stp/>
        <stp>VOLUME</stp>
        <stp>.SPY251128C684</stp>
        <tr r="H10" s="2"/>
        <tr r="H10" s="2"/>
      </tp>
      <tp>
        <v>233</v>
        <stp/>
        <stp>VOLUME</stp>
        <stp>.SPY251128P685</stp>
        <tr r="H9" s="2"/>
        <tr r="H9" s="2"/>
      </tp>
      <tp>
        <v>3874</v>
        <stp/>
        <stp>VOLUME</stp>
        <stp>.SPY251128C685</stp>
        <tr r="H9" s="2"/>
        <tr r="H9" s="2"/>
      </tp>
      <tp>
        <v>178</v>
        <stp/>
        <stp>VOLUME</stp>
        <stp>.SPY251128P682</stp>
        <tr r="H12" s="2"/>
        <tr r="H12" s="2"/>
      </tp>
      <tp>
        <v>514</v>
        <stp/>
        <stp>VOLUME</stp>
        <stp>.SPY251128C682</stp>
        <tr r="H12" s="2"/>
        <tr r="H12" s="2"/>
      </tp>
      <tp>
        <v>77</v>
        <stp/>
        <stp>VOLUME</stp>
        <stp>.SPY251128P683</stp>
        <tr r="H11" s="2"/>
        <tr r="H11" s="2"/>
      </tp>
      <tp>
        <v>400</v>
        <stp/>
        <stp>VOLUME</stp>
        <stp>.SPY251128C683</stp>
        <tr r="H11" s="2"/>
        <tr r="H11" s="2"/>
      </tp>
      <tp>
        <v>73</v>
        <stp/>
        <stp>VOLUME</stp>
        <stp>.SPY251121P689</stp>
        <tr r="U4" s="1"/>
        <tr r="U4" s="1"/>
      </tp>
      <tp>
        <v>1049</v>
        <stp/>
        <stp>VOLUME</stp>
        <stp>.SPY251128P680</stp>
        <tr r="H14" s="2"/>
        <tr r="H14" s="2"/>
      </tp>
      <tp>
        <v>1140</v>
        <stp/>
        <stp>VOLUME</stp>
        <stp>.SPY251121C689</stp>
        <tr r="T4" s="1"/>
        <tr r="T4" s="1"/>
      </tp>
      <tp>
        <v>4721</v>
        <stp/>
        <stp>VOLUME</stp>
        <stp>.SPY251128C680</stp>
        <tr r="H14" s="2"/>
        <tr r="H14" s="2"/>
      </tp>
      <tp>
        <v>270</v>
        <stp/>
        <stp>VOLUME</stp>
        <stp>.SPY251121P688</stp>
        <tr r="U5" s="1"/>
        <tr r="U5" s="1"/>
      </tp>
      <tp>
        <v>19</v>
        <stp/>
        <stp>VOLUME</stp>
        <stp>.SPY251128P681</stp>
        <tr r="H13" s="2"/>
        <tr r="H13" s="2"/>
      </tp>
      <tp>
        <v>3042</v>
        <stp/>
        <stp>VOLUME</stp>
        <stp>.SPY251121C688</stp>
        <tr r="T5" s="1"/>
        <tr r="T5" s="1"/>
      </tp>
      <tp>
        <v>403</v>
        <stp/>
        <stp>VOLUME</stp>
        <stp>.SPY251128C681</stp>
        <tr r="H13" s="2"/>
        <tr r="H13" s="2"/>
      </tp>
      <tp>
        <v>175</v>
        <stp/>
        <stp>VOLUME</stp>
        <stp>.SPY251121P677</stp>
        <tr r="U16" s="1"/>
        <tr r="U16" s="1"/>
      </tp>
      <tp>
        <v>134</v>
        <stp/>
        <stp>VOLUME</stp>
        <stp>.SPY260130P665</stp>
        <tr r="M29" s="2"/>
        <tr r="M29" s="2"/>
      </tp>
      <tp>
        <v>195</v>
        <stp/>
        <stp>VOLUME</stp>
        <stp>.SPY260130C665</stp>
        <tr r="M29" s="2"/>
        <tr r="M29" s="2"/>
      </tp>
      <tp>
        <v>1831</v>
        <stp/>
        <stp>VOLUME</stp>
        <stp>.SPY251121C677</stp>
        <tr r="T16" s="1"/>
        <tr r="T16" s="1"/>
      </tp>
      <tp>
        <v>238</v>
        <stp/>
        <stp>VOLUME</stp>
        <stp>.SPY251121P676</stp>
        <tr r="U17" s="1"/>
        <tr r="U17" s="1"/>
      </tp>
      <tp>
        <v>81</v>
        <stp/>
        <stp>VOLUME</stp>
        <stp>.SPY260130P664</stp>
        <tr r="M30" s="2"/>
        <tr r="M30" s="2"/>
      </tp>
      <tp>
        <v>133</v>
        <stp/>
        <stp>VOLUME</stp>
        <stp>.SPY260130C664</stp>
        <tr r="M30" s="2"/>
        <tr r="M30" s="2"/>
      </tp>
      <tp>
        <v>777</v>
        <stp/>
        <stp>VOLUME</stp>
        <stp>.SPY251121C676</stp>
        <tr r="T17" s="1"/>
        <tr r="T17" s="1"/>
      </tp>
      <tp>
        <v>11700</v>
        <stp/>
        <stp>VOLUME</stp>
        <stp>.SPY251121P675</stp>
        <tr r="U18" s="1"/>
        <tr r="U18" s="1"/>
      </tp>
      <tp>
        <v>63</v>
        <stp/>
        <stp>VOLUME</stp>
        <stp>.SPY260130P667</stp>
        <tr r="M27" s="2"/>
        <tr r="M27" s="2"/>
      </tp>
      <tp>
        <v>122</v>
        <stp/>
        <stp>VOLUME</stp>
        <stp>.SPY260130C667</stp>
        <tr r="M27" s="2"/>
        <tr r="M27" s="2"/>
      </tp>
      <tp>
        <v>22400</v>
        <stp/>
        <stp>VOLUME</stp>
        <stp>.SPY251121C675</stp>
        <tr r="T18" s="1"/>
        <tr r="T18" s="1"/>
      </tp>
      <tp>
        <v>223</v>
        <stp/>
        <stp>VOLUME</stp>
        <stp>.SPY251121P674</stp>
        <tr r="U19" s="1"/>
        <tr r="U19" s="1"/>
      </tp>
      <tp>
        <v>60</v>
        <stp/>
        <stp>VOLUME</stp>
        <stp>.SPY260130P666</stp>
        <tr r="M28" s="2"/>
        <tr r="M28" s="2"/>
      </tp>
      <tp>
        <v>52</v>
        <stp/>
        <stp>VOLUME</stp>
        <stp>.SPY260130C666</stp>
        <tr r="M28" s="2"/>
        <tr r="M28" s="2"/>
      </tp>
      <tp>
        <v>1610</v>
        <stp/>
        <stp>VOLUME</stp>
        <stp>.SPY251121C674</stp>
        <tr r="T19" s="1"/>
        <tr r="T19" s="1"/>
      </tp>
      <tp>
        <v>646</v>
        <stp/>
        <stp>VOLUME</stp>
        <stp>.SPY251121P673</stp>
        <tr r="U20" s="1"/>
        <tr r="U20" s="1"/>
      </tp>
      <tp t="s">
        <v>N/A</v>
        <stp/>
        <stp>VOLUME</stp>
        <stp>.SPY260109P658</stp>
        <tr r="L36" s="2"/>
      </tp>
      <tp>
        <v>3</v>
        <stp/>
        <stp>VOLUME</stp>
        <stp>.SPY260130P661</stp>
        <tr r="M33" s="2"/>
        <tr r="M33" s="2"/>
      </tp>
      <tp t="s">
        <v>N/A</v>
        <stp/>
        <stp>VOLUME</stp>
        <stp>.SPY260109C658</stp>
        <tr r="L36" s="2"/>
      </tp>
      <tp>
        <v>62</v>
        <stp/>
        <stp>VOLUME</stp>
        <stp>.SPY260130C661</stp>
        <tr r="M33" s="2"/>
        <tr r="M33" s="2"/>
      </tp>
      <tp>
        <v>2134</v>
        <stp/>
        <stp>VOLUME</stp>
        <stp>.SPY251121C673</stp>
        <tr r="T20" s="1"/>
        <tr r="T20" s="1"/>
      </tp>
      <tp>
        <v>1558</v>
        <stp/>
        <stp>VOLUME</stp>
        <stp>.SPY251121P672</stp>
        <tr r="U21" s="1"/>
        <tr r="U21" s="1"/>
      </tp>
      <tp t="s">
        <v>N/A</v>
        <stp/>
        <stp>VOLUME</stp>
        <stp>.SPY260109P659</stp>
        <tr r="L35" s="2"/>
      </tp>
      <tp>
        <v>157</v>
        <stp/>
        <stp>VOLUME</stp>
        <stp>.SPY260130P660</stp>
        <tr r="M34" s="2"/>
        <tr r="M34" s="2"/>
      </tp>
      <tp t="s">
        <v>N/A</v>
        <stp/>
        <stp>VOLUME</stp>
        <stp>.SPY260109C659</stp>
        <tr r="L35" s="2"/>
      </tp>
      <tp>
        <v>109</v>
        <stp/>
        <stp>VOLUME</stp>
        <stp>.SPY260130C660</stp>
        <tr r="M34" s="2"/>
        <tr r="M34" s="2"/>
      </tp>
      <tp>
        <v>2323</v>
        <stp/>
        <stp>VOLUME</stp>
        <stp>.SPY251121C672</stp>
        <tr r="T21" s="1"/>
        <tr r="T21" s="1"/>
      </tp>
      <tp>
        <v>2187</v>
        <stp/>
        <stp>VOLUME</stp>
        <stp>.SPY251121P671</stp>
        <tr r="U22" s="1"/>
        <tr r="U22" s="1"/>
      </tp>
      <tp>
        <v>233</v>
        <stp/>
        <stp>VOLUME</stp>
        <stp>.SPY251128P678</stp>
        <tr r="H16" s="2"/>
        <tr r="H16" s="2"/>
      </tp>
      <tp>
        <v>245</v>
        <stp/>
        <stp>VOLUME</stp>
        <stp>.SPY260130P663</stp>
        <tr r="M31" s="2"/>
        <tr r="M31" s="2"/>
      </tp>
      <tp>
        <v>20</v>
        <stp/>
        <stp>VOLUME</stp>
        <stp>.SPY260130C663</stp>
        <tr r="M31" s="2"/>
        <tr r="M31" s="2"/>
      </tp>
      <tp>
        <v>2185</v>
        <stp/>
        <stp>VOLUME</stp>
        <stp>.SPY251121C671</stp>
        <tr r="T22" s="1"/>
        <tr r="T22" s="1"/>
      </tp>
      <tp>
        <v>752</v>
        <stp/>
        <stp>VOLUME</stp>
        <stp>.SPY251128C678</stp>
        <tr r="H16" s="2"/>
        <tr r="H16" s="2"/>
      </tp>
      <tp>
        <v>12487</v>
        <stp/>
        <stp>VOLUME</stp>
        <stp>.SPY251121P670</stp>
        <tr r="U23" s="1"/>
        <tr r="U23" s="1"/>
      </tp>
      <tp>
        <v>94</v>
        <stp/>
        <stp>VOLUME</stp>
        <stp>.SPY251128P679</stp>
        <tr r="H15" s="2"/>
        <tr r="H15" s="2"/>
      </tp>
      <tp>
        <v>33</v>
        <stp/>
        <stp>VOLUME</stp>
        <stp>.SPY260130P662</stp>
        <tr r="M32" s="2"/>
        <tr r="M32" s="2"/>
      </tp>
      <tp>
        <v>95</v>
        <stp/>
        <stp>VOLUME</stp>
        <stp>.SPY260130C662</stp>
        <tr r="M32" s="2"/>
        <tr r="M32" s="2"/>
      </tp>
      <tp>
        <v>13867</v>
        <stp/>
        <stp>VOLUME</stp>
        <stp>.SPY251121C670</stp>
        <tr r="T23" s="1"/>
        <tr r="T23" s="1"/>
      </tp>
      <tp>
        <v>472</v>
        <stp/>
        <stp>VOLUME</stp>
        <stp>.SPY251128C679</stp>
        <tr r="H15" s="2"/>
        <tr r="H15" s="2"/>
      </tp>
      <tp>
        <v>90</v>
        <stp/>
        <stp>VOLUME</stp>
        <stp>.SPY251128P676</stp>
        <tr r="H18" s="2"/>
        <tr r="H18" s="2"/>
      </tp>
      <tp>
        <v>484</v>
        <stp/>
        <stp>VOLUME</stp>
        <stp>.SPY251128C676</stp>
        <tr r="H18" s="2"/>
        <tr r="H18" s="2"/>
      </tp>
      <tp>
        <v>517</v>
        <stp/>
        <stp>VOLUME</stp>
        <stp>.SPY251128P677</stp>
        <tr r="H17" s="2"/>
        <tr r="H17" s="2"/>
      </tp>
      <tp t="s">
        <v>N/A</v>
        <stp/>
        <stp>VOLUME</stp>
        <stp>.SPY260109P655</stp>
        <tr r="L39" s="2"/>
      </tp>
      <tp t="s">
        <v>N/A</v>
        <stp/>
        <stp>VOLUME</stp>
        <stp>.SPY260109C655</stp>
        <tr r="L39" s="2"/>
      </tp>
      <tp>
        <v>1246</v>
        <stp/>
        <stp>VOLUME</stp>
        <stp>.SPY251128C677</stp>
        <tr r="H17" s="2"/>
        <tr r="H17" s="2"/>
      </tp>
      <tp>
        <v>672</v>
        <stp/>
        <stp>VOLUME</stp>
        <stp>.SPY251128P674</stp>
        <tr r="H20" s="2"/>
        <tr r="H20" s="2"/>
      </tp>
      <tp t="s">
        <v>N/A</v>
        <stp/>
        <stp>VOLUME</stp>
        <stp>.SPY260109P656</stp>
        <tr r="L38" s="2"/>
      </tp>
      <tp t="s">
        <v>N/A</v>
        <stp/>
        <stp>VOLUME</stp>
        <stp>.SPY260109C656</stp>
        <tr r="L38" s="2"/>
      </tp>
      <tp>
        <v>808</v>
        <stp/>
        <stp>VOLUME</stp>
        <stp>.SPY251128C674</stp>
        <tr r="H20" s="2"/>
        <tr r="H20" s="2"/>
      </tp>
      <tp>
        <v>495</v>
        <stp/>
        <stp>VOLUME</stp>
        <stp>.SPY251128P675</stp>
        <tr r="H19" s="2"/>
        <tr r="H19" s="2"/>
      </tp>
      <tp t="s">
        <v>N/A</v>
        <stp/>
        <stp>VOLUME</stp>
        <stp>.SPY260109P657</stp>
        <tr r="L37" s="2"/>
      </tp>
      <tp t="s">
        <v>N/A</v>
        <stp/>
        <stp>VOLUME</stp>
        <stp>.SPY260109C657</stp>
        <tr r="L37" s="2"/>
      </tp>
      <tp>
        <v>2961</v>
        <stp/>
        <stp>VOLUME</stp>
        <stp>.SPY251128C675</stp>
        <tr r="H19" s="2"/>
        <tr r="H19" s="2"/>
      </tp>
      <tp>
        <v>609</v>
        <stp/>
        <stp>VOLUME</stp>
        <stp>.SPY251128P672</stp>
        <tr r="H22" s="2"/>
        <tr r="H22" s="2"/>
      </tp>
      <tp>
        <v>52</v>
        <stp/>
        <stp>VOLUME</stp>
        <stp>.SPY260130P669</stp>
        <tr r="M25" s="2"/>
        <tr r="M25" s="2"/>
      </tp>
      <tp>
        <v>19</v>
        <stp/>
        <stp>VOLUME</stp>
        <stp>.SPY260130C669</stp>
        <tr r="M25" s="2"/>
        <tr r="M25" s="2"/>
      </tp>
      <tp>
        <v>659</v>
        <stp/>
        <stp>VOLUME</stp>
        <stp>.SPY251128C672</stp>
        <tr r="H22" s="2"/>
        <tr r="H22" s="2"/>
      </tp>
      <tp>
        <v>153</v>
        <stp/>
        <stp>VOLUME</stp>
        <stp>.SPY251128P673</stp>
        <tr r="H21" s="2"/>
        <tr r="H21" s="2"/>
      </tp>
      <tp>
        <v>38</v>
        <stp/>
        <stp>VOLUME</stp>
        <stp>.SPY260130P668</stp>
        <tr r="M26" s="2"/>
        <tr r="M26" s="2"/>
      </tp>
      <tp>
        <v>41</v>
        <stp/>
        <stp>VOLUME</stp>
        <stp>.SPY260130C668</stp>
        <tr r="M26" s="2"/>
        <tr r="M26" s="2"/>
      </tp>
      <tp>
        <v>694</v>
        <stp/>
        <stp>VOLUME</stp>
        <stp>.SPY251128C673</stp>
        <tr r="H21" s="2"/>
        <tr r="H21" s="2"/>
      </tp>
      <tp>
        <v>1102</v>
        <stp/>
        <stp>VOLUME</stp>
        <stp>.SPY251121P679</stp>
        <tr r="U14" s="1"/>
        <tr r="U14" s="1"/>
      </tp>
      <tp>
        <v>2849</v>
        <stp/>
        <stp>VOLUME</stp>
        <stp>.SPY251128P670</stp>
        <tr r="H24" s="2"/>
        <tr r="H24" s="2"/>
      </tp>
      <tp>
        <v>1375</v>
        <stp/>
        <stp>VOLUME</stp>
        <stp>.SPY251121C679</stp>
        <tr r="T14" s="1"/>
        <tr r="T14" s="1"/>
      </tp>
      <tp>
        <v>2031</v>
        <stp/>
        <stp>VOLUME</stp>
        <stp>.SPY251128C670</stp>
        <tr r="H24" s="2"/>
        <tr r="H24" s="2"/>
      </tp>
      <tp>
        <v>1134</v>
        <stp/>
        <stp>VOLUME</stp>
        <stp>.SPY251121P678</stp>
        <tr r="U15" s="1"/>
        <tr r="U15" s="1"/>
      </tp>
      <tp>
        <v>478</v>
        <stp/>
        <stp>VOLUME</stp>
        <stp>.SPY251128P671</stp>
        <tr r="H23" s="2"/>
        <tr r="H23" s="2"/>
      </tp>
      <tp>
        <v>1992</v>
        <stp/>
        <stp>VOLUME</stp>
        <stp>.SPY251121C678</stp>
        <tr r="T15" s="1"/>
        <tr r="T15" s="1"/>
      </tp>
      <tp>
        <v>539</v>
        <stp/>
        <stp>VOLUME</stp>
        <stp>.SPY251128C671</stp>
        <tr r="H23" s="2"/>
        <tr r="H23" s="2"/>
      </tp>
      <tp>
        <v>28756</v>
        <stp/>
        <stp>VOLUME</stp>
        <stp>.SPY251110P656</stp>
        <tr r="B38" s="2"/>
        <tr r="B38" s="2"/>
        <tr r="Q37" s="1"/>
        <tr r="Q37" s="1"/>
      </tp>
      <tp>
        <v>2462</v>
        <stp/>
        <stp>VOLUME</stp>
        <stp>.SPY251111P657</stp>
        <tr r="C37" s="2"/>
        <tr r="C37" s="2"/>
      </tp>
      <tp>
        <v>1162</v>
        <stp/>
        <stp>VOLUME</stp>
        <stp>.SPY251113P655</stp>
        <tr r="E39" s="2"/>
        <tr r="E39" s="2"/>
      </tp>
      <tp>
        <v>5335</v>
        <stp/>
        <stp>VOLUME</stp>
        <stp>.SPY251121P667</stp>
        <tr r="U26" s="1"/>
        <tr r="U26" s="1"/>
      </tp>
      <tp>
        <v>80</v>
        <stp/>
        <stp>VOLUME</stp>
        <stp>.SPY260130P675</stp>
        <tr r="M19" s="2"/>
        <tr r="M19" s="2"/>
      </tp>
      <tp>
        <v>397</v>
        <stp/>
        <stp>VOLUME</stp>
        <stp>.SPY260130C675</stp>
        <tr r="M19" s="2"/>
        <tr r="M19" s="2"/>
      </tp>
      <tp>
        <v>438</v>
        <stp/>
        <stp>VOLUME</stp>
        <stp>.SPY251110C656</stp>
        <tr r="B38" s="2"/>
        <tr r="B38" s="2"/>
        <tr r="P37" s="1"/>
        <tr r="P37" s="1"/>
      </tp>
      <tp>
        <v>222</v>
        <stp/>
        <stp>VOLUME</stp>
        <stp>.SPY251111C657</stp>
        <tr r="C37" s="2"/>
        <tr r="C37" s="2"/>
      </tp>
      <tp>
        <v>146</v>
        <stp/>
        <stp>VOLUME</stp>
        <stp>.SPY251113C655</stp>
        <tr r="E39" s="2"/>
        <tr r="E39" s="2"/>
      </tp>
      <tp>
        <v>2340</v>
        <stp/>
        <stp>VOLUME</stp>
        <stp>.SPY251121C667</stp>
        <tr r="T26" s="1"/>
        <tr r="T26" s="1"/>
      </tp>
      <tp>
        <v>20540</v>
        <stp/>
        <stp>VOLUME</stp>
        <stp>.SPY251110P657</stp>
        <tr r="B37" s="2"/>
        <tr r="B37" s="2"/>
        <tr r="Q36" s="1"/>
        <tr r="Q36" s="1"/>
      </tp>
      <tp>
        <v>2079</v>
        <stp/>
        <stp>VOLUME</stp>
        <stp>.SPY251111P656</stp>
        <tr r="C38" s="2"/>
        <tr r="C38" s="2"/>
      </tp>
      <tp>
        <v>8260</v>
        <stp/>
        <stp>VOLUME</stp>
        <stp>.SPY251112P655</stp>
        <tr r="D39" s="2"/>
        <tr r="D39" s="2"/>
      </tp>
      <tp>
        <v>3206</v>
        <stp/>
        <stp>VOLUME</stp>
        <stp>.SPY251121P666</stp>
        <tr r="U27" s="1"/>
        <tr r="U27" s="1"/>
      </tp>
      <tp t="s">
        <v>N/A</v>
        <stp/>
        <stp>VOLUME</stp>
        <stp>.SPY260130P674</stp>
        <tr r="M20" s="2"/>
      </tp>
      <tp>
        <v>105</v>
        <stp/>
        <stp>VOLUME</stp>
        <stp>.SPY260130C674</stp>
        <tr r="M20" s="2"/>
        <tr r="M20" s="2"/>
      </tp>
      <tp>
        <v>321</v>
        <stp/>
        <stp>VOLUME</stp>
        <stp>.SPY251110C657</stp>
        <tr r="B37" s="2"/>
        <tr r="B37" s="2"/>
        <tr r="P36" s="1"/>
        <tr r="P36" s="1"/>
      </tp>
      <tp>
        <v>400</v>
        <stp/>
        <stp>VOLUME</stp>
        <stp>.SPY251111C656</stp>
        <tr r="C38" s="2"/>
        <tr r="C38" s="2"/>
      </tp>
      <tp>
        <v>39</v>
        <stp/>
        <stp>VOLUME</stp>
        <stp>.SPY251112C655</stp>
        <tr r="D39" s="2"/>
        <tr r="D39" s="2"/>
      </tp>
      <tp>
        <v>1934</v>
        <stp/>
        <stp>VOLUME</stp>
        <stp>.SPY251121C666</stp>
        <tr r="T27" s="1"/>
        <tr r="T27" s="1"/>
      </tp>
      <tp>
        <v>4861</v>
        <stp/>
        <stp>VOLUME</stp>
        <stp>.SPY251111P655</stp>
        <tr r="C39" s="2"/>
        <tr r="C39" s="2"/>
      </tp>
      <tp>
        <v>1998</v>
        <stp/>
        <stp>VOLUME</stp>
        <stp>.SPY251112P656</stp>
        <tr r="D38" s="2"/>
        <tr r="D38" s="2"/>
      </tp>
      <tp>
        <v>4207</v>
        <stp/>
        <stp>VOLUME</stp>
        <stp>.SPY251113P657</stp>
        <tr r="E37" s="2"/>
        <tr r="E37" s="2"/>
      </tp>
      <tp>
        <v>15617</v>
        <stp/>
        <stp>VOLUME</stp>
        <stp>.SPY251121P665</stp>
        <tr r="U28" s="1"/>
        <tr r="U28" s="1"/>
      </tp>
      <tp>
        <v>103</v>
        <stp/>
        <stp>VOLUME</stp>
        <stp>.SPY260130P677</stp>
        <tr r="M17" s="2"/>
        <tr r="M17" s="2"/>
      </tp>
      <tp>
        <v>49</v>
        <stp/>
        <stp>VOLUME</stp>
        <stp>.SPY260130C677</stp>
        <tr r="M17" s="2"/>
        <tr r="M17" s="2"/>
      </tp>
      <tp>
        <v>137</v>
        <stp/>
        <stp>VOLUME</stp>
        <stp>.SPY251111C655</stp>
        <tr r="C39" s="2"/>
        <tr r="C39" s="2"/>
      </tp>
      <tp>
        <v>77</v>
        <stp/>
        <stp>VOLUME</stp>
        <stp>.SPY251112C656</stp>
        <tr r="D38" s="2"/>
        <tr r="D38" s="2"/>
      </tp>
      <tp>
        <v>147</v>
        <stp/>
        <stp>VOLUME</stp>
        <stp>.SPY251113C657</stp>
        <tr r="E37" s="2"/>
        <tr r="E37" s="2"/>
      </tp>
      <tp>
        <v>5196</v>
        <stp/>
        <stp>VOLUME</stp>
        <stp>.SPY251121C665</stp>
        <tr r="T28" s="1"/>
        <tr r="T28" s="1"/>
      </tp>
      <tp>
        <v>26191</v>
        <stp/>
        <stp>VOLUME</stp>
        <stp>.SPY251110P655</stp>
        <tr r="Q38" s="1"/>
        <tr r="Q38" s="1"/>
        <tr r="B39" s="2"/>
        <tr r="B39" s="2"/>
      </tp>
      <tp>
        <v>6169</v>
        <stp/>
        <stp>VOLUME</stp>
        <stp>.SPY251112P657</stp>
        <tr r="D37" s="2"/>
        <tr r="D37" s="2"/>
      </tp>
      <tp>
        <v>674</v>
        <stp/>
        <stp>VOLUME</stp>
        <stp>.SPY251113P656</stp>
        <tr r="E38" s="2"/>
        <tr r="E38" s="2"/>
      </tp>
      <tp>
        <v>3764</v>
        <stp/>
        <stp>VOLUME</stp>
        <stp>.SPY251121P664</stp>
        <tr r="U29" s="1"/>
        <tr r="U29" s="1"/>
      </tp>
      <tp>
        <v>9</v>
        <stp/>
        <stp>VOLUME</stp>
        <stp>.SPY260130P676</stp>
        <tr r="M18" s="2"/>
        <tr r="M18" s="2"/>
      </tp>
      <tp>
        <v>50</v>
        <stp/>
        <stp>VOLUME</stp>
        <stp>.SPY260130C676</stp>
        <tr r="M18" s="2"/>
        <tr r="M18" s="2"/>
      </tp>
      <tp>
        <v>600</v>
        <stp/>
        <stp>VOLUME</stp>
        <stp>.SPY251110C655</stp>
        <tr r="B39" s="2"/>
        <tr r="B39" s="2"/>
        <tr r="P38" s="1"/>
        <tr r="P38" s="1"/>
      </tp>
      <tp>
        <v>84</v>
        <stp/>
        <stp>VOLUME</stp>
        <stp>.SPY251112C657</stp>
        <tr r="D37" s="2"/>
        <tr r="D37" s="2"/>
      </tp>
      <tp>
        <v>168</v>
        <stp/>
        <stp>VOLUME</stp>
        <stp>.SPY251113C656</stp>
        <tr r="E38" s="2"/>
        <tr r="E38" s="2"/>
      </tp>
      <tp>
        <v>2405</v>
        <stp/>
        <stp>VOLUME</stp>
        <stp>.SPY251121C664</stp>
        <tr r="T29" s="1"/>
        <tr r="T29" s="1"/>
      </tp>
      <tp>
        <v>2984</v>
        <stp/>
        <stp>VOLUME</stp>
        <stp>.SPY251114P656</stp>
        <tr r="S37" s="1"/>
        <tr r="S37" s="1"/>
      </tp>
      <tp>
        <v>5488</v>
        <stp/>
        <stp>VOLUME</stp>
        <stp>.SPY251121P663</stp>
        <tr r="U30" s="1"/>
        <tr r="U30" s="1"/>
      </tp>
      <tp>
        <v>5</v>
        <stp/>
        <stp>VOLUME</stp>
        <stp>.SPY260130P671</stp>
        <tr r="M23" s="2"/>
        <tr r="M23" s="2"/>
      </tp>
      <tp>
        <v>23</v>
        <stp/>
        <stp>VOLUME</stp>
        <stp>.SPY260130C671</stp>
        <tr r="M23" s="2"/>
        <tr r="M23" s="2"/>
      </tp>
      <tp>
        <v>90</v>
        <stp/>
        <stp>VOLUME</stp>
        <stp>.SPY251114C656</stp>
        <tr r="R37" s="1"/>
        <tr r="R37" s="1"/>
      </tp>
      <tp>
        <v>3618</v>
        <stp/>
        <stp>VOLUME</stp>
        <stp>.SPY251121C663</stp>
        <tr r="T30" s="1"/>
        <tr r="T30" s="1"/>
      </tp>
      <tp>
        <v>1924</v>
        <stp/>
        <stp>VOLUME</stp>
        <stp>.SPY251114P657</stp>
        <tr r="S36" s="1"/>
        <tr r="S36" s="1"/>
      </tp>
      <tp>
        <v>5597</v>
        <stp/>
        <stp>VOLUME</stp>
        <stp>.SPY251121P662</stp>
        <tr r="U31" s="1"/>
        <tr r="U31" s="1"/>
      </tp>
      <tp>
        <v>387</v>
        <stp/>
        <stp>VOLUME</stp>
        <stp>.SPY260130P670</stp>
        <tr r="M24" s="2"/>
        <tr r="M24" s="2"/>
      </tp>
      <tp>
        <v>204</v>
        <stp/>
        <stp>VOLUME</stp>
        <stp>.SPY260130C670</stp>
        <tr r="M24" s="2"/>
        <tr r="M24" s="2"/>
      </tp>
      <tp>
        <v>416</v>
        <stp/>
        <stp>VOLUME</stp>
        <stp>.SPY251114C657</stp>
        <tr r="R36" s="1"/>
        <tr r="R36" s="1"/>
      </tp>
      <tp>
        <v>1012</v>
        <stp/>
        <stp>VOLUME</stp>
        <stp>.SPY251121C662</stp>
        <tr r="T31" s="1"/>
        <tr r="T31" s="1"/>
      </tp>
      <tp>
        <v>1904</v>
        <stp/>
        <stp>VOLUME</stp>
        <stp>.SPY251121P661</stp>
        <tr r="U32" s="1"/>
        <tr r="U32" s="1"/>
      </tp>
      <tp>
        <v>478</v>
        <stp/>
        <stp>VOLUME</stp>
        <stp>.SPY251128P668</stp>
        <tr r="H26" s="2"/>
        <tr r="H26" s="2"/>
      </tp>
      <tp>
        <v>104</v>
        <stp/>
        <stp>VOLUME</stp>
        <stp>.SPY260130P673</stp>
        <tr r="M21" s="2"/>
        <tr r="M21" s="2"/>
      </tp>
      <tp>
        <v>9</v>
        <stp/>
        <stp>VOLUME</stp>
        <stp>.SPY260130C673</stp>
        <tr r="M21" s="2"/>
        <tr r="M21" s="2"/>
      </tp>
      <tp>
        <v>417</v>
        <stp/>
        <stp>VOLUME</stp>
        <stp>.SPY251121C661</stp>
        <tr r="T32" s="1"/>
        <tr r="T32" s="1"/>
      </tp>
      <tp>
        <v>1680</v>
        <stp/>
        <stp>VOLUME</stp>
        <stp>.SPY251128C668</stp>
        <tr r="H26" s="2"/>
        <tr r="H26" s="2"/>
      </tp>
      <tp>
        <v>13548</v>
        <stp/>
        <stp>VOLUME</stp>
        <stp>.SPY251114P655</stp>
        <tr r="S38" s="1"/>
        <tr r="S38" s="1"/>
      </tp>
      <tp>
        <v>19536</v>
        <stp/>
        <stp>VOLUME</stp>
        <stp>.SPY251121P660</stp>
        <tr r="U33" s="1"/>
        <tr r="U33" s="1"/>
      </tp>
      <tp>
        <v>573</v>
        <stp/>
        <stp>VOLUME</stp>
        <stp>.SPY251128P669</stp>
        <tr r="H25" s="2"/>
        <tr r="H25" s="2"/>
      </tp>
      <tp>
        <v>233</v>
        <stp/>
        <stp>VOLUME</stp>
        <stp>.SPY260130P672</stp>
        <tr r="M22" s="2"/>
        <tr r="M22" s="2"/>
      </tp>
      <tp>
        <v>14</v>
        <stp/>
        <stp>VOLUME</stp>
        <stp>.SPY260130C672</stp>
        <tr r="M22" s="2"/>
        <tr r="M22" s="2"/>
      </tp>
      <tp>
        <v>421</v>
        <stp/>
        <stp>VOLUME</stp>
        <stp>.SPY251114C655</stp>
        <tr r="R38" s="1"/>
        <tr r="R38" s="1"/>
      </tp>
      <tp>
        <v>1514</v>
        <stp/>
        <stp>VOLUME</stp>
        <stp>.SPY251121C660</stp>
        <tr r="T33" s="1"/>
        <tr r="T33" s="1"/>
      </tp>
      <tp>
        <v>684</v>
        <stp/>
        <stp>VOLUME</stp>
        <stp>.SPY251128C669</stp>
        <tr r="H25" s="2"/>
        <tr r="H25" s="2"/>
      </tp>
      <tp>
        <v>405</v>
        <stp/>
        <stp>VOLUME</stp>
        <stp>.SPY251128P666</stp>
        <tr r="H28" s="2"/>
        <tr r="H28" s="2"/>
      </tp>
      <tp>
        <v>1022</v>
        <stp/>
        <stp>VOLUME</stp>
        <stp>.SPY251128C666</stp>
        <tr r="H28" s="2"/>
        <tr r="H28" s="2"/>
      </tp>
      <tp>
        <v>442</v>
        <stp/>
        <stp>VOLUME</stp>
        <stp>.SPY251128P667</stp>
        <tr r="H27" s="2"/>
        <tr r="H27" s="2"/>
      </tp>
      <tp>
        <v>453</v>
        <stp/>
        <stp>VOLUME</stp>
        <stp>.SPY251128C667</stp>
        <tr r="H27" s="2"/>
        <tr r="H27" s="2"/>
      </tp>
      <tp>
        <v>7863</v>
        <stp/>
        <stp>VOLUME</stp>
        <stp>.SPY251114P658</stp>
        <tr r="S35" s="1"/>
        <tr r="S35" s="1"/>
      </tp>
      <tp>
        <v>575</v>
        <stp/>
        <stp>VOLUME</stp>
        <stp>.SPY251128P664</stp>
        <tr r="H30" s="2"/>
        <tr r="H30" s="2"/>
      </tp>
      <tp>
        <v>61</v>
        <stp/>
        <stp>VOLUME</stp>
        <stp>.SPY251114C658</stp>
        <tr r="R35" s="1"/>
        <tr r="R35" s="1"/>
      </tp>
      <tp>
        <v>842</v>
        <stp/>
        <stp>VOLUME</stp>
        <stp>.SPY251128C664</stp>
        <tr r="H30" s="2"/>
        <tr r="H30" s="2"/>
      </tp>
      <tp>
        <v>3868</v>
        <stp/>
        <stp>VOLUME</stp>
        <stp>.SPY251114P659</stp>
        <tr r="S34" s="1"/>
        <tr r="S34" s="1"/>
      </tp>
      <tp>
        <v>2780</v>
        <stp/>
        <stp>VOLUME</stp>
        <stp>.SPY251128P665</stp>
        <tr r="H29" s="2"/>
        <tr r="H29" s="2"/>
      </tp>
      <tp>
        <v>57</v>
        <stp/>
        <stp>VOLUME</stp>
        <stp>.SPY251114C659</stp>
        <tr r="R34" s="1"/>
        <tr r="R34" s="1"/>
      </tp>
      <tp>
        <v>1657</v>
        <stp/>
        <stp>VOLUME</stp>
        <stp>.SPY251128C665</stp>
        <tr r="H29" s="2"/>
        <tr r="H29" s="2"/>
      </tp>
      <tp>
        <v>1496</v>
        <stp/>
        <stp>VOLUME</stp>
        <stp>.SPY251112P658</stp>
        <tr r="D36" s="2"/>
        <tr r="D36" s="2"/>
      </tp>
      <tp>
        <v>770</v>
        <stp/>
        <stp>VOLUME</stp>
        <stp>.SPY251113P659</stp>
        <tr r="E35" s="2"/>
        <tr r="E35" s="2"/>
      </tp>
      <tp>
        <v>363</v>
        <stp/>
        <stp>VOLUME</stp>
        <stp>.SPY251128P662</stp>
        <tr r="H32" s="2"/>
        <tr r="H32" s="2"/>
      </tp>
      <tp>
        <v>15</v>
        <stp/>
        <stp>VOLUME</stp>
        <stp>.SPY260130P679</stp>
        <tr r="M15" s="2"/>
        <tr r="M15" s="2"/>
      </tp>
      <tp>
        <v>52</v>
        <stp/>
        <stp>VOLUME</stp>
        <stp>.SPY260130C679</stp>
        <tr r="M15" s="2"/>
        <tr r="M15" s="2"/>
      </tp>
      <tp>
        <v>230</v>
        <stp/>
        <stp>VOLUME</stp>
        <stp>.SPY251112C658</stp>
        <tr r="D36" s="2"/>
        <tr r="D36" s="2"/>
      </tp>
      <tp>
        <v>577</v>
        <stp/>
        <stp>VOLUME</stp>
        <stp>.SPY251113C659</stp>
        <tr r="E35" s="2"/>
        <tr r="E35" s="2"/>
      </tp>
      <tp>
        <v>386</v>
        <stp/>
        <stp>VOLUME</stp>
        <stp>.SPY251128C662</stp>
        <tr r="H32" s="2"/>
        <tr r="H32" s="2"/>
      </tp>
      <tp>
        <v>3570</v>
        <stp/>
        <stp>VOLUME</stp>
        <stp>.SPY251112P659</stp>
        <tr r="D35" s="2"/>
        <tr r="D35" s="2"/>
      </tp>
      <tp>
        <v>501</v>
        <stp/>
        <stp>VOLUME</stp>
        <stp>.SPY251113P658</stp>
        <tr r="E36" s="2"/>
        <tr r="E36" s="2"/>
      </tp>
      <tp>
        <v>815</v>
        <stp/>
        <stp>VOLUME</stp>
        <stp>.SPY251128P663</stp>
        <tr r="H31" s="2"/>
        <tr r="H31" s="2"/>
      </tp>
      <tp>
        <v>6</v>
        <stp/>
        <stp>VOLUME</stp>
        <stp>.SPY260130P678</stp>
        <tr r="M16" s="2"/>
        <tr r="M16" s="2"/>
      </tp>
      <tp>
        <v>47</v>
        <stp/>
        <stp>VOLUME</stp>
        <stp>.SPY260130C678</stp>
        <tr r="M16" s="2"/>
        <tr r="M16" s="2"/>
      </tp>
      <tp>
        <v>184</v>
        <stp/>
        <stp>VOLUME</stp>
        <stp>.SPY251112C659</stp>
        <tr r="D35" s="2"/>
        <tr r="D35" s="2"/>
      </tp>
      <tp>
        <v>311</v>
        <stp/>
        <stp>VOLUME</stp>
        <stp>.SPY251113C658</stp>
        <tr r="E36" s="2"/>
        <tr r="E36" s="2"/>
      </tp>
      <tp>
        <v>914</v>
        <stp/>
        <stp>VOLUME</stp>
        <stp>.SPY251128C663</stp>
        <tr r="H31" s="2"/>
        <tr r="H31" s="2"/>
      </tp>
      <tp>
        <v>28551</v>
        <stp/>
        <stp>VOLUME</stp>
        <stp>.SPY251110P658</stp>
        <tr r="B36" s="2"/>
        <tr r="B36" s="2"/>
        <tr r="Q35" s="1"/>
        <tr r="Q35" s="1"/>
      </tp>
      <tp>
        <v>8873</v>
        <stp/>
        <stp>VOLUME</stp>
        <stp>.SPY251111P659</stp>
        <tr r="C35" s="2"/>
        <tr r="C35" s="2"/>
      </tp>
      <tp>
        <v>2639</v>
        <stp/>
        <stp>VOLUME</stp>
        <stp>.SPY251121P669</stp>
        <tr r="U24" s="1"/>
        <tr r="U24" s="1"/>
      </tp>
      <tp>
        <v>4524</v>
        <stp/>
        <stp>VOLUME</stp>
        <stp>.SPY251128P660</stp>
        <tr r="H34" s="2"/>
        <tr r="H34" s="2"/>
      </tp>
      <tp>
        <v>582</v>
        <stp/>
        <stp>VOLUME</stp>
        <stp>.SPY251110C658</stp>
        <tr r="B36" s="2"/>
        <tr r="B36" s="2"/>
        <tr r="P35" s="1"/>
        <tr r="P35" s="1"/>
      </tp>
      <tp>
        <v>339</v>
        <stp/>
        <stp>VOLUME</stp>
        <stp>.SPY251111C659</stp>
        <tr r="C35" s="2"/>
        <tr r="C35" s="2"/>
      </tp>
      <tp>
        <v>1714</v>
        <stp/>
        <stp>VOLUME</stp>
        <stp>.SPY251121C669</stp>
        <tr r="T24" s="1"/>
        <tr r="T24" s="1"/>
      </tp>
      <tp>
        <v>526</v>
        <stp/>
        <stp>VOLUME</stp>
        <stp>.SPY251128C660</stp>
        <tr r="H34" s="2"/>
        <tr r="H34" s="2"/>
      </tp>
      <tp>
        <v>31303</v>
        <stp/>
        <stp>VOLUME</stp>
        <stp>.SPY251110P659</stp>
        <tr r="Q34" s="1"/>
        <tr r="Q34" s="1"/>
        <tr r="B35" s="2"/>
        <tr r="B35" s="2"/>
      </tp>
      <tp>
        <v>5712</v>
        <stp/>
        <stp>VOLUME</stp>
        <stp>.SPY251111P658</stp>
        <tr r="C36" s="2"/>
        <tr r="C36" s="2"/>
      </tp>
      <tp>
        <v>3101</v>
        <stp/>
        <stp>VOLUME</stp>
        <stp>.SPY251121P668</stp>
        <tr r="U25" s="1"/>
        <tr r="U25" s="1"/>
      </tp>
      <tp>
        <v>4402</v>
        <stp/>
        <stp>VOLUME</stp>
        <stp>.SPY251128P661</stp>
        <tr r="H33" s="2"/>
        <tr r="H33" s="2"/>
      </tp>
      <tp>
        <v>677</v>
        <stp/>
        <stp>VOLUME</stp>
        <stp>.SPY251110C659</stp>
        <tr r="B35" s="2"/>
        <tr r="B35" s="2"/>
        <tr r="P34" s="1"/>
        <tr r="P34" s="1"/>
      </tp>
      <tp>
        <v>272</v>
        <stp/>
        <stp>VOLUME</stp>
        <stp>.SPY251111C658</stp>
        <tr r="C36" s="2"/>
        <tr r="C36" s="2"/>
      </tp>
      <tp>
        <v>3121</v>
        <stp/>
        <stp>VOLUME</stp>
        <stp>.SPY251121C668</stp>
        <tr r="T25" s="1"/>
        <tr r="T25" s="1"/>
      </tp>
      <tp>
        <v>258</v>
        <stp/>
        <stp>VOLUME</stp>
        <stp>.SPY251128C661</stp>
        <tr r="H33" s="2"/>
        <tr r="H33" s="2"/>
      </tp>
      <tp>
        <v>50780</v>
        <stp/>
        <stp>VOLUME</stp>
        <stp>.SPY251110P666</stp>
        <tr r="B28" s="2"/>
        <tr r="B28" s="2"/>
        <tr r="Q27" s="1"/>
        <tr r="Q27" s="1"/>
      </tp>
      <tp>
        <v>7382</v>
        <stp/>
        <stp>VOLUME</stp>
        <stp>.SPY251111P667</stp>
        <tr r="C27" s="2"/>
        <tr r="C27" s="2"/>
      </tp>
      <tp>
        <v>4712</v>
        <stp/>
        <stp>VOLUME</stp>
        <stp>.SPY251112P664</stp>
        <tr r="D30" s="2"/>
        <tr r="D30" s="2"/>
      </tp>
      <tp>
        <v>2683</v>
        <stp/>
        <stp>VOLUME</stp>
        <stp>.SPY251113P665</stp>
        <tr r="E29" s="2"/>
        <tr r="E29" s="2"/>
      </tp>
      <tp>
        <v>5038</v>
        <stp/>
        <stp>VOLUME</stp>
        <stp>.SPY251114P662</stp>
        <tr r="S31" s="1"/>
        <tr r="S31" s="1"/>
      </tp>
      <tp>
        <v>5234</v>
        <stp/>
        <stp>VOLUME</stp>
        <stp>.SPY251121P657</stp>
        <tr r="U36" s="1"/>
        <tr r="U36" s="1"/>
      </tp>
      <tp>
        <v>49666</v>
        <stp/>
        <stp>VOLUME</stp>
        <stp>.SPY251110C666</stp>
        <tr r="B28" s="2"/>
        <tr r="B28" s="2"/>
        <tr r="P27" s="1"/>
        <tr r="P27" s="1"/>
      </tp>
      <tp>
        <v>6522</v>
        <stp/>
        <stp>VOLUME</stp>
        <stp>.SPY251111C667</stp>
        <tr r="C27" s="2"/>
        <tr r="C27" s="2"/>
      </tp>
      <tp>
        <v>2900</v>
        <stp/>
        <stp>VOLUME</stp>
        <stp>.SPY251112C664</stp>
        <tr r="D30" s="2"/>
        <tr r="D30" s="2"/>
      </tp>
      <tp>
        <v>1767</v>
        <stp/>
        <stp>VOLUME</stp>
        <stp>.SPY251113C665</stp>
        <tr r="E29" s="2"/>
        <tr r="E29" s="2"/>
      </tp>
      <tp>
        <v>3241</v>
        <stp/>
        <stp>VOLUME</stp>
        <stp>.SPY251114C662</stp>
        <tr r="R31" s="1"/>
        <tr r="R31" s="1"/>
      </tp>
      <tp>
        <v>34</v>
        <stp/>
        <stp>VOLUME</stp>
        <stp>.SPY251121C657</stp>
        <tr r="T36" s="1"/>
        <tr r="T36" s="1"/>
      </tp>
      <tp>
        <v>35085</v>
        <stp/>
        <stp>VOLUME</stp>
        <stp>.SPY251110P667</stp>
        <tr r="Q26" s="1"/>
        <tr r="Q26" s="1"/>
        <tr r="B27" s="2"/>
        <tr r="B27" s="2"/>
      </tp>
      <tp>
        <v>9111</v>
        <stp/>
        <stp>VOLUME</stp>
        <stp>.SPY251111P666</stp>
        <tr r="C28" s="2"/>
        <tr r="C28" s="2"/>
      </tp>
      <tp>
        <v>5082</v>
        <stp/>
        <stp>VOLUME</stp>
        <stp>.SPY251112P665</stp>
        <tr r="D29" s="2"/>
        <tr r="D29" s="2"/>
      </tp>
      <tp>
        <v>1180</v>
        <stp/>
        <stp>VOLUME</stp>
        <stp>.SPY251113P664</stp>
        <tr r="E30" s="2"/>
        <tr r="E30" s="2"/>
      </tp>
      <tp>
        <v>7514</v>
        <stp/>
        <stp>VOLUME</stp>
        <stp>.SPY251114P663</stp>
        <tr r="S30" s="1"/>
        <tr r="S30" s="1"/>
      </tp>
      <tp>
        <v>1262</v>
        <stp/>
        <stp>VOLUME</stp>
        <stp>.SPY251121P656</stp>
        <tr r="U37" s="1"/>
        <tr r="U37" s="1"/>
      </tp>
      <tp>
        <v>53662</v>
        <stp/>
        <stp>VOLUME</stp>
        <stp>.SPY251110C667</stp>
        <tr r="B27" s="2"/>
        <tr r="B27" s="2"/>
        <tr r="P26" s="1"/>
        <tr r="P26" s="1"/>
      </tp>
      <tp>
        <v>7622</v>
        <stp/>
        <stp>VOLUME</stp>
        <stp>.SPY251111C666</stp>
        <tr r="C28" s="2"/>
        <tr r="C28" s="2"/>
      </tp>
      <tp>
        <v>5357</v>
        <stp/>
        <stp>VOLUME</stp>
        <stp>.SPY251112C665</stp>
        <tr r="D29" s="2"/>
        <tr r="D29" s="2"/>
      </tp>
      <tp>
        <v>1746</v>
        <stp/>
        <stp>VOLUME</stp>
        <stp>.SPY251113C664</stp>
        <tr r="E30" s="2"/>
        <tr r="E30" s="2"/>
      </tp>
      <tp>
        <v>7874</v>
        <stp/>
        <stp>VOLUME</stp>
        <stp>.SPY251114C663</stp>
        <tr r="R30" s="1"/>
        <tr r="R30" s="1"/>
      </tp>
      <tp>
        <v>76</v>
        <stp/>
        <stp>VOLUME</stp>
        <stp>.SPY251121C656</stp>
        <tr r="T37" s="1"/>
        <tr r="T37" s="1"/>
      </tp>
      <tp>
        <v>56559</v>
        <stp/>
        <stp>VOLUME</stp>
        <stp>.SPY251110P664</stp>
        <tr r="B30" s="2"/>
        <tr r="B30" s="2"/>
        <tr r="Q29" s="1"/>
        <tr r="Q29" s="1"/>
      </tp>
      <tp>
        <v>11988</v>
        <stp/>
        <stp>VOLUME</stp>
        <stp>.SPY251111P665</stp>
        <tr r="C29" s="2"/>
        <tr r="C29" s="2"/>
      </tp>
      <tp>
        <v>6591</v>
        <stp/>
        <stp>VOLUME</stp>
        <stp>.SPY251112P666</stp>
        <tr r="D28" s="2"/>
        <tr r="D28" s="2"/>
      </tp>
      <tp>
        <v>1151</v>
        <stp/>
        <stp>VOLUME</stp>
        <stp>.SPY251113P667</stp>
        <tr r="E27" s="2"/>
        <tr r="E27" s="2"/>
      </tp>
      <tp>
        <v>29201</v>
        <stp/>
        <stp>VOLUME</stp>
        <stp>.SPY251114P660</stp>
        <tr r="S33" s="1"/>
        <tr r="S33" s="1"/>
      </tp>
      <tp>
        <v>15140</v>
        <stp/>
        <stp>VOLUME</stp>
        <stp>.SPY251121P655</stp>
        <tr r="U38" s="1"/>
        <tr r="U38" s="1"/>
      </tp>
      <tp>
        <v>34890</v>
        <stp/>
        <stp>VOLUME</stp>
        <stp>.SPY251110C664</stp>
        <tr r="B30" s="2"/>
        <tr r="B30" s="2"/>
        <tr r="P29" s="1"/>
        <tr r="P29" s="1"/>
      </tp>
      <tp>
        <v>8388</v>
        <stp/>
        <stp>VOLUME</stp>
        <stp>.SPY251111C665</stp>
        <tr r="C29" s="2"/>
        <tr r="C29" s="2"/>
      </tp>
      <tp>
        <v>7566</v>
        <stp/>
        <stp>VOLUME</stp>
        <stp>.SPY251112C666</stp>
        <tr r="D28" s="2"/>
        <tr r="D28" s="2"/>
      </tp>
      <tp>
        <v>1986</v>
        <stp/>
        <stp>VOLUME</stp>
        <stp>.SPY251113C667</stp>
        <tr r="E27" s="2"/>
        <tr r="E27" s="2"/>
      </tp>
      <tp>
        <v>2163</v>
        <stp/>
        <stp>VOLUME</stp>
        <stp>.SPY251114C660</stp>
        <tr r="R33" s="1"/>
        <tr r="R33" s="1"/>
      </tp>
      <tp>
        <v>340</v>
        <stp/>
        <stp>VOLUME</stp>
        <stp>.SPY251121C655</stp>
        <tr r="T38" s="1"/>
        <tr r="T38" s="1"/>
      </tp>
      <tp>
        <v>84447</v>
        <stp/>
        <stp>VOLUME</stp>
        <stp>.SPY251110P665</stp>
        <tr r="B29" s="2"/>
        <tr r="B29" s="2"/>
        <tr r="Q28" s="1"/>
        <tr r="Q28" s="1"/>
      </tp>
      <tp>
        <v>5914</v>
        <stp/>
        <stp>VOLUME</stp>
        <stp>.SPY251111P664</stp>
        <tr r="C30" s="2"/>
        <tr r="C30" s="2"/>
      </tp>
      <tp>
        <v>4656</v>
        <stp/>
        <stp>VOLUME</stp>
        <stp>.SPY251112P667</stp>
        <tr r="D27" s="2"/>
        <tr r="D27" s="2"/>
      </tp>
      <tp>
        <v>2251</v>
        <stp/>
        <stp>VOLUME</stp>
        <stp>.SPY251113P666</stp>
        <tr r="E28" s="2"/>
        <tr r="E28" s="2"/>
      </tp>
      <tp>
        <v>2827</v>
        <stp/>
        <stp>VOLUME</stp>
        <stp>.SPY251114P661</stp>
        <tr r="S32" s="1"/>
        <tr r="S32" s="1"/>
      </tp>
      <tp>
        <v>51598</v>
        <stp/>
        <stp>VOLUME</stp>
        <stp>.SPY251110C665</stp>
        <tr r="B29" s="2"/>
        <tr r="B29" s="2"/>
        <tr r="P28" s="1"/>
        <tr r="P28" s="1"/>
      </tp>
      <tp>
        <v>6017</v>
        <stp/>
        <stp>VOLUME</stp>
        <stp>.SPY251111C664</stp>
        <tr r="C30" s="2"/>
        <tr r="C30" s="2"/>
      </tp>
      <tp>
        <v>2931</v>
        <stp/>
        <stp>VOLUME</stp>
        <stp>.SPY251112C667</stp>
        <tr r="D27" s="2"/>
        <tr r="D27" s="2"/>
      </tp>
      <tp>
        <v>1137</v>
        <stp/>
        <stp>VOLUME</stp>
        <stp>.SPY251113C666</stp>
        <tr r="E28" s="2"/>
        <tr r="E28" s="2"/>
      </tp>
      <tp>
        <v>780</v>
        <stp/>
        <stp>VOLUME</stp>
        <stp>.SPY251114C661</stp>
        <tr r="R32" s="1"/>
        <tr r="R32" s="1"/>
      </tp>
      <tp>
        <v>45960</v>
        <stp/>
        <stp>VOLUME</stp>
        <stp>.SPY251110P662</stp>
        <tr r="B32" s="2"/>
        <tr r="B32" s="2"/>
        <tr r="Q31" s="1"/>
        <tr r="Q31" s="1"/>
      </tp>
      <tp>
        <v>7294</v>
        <stp/>
        <stp>VOLUME</stp>
        <stp>.SPY251111P663</stp>
        <tr r="C31" s="2"/>
        <tr r="C31" s="2"/>
      </tp>
      <tp>
        <v>8616</v>
        <stp/>
        <stp>VOLUME</stp>
        <stp>.SPY251112P660</stp>
        <tr r="D34" s="2"/>
        <tr r="D34" s="2"/>
      </tp>
      <tp>
        <v>704</v>
        <stp/>
        <stp>VOLUME</stp>
        <stp>.SPY251113P661</stp>
        <tr r="E33" s="2"/>
        <tr r="E33" s="2"/>
      </tp>
      <tp>
        <v>6543</v>
        <stp/>
        <stp>VOLUME</stp>
        <stp>.SPY251114P666</stp>
        <tr r="S27" s="1"/>
        <tr r="S27" s="1"/>
      </tp>
      <tp t="s">
        <v>N/A</v>
        <stp/>
        <stp>VOLUME</stp>
        <stp>.SPY260109P678</stp>
        <tr r="L16" s="2"/>
      </tp>
      <tp t="s">
        <v>N/A</v>
        <stp/>
        <stp>VOLUME</stp>
        <stp>.SPY260109C678</stp>
        <tr r="L16" s="2"/>
      </tp>
      <tp>
        <v>9230</v>
        <stp/>
        <stp>VOLUME</stp>
        <stp>.SPY251110C662</stp>
        <tr r="B32" s="2"/>
        <tr r="B32" s="2"/>
        <tr r="P31" s="1"/>
        <tr r="P31" s="1"/>
      </tp>
      <tp>
        <v>3876</v>
        <stp/>
        <stp>VOLUME</stp>
        <stp>.SPY251111C663</stp>
        <tr r="C31" s="2"/>
        <tr r="C31" s="2"/>
      </tp>
      <tp>
        <v>1174</v>
        <stp/>
        <stp>VOLUME</stp>
        <stp>.SPY251112C660</stp>
        <tr r="D34" s="2"/>
        <tr r="D34" s="2"/>
      </tp>
      <tp>
        <v>534</v>
        <stp/>
        <stp>VOLUME</stp>
        <stp>.SPY251113C661</stp>
        <tr r="E33" s="2"/>
        <tr r="E33" s="2"/>
      </tp>
      <tp>
        <v>6776</v>
        <stp/>
        <stp>VOLUME</stp>
        <stp>.SPY251114C666</stp>
        <tr r="R27" s="1"/>
        <tr r="R27" s="1"/>
      </tp>
      <tp>
        <v>59883</v>
        <stp/>
        <stp>VOLUME</stp>
        <stp>.SPY251110P663</stp>
        <tr r="Q30" s="1"/>
        <tr r="Q30" s="1"/>
        <tr r="B31" s="2"/>
        <tr r="B31" s="2"/>
      </tp>
      <tp>
        <v>11605</v>
        <stp/>
        <stp>VOLUME</stp>
        <stp>.SPY251111P662</stp>
        <tr r="C32" s="2"/>
        <tr r="C32" s="2"/>
      </tp>
      <tp>
        <v>3550</v>
        <stp/>
        <stp>VOLUME</stp>
        <stp>.SPY251112P661</stp>
        <tr r="D33" s="2"/>
        <tr r="D33" s="2"/>
      </tp>
      <tp>
        <v>2326</v>
        <stp/>
        <stp>VOLUME</stp>
        <stp>.SPY251113P660</stp>
        <tr r="E34" s="2"/>
        <tr r="E34" s="2"/>
      </tp>
      <tp>
        <v>10466</v>
        <stp/>
        <stp>VOLUME</stp>
        <stp>.SPY251114P667</stp>
        <tr r="S26" s="1"/>
        <tr r="S26" s="1"/>
      </tp>
      <tp t="s">
        <v>N/A</v>
        <stp/>
        <stp>VOLUME</stp>
        <stp>.SPY260109P679</stp>
        <tr r="L15" s="2"/>
      </tp>
      <tp t="s">
        <v>N/A</v>
        <stp/>
        <stp>VOLUME</stp>
        <stp>.SPY260109C679</stp>
        <tr r="L15" s="2"/>
      </tp>
      <tp>
        <v>22318</v>
        <stp/>
        <stp>VOLUME</stp>
        <stp>.SPY251110C663</stp>
        <tr r="P30" s="1"/>
        <tr r="P30" s="1"/>
        <tr r="B31" s="2"/>
        <tr r="B31" s="2"/>
      </tp>
      <tp>
        <v>3029</v>
        <stp/>
        <stp>VOLUME</stp>
        <stp>.SPY251111C662</stp>
        <tr r="C32" s="2"/>
        <tr r="C32" s="2"/>
      </tp>
      <tp>
        <v>1136</v>
        <stp/>
        <stp>VOLUME</stp>
        <stp>.SPY251112C661</stp>
        <tr r="D33" s="2"/>
        <tr r="D33" s="2"/>
      </tp>
      <tp>
        <v>424</v>
        <stp/>
        <stp>VOLUME</stp>
        <stp>.SPY251113C660</stp>
        <tr r="E34" s="2"/>
        <tr r="E34" s="2"/>
      </tp>
      <tp>
        <v>8650</v>
        <stp/>
        <stp>VOLUME</stp>
        <stp>.SPY251114C667</stp>
        <tr r="R26" s="1"/>
        <tr r="R26" s="1"/>
      </tp>
      <tp>
        <v>70911</v>
        <stp/>
        <stp>VOLUME</stp>
        <stp>.SPY251110P660</stp>
        <tr r="B34" s="2"/>
        <tr r="B34" s="2"/>
        <tr r="Q33" s="1"/>
        <tr r="Q33" s="1"/>
      </tp>
      <tp>
        <v>4171</v>
        <stp/>
        <stp>VOLUME</stp>
        <stp>.SPY251111P661</stp>
        <tr r="C33" s="2"/>
        <tr r="C33" s="2"/>
      </tp>
      <tp>
        <v>4528</v>
        <stp/>
        <stp>VOLUME</stp>
        <stp>.SPY251112P662</stp>
        <tr r="D32" s="2"/>
        <tr r="D32" s="2"/>
      </tp>
      <tp>
        <v>2068</v>
        <stp/>
        <stp>VOLUME</stp>
        <stp>.SPY251113P663</stp>
        <tr r="E31" s="2"/>
        <tr r="E31" s="2"/>
      </tp>
      <tp>
        <v>8902</v>
        <stp/>
        <stp>VOLUME</stp>
        <stp>.SPY251114P664</stp>
        <tr r="S29" s="1"/>
        <tr r="S29" s="1"/>
      </tp>
      <tp>
        <v>397</v>
        <stp/>
        <stp>VOLUME</stp>
        <stp>.SPY251128P658</stp>
        <tr r="H36" s="2"/>
        <tr r="H36" s="2"/>
      </tp>
      <tp>
        <v>2934</v>
        <stp/>
        <stp>VOLUME</stp>
        <stp>.SPY251110C660</stp>
        <tr r="B34" s="2"/>
        <tr r="B34" s="2"/>
        <tr r="P33" s="1"/>
        <tr r="P33" s="1"/>
      </tp>
      <tp>
        <v>1160</v>
        <stp/>
        <stp>VOLUME</stp>
        <stp>.SPY251111C661</stp>
        <tr r="C33" s="2"/>
        <tr r="C33" s="2"/>
      </tp>
      <tp>
        <v>3853</v>
        <stp/>
        <stp>VOLUME</stp>
        <stp>.SPY251112C662</stp>
        <tr r="D32" s="2"/>
        <tr r="D32" s="2"/>
      </tp>
      <tp>
        <v>1082</v>
        <stp/>
        <stp>VOLUME</stp>
        <stp>.SPY251113C663</stp>
        <tr r="E31" s="2"/>
        <tr r="E31" s="2"/>
      </tp>
      <tp>
        <v>4630</v>
        <stp/>
        <stp>VOLUME</stp>
        <stp>.SPY251114C664</stp>
        <tr r="R29" s="1"/>
        <tr r="R29" s="1"/>
      </tp>
      <tp>
        <v>1165</v>
        <stp/>
        <stp>VOLUME</stp>
        <stp>.SPY251128C658</stp>
        <tr r="H36" s="2"/>
        <tr r="H36" s="2"/>
      </tp>
      <tp>
        <v>27238</v>
        <stp/>
        <stp>VOLUME</stp>
        <stp>.SPY251110P661</stp>
        <tr r="Q32" s="1"/>
        <tr r="Q32" s="1"/>
        <tr r="B33" s="2"/>
        <tr r="B33" s="2"/>
      </tp>
      <tp>
        <v>19639</v>
        <stp/>
        <stp>VOLUME</stp>
        <stp>.SPY251111P660</stp>
        <tr r="C34" s="2"/>
        <tr r="C34" s="2"/>
      </tp>
      <tp>
        <v>8178</v>
        <stp/>
        <stp>VOLUME</stp>
        <stp>.SPY251112P663</stp>
        <tr r="D31" s="2"/>
        <tr r="D31" s="2"/>
      </tp>
      <tp>
        <v>1654</v>
        <stp/>
        <stp>VOLUME</stp>
        <stp>.SPY251113P662</stp>
        <tr r="E32" s="2"/>
        <tr r="E32" s="2"/>
      </tp>
      <tp>
        <v>21240</v>
        <stp/>
        <stp>VOLUME</stp>
        <stp>.SPY251114P665</stp>
        <tr r="S28" s="1"/>
        <tr r="S28" s="1"/>
      </tp>
      <tp>
        <v>431</v>
        <stp/>
        <stp>VOLUME</stp>
        <stp>.SPY251128P659</stp>
        <tr r="H35" s="2"/>
        <tr r="H35" s="2"/>
      </tp>
      <tp>
        <v>6740</v>
        <stp/>
        <stp>VOLUME</stp>
        <stp>.SPY251110C661</stp>
        <tr r="P32" s="1"/>
        <tr r="P32" s="1"/>
        <tr r="B33" s="2"/>
        <tr r="B33" s="2"/>
      </tp>
      <tp>
        <v>1917</v>
        <stp/>
        <stp>VOLUME</stp>
        <stp>.SPY251111C660</stp>
        <tr r="C34" s="2"/>
        <tr r="C34" s="2"/>
      </tp>
      <tp>
        <v>1584</v>
        <stp/>
        <stp>VOLUME</stp>
        <stp>.SPY251112C663</stp>
        <tr r="D31" s="2"/>
        <tr r="D31" s="2"/>
      </tp>
      <tp>
        <v>7939</v>
        <stp/>
        <stp>VOLUME</stp>
        <stp>.SPY251113C662</stp>
        <tr r="E32" s="2"/>
        <tr r="E32" s="2"/>
      </tp>
      <tp>
        <v>17899</v>
        <stp/>
        <stp>VOLUME</stp>
        <stp>.SPY251114C665</stp>
        <tr r="R28" s="1"/>
        <tr r="R28" s="1"/>
      </tp>
      <tp>
        <v>70</v>
        <stp/>
        <stp>VOLUME</stp>
        <stp>.SPY251128C659</stp>
        <tr r="H35" s="2"/>
        <tr r="H35" s="2"/>
      </tp>
      <tp>
        <v>420</v>
        <stp/>
        <stp>VOLUME</stp>
        <stp>.SPY251128P656</stp>
        <tr r="H38" s="2"/>
        <tr r="H38" s="2"/>
      </tp>
      <tp t="s">
        <v>N/A</v>
        <stp/>
        <stp>VOLUME</stp>
        <stp>.SPY260109P674</stp>
        <tr r="L20" s="2"/>
      </tp>
      <tp t="s">
        <v>N/A</v>
        <stp/>
        <stp>VOLUME</stp>
        <stp>.SPY260109C674</stp>
        <tr r="L20" s="2"/>
      </tp>
      <tp>
        <v>6</v>
        <stp/>
        <stp>VOLUME</stp>
        <stp>.SPY251128C656</stp>
        <tr r="H38" s="2"/>
        <tr r="H38" s="2"/>
      </tp>
      <tp>
        <v>551</v>
        <stp/>
        <stp>VOLUME</stp>
        <stp>.SPY251128P657</stp>
        <tr r="H37" s="2"/>
        <tr r="H37" s="2"/>
      </tp>
      <tp t="s">
        <v>N/A</v>
        <stp/>
        <stp>VOLUME</stp>
        <stp>.SPY260109P675</stp>
        <tr r="L19" s="2"/>
      </tp>
      <tp t="s">
        <v>N/A</v>
        <stp/>
        <stp>VOLUME</stp>
        <stp>.SPY260109C675</stp>
        <tr r="L19" s="2"/>
      </tp>
      <tp>
        <v>58</v>
        <stp/>
        <stp>VOLUME</stp>
        <stp>.SPY251128C657</stp>
        <tr r="H37" s="2"/>
        <tr r="H37" s="2"/>
      </tp>
      <tp>
        <v>11059</v>
        <stp/>
        <stp>VOLUME</stp>
        <stp>.SPY251114P668</stp>
        <tr r="S25" s="1"/>
        <tr r="S25" s="1"/>
      </tp>
      <tp t="s">
        <v>N/A</v>
        <stp/>
        <stp>VOLUME</stp>
        <stp>.SPY260109P676</stp>
        <tr r="L18" s="2"/>
      </tp>
      <tp t="s">
        <v>N/A</v>
        <stp/>
        <stp>VOLUME</stp>
        <stp>.SPY260109C676</stp>
        <tr r="L18" s="2"/>
      </tp>
      <tp>
        <v>7148</v>
        <stp/>
        <stp>VOLUME</stp>
        <stp>.SPY251114C668</stp>
        <tr r="R25" s="1"/>
        <tr r="R25" s="1"/>
      </tp>
      <tp>
        <v>10886</v>
        <stp/>
        <stp>VOLUME</stp>
        <stp>.SPY251114P669</stp>
        <tr r="S24" s="1"/>
        <tr r="S24" s="1"/>
      </tp>
      <tp>
        <v>3239</v>
        <stp/>
        <stp>VOLUME</stp>
        <stp>.SPY251128P655</stp>
        <tr r="H39" s="2"/>
        <tr r="H39" s="2"/>
      </tp>
      <tp t="s">
        <v>N/A</v>
        <stp/>
        <stp>VOLUME</stp>
        <stp>.SPY260109P677</stp>
        <tr r="L17" s="2"/>
      </tp>
      <tp t="s">
        <v>N/A</v>
        <stp/>
        <stp>VOLUME</stp>
        <stp>.SPY260109C677</stp>
        <tr r="L17" s="2"/>
      </tp>
      <tp>
        <v>5906</v>
        <stp/>
        <stp>VOLUME</stp>
        <stp>.SPY251114C669</stp>
        <tr r="R24" s="1"/>
        <tr r="R24" s="1"/>
      </tp>
      <tp>
        <v>40</v>
        <stp/>
        <stp>VOLUME</stp>
        <stp>.SPY251128C655</stp>
        <tr r="H39" s="2"/>
        <tr r="H39" s="2"/>
      </tp>
      <tp>
        <v>3380</v>
        <stp/>
        <stp>VOLUME</stp>
        <stp>.SPY251112P668</stp>
        <tr r="D26" s="2"/>
        <tr r="D26" s="2"/>
      </tp>
      <tp>
        <v>1172</v>
        <stp/>
        <stp>VOLUME</stp>
        <stp>.SPY251113P669</stp>
        <tr r="E25" s="2"/>
        <tr r="E25" s="2"/>
      </tp>
      <tp t="s">
        <v>N/A</v>
        <stp/>
        <stp>VOLUME</stp>
        <stp>.SPY260109P670</stp>
        <tr r="L24" s="2"/>
      </tp>
      <tp t="s">
        <v>N/A</v>
        <stp/>
        <stp>VOLUME</stp>
        <stp>.SPY260109C670</stp>
        <tr r="L24" s="2"/>
      </tp>
      <tp>
        <v>5953</v>
        <stp/>
        <stp>VOLUME</stp>
        <stp>.SPY251112C668</stp>
        <tr r="D26" s="2"/>
        <tr r="D26" s="2"/>
      </tp>
      <tp>
        <v>1967</v>
        <stp/>
        <stp>VOLUME</stp>
        <stp>.SPY251113C669</stp>
        <tr r="E25" s="2"/>
        <tr r="E25" s="2"/>
      </tp>
      <tp>
        <v>3100</v>
        <stp/>
        <stp>VOLUME</stp>
        <stp>.SPY251112P669</stp>
        <tr r="D25" s="2"/>
        <tr r="D25" s="2"/>
      </tp>
      <tp>
        <v>582</v>
        <stp/>
        <stp>VOLUME</stp>
        <stp>.SPY251113P668</stp>
        <tr r="E26" s="2"/>
        <tr r="E26" s="2"/>
      </tp>
      <tp t="s">
        <v>N/A</v>
        <stp/>
        <stp>VOLUME</stp>
        <stp>.SPY260109P671</stp>
        <tr r="L23" s="2"/>
      </tp>
      <tp t="s">
        <v>N/A</v>
        <stp/>
        <stp>VOLUME</stp>
        <stp>.SPY260109C671</stp>
        <tr r="L23" s="2"/>
      </tp>
      <tp>
        <v>3831</v>
        <stp/>
        <stp>VOLUME</stp>
        <stp>.SPY251112C669</stp>
        <tr r="D25" s="2"/>
        <tr r="D25" s="2"/>
      </tp>
      <tp>
        <v>1677</v>
        <stp/>
        <stp>VOLUME</stp>
        <stp>.SPY251113C668</stp>
        <tr r="E26" s="2"/>
        <tr r="E26" s="2"/>
      </tp>
      <tp>
        <v>30533</v>
        <stp/>
        <stp>VOLUME</stp>
        <stp>.SPY251110P668</stp>
        <tr r="B26" s="2"/>
        <tr r="B26" s="2"/>
        <tr r="Q25" s="1"/>
        <tr r="Q25" s="1"/>
      </tp>
      <tp>
        <v>5353</v>
        <stp/>
        <stp>VOLUME</stp>
        <stp>.SPY251111P669</stp>
        <tr r="C25" s="2"/>
        <tr r="C25" s="2"/>
      </tp>
      <tp>
        <v>1111</v>
        <stp/>
        <stp>VOLUME</stp>
        <stp>.SPY251121P659</stp>
        <tr r="U34" s="1"/>
        <tr r="U34" s="1"/>
      </tp>
      <tp t="s">
        <v>N/A</v>
        <stp/>
        <stp>VOLUME</stp>
        <stp>.SPY260109P672</stp>
        <tr r="L22" s="2"/>
      </tp>
      <tp t="s">
        <v>N/A</v>
        <stp/>
        <stp>VOLUME</stp>
        <stp>.SPY260109C672</stp>
        <tr r="L22" s="2"/>
      </tp>
      <tp>
        <v>42798</v>
        <stp/>
        <stp>VOLUME</stp>
        <stp>.SPY251110C668</stp>
        <tr r="B26" s="2"/>
        <tr r="B26" s="2"/>
        <tr r="P25" s="1"/>
        <tr r="P25" s="1"/>
      </tp>
      <tp>
        <v>6066</v>
        <stp/>
        <stp>VOLUME</stp>
        <stp>.SPY251111C669</stp>
        <tr r="C25" s="2"/>
        <tr r="C25" s="2"/>
      </tp>
      <tp>
        <v>180</v>
        <stp/>
        <stp>VOLUME</stp>
        <stp>.SPY251121C659</stp>
        <tr r="T34" s="1"/>
        <tr r="T34" s="1"/>
      </tp>
      <tp>
        <v>42602</v>
        <stp/>
        <stp>VOLUME</stp>
        <stp>.SPY251110P669</stp>
        <tr r="B25" s="2"/>
        <tr r="B25" s="2"/>
        <tr r="Q24" s="1"/>
        <tr r="Q24" s="1"/>
      </tp>
      <tp>
        <v>4534</v>
        <stp/>
        <stp>VOLUME</stp>
        <stp>.SPY251111P668</stp>
        <tr r="C26" s="2"/>
        <tr r="C26" s="2"/>
      </tp>
      <tp>
        <v>2170</v>
        <stp/>
        <stp>VOLUME</stp>
        <stp>.SPY251121P658</stp>
        <tr r="U35" s="1"/>
        <tr r="U35" s="1"/>
      </tp>
      <tp t="s">
        <v>N/A</v>
        <stp/>
        <stp>VOLUME</stp>
        <stp>.SPY260109P673</stp>
        <tr r="L21" s="2"/>
      </tp>
      <tp t="s">
        <v>N/A</v>
        <stp/>
        <stp>VOLUME</stp>
        <stp>.SPY260109C673</stp>
        <tr r="L21" s="2"/>
      </tp>
      <tp>
        <v>38172</v>
        <stp/>
        <stp>VOLUME</stp>
        <stp>.SPY251110C669</stp>
        <tr r="P24" s="1"/>
        <tr r="P24" s="1"/>
        <tr r="B25" s="2"/>
        <tr r="B25" s="2"/>
      </tp>
      <tp>
        <v>7825</v>
        <stp/>
        <stp>VOLUME</stp>
        <stp>.SPY251111C668</stp>
        <tr r="C26" s="2"/>
        <tr r="C26" s="2"/>
      </tp>
      <tp>
        <v>279</v>
        <stp/>
        <stp>VOLUME</stp>
        <stp>.SPY251121C658</stp>
        <tr r="T35" s="1"/>
        <tr r="T35" s="1"/>
      </tp>
      <tp>
        <v>1617</v>
        <stp/>
        <stp>VOLUME</stp>
        <stp>.SPY251110P676</stp>
        <tr r="B18" s="2"/>
        <tr r="B18" s="2"/>
        <tr r="Q17" s="1"/>
        <tr r="Q17" s="1"/>
      </tp>
      <tp>
        <v>461</v>
        <stp/>
        <stp>VOLUME</stp>
        <stp>.SPY251111P677</stp>
        <tr r="C17" s="2"/>
        <tr r="C17" s="2"/>
      </tp>
      <tp>
        <v>324</v>
        <stp/>
        <stp>VOLUME</stp>
        <stp>.SPY251112P674</stp>
        <tr r="D20" s="2"/>
        <tr r="D20" s="2"/>
      </tp>
      <tp>
        <v>481</v>
        <stp/>
        <stp>VOLUME</stp>
        <stp>.SPY251113P675</stp>
        <tr r="E19" s="2"/>
        <tr r="E19" s="2"/>
      </tp>
      <tp>
        <v>3249</v>
        <stp/>
        <stp>VOLUME</stp>
        <stp>.SPY251114P672</stp>
        <tr r="S21" s="1"/>
        <tr r="S21" s="1"/>
      </tp>
      <tp>
        <v>645</v>
        <stp/>
        <stp>VOLUME</stp>
        <stp>.SPY260130P655</stp>
        <tr r="M39" s="2"/>
        <tr r="M39" s="2"/>
      </tp>
      <tp>
        <v>25</v>
        <stp/>
        <stp>VOLUME</stp>
        <stp>.SPY260130C655</stp>
        <tr r="M39" s="2"/>
        <tr r="M39" s="2"/>
      </tp>
      <tp>
        <v>21886</v>
        <stp/>
        <stp>VOLUME</stp>
        <stp>.SPY251110C676</stp>
        <tr r="B18" s="2"/>
        <tr r="B18" s="2"/>
        <tr r="P17" s="1"/>
        <tr r="P17" s="1"/>
      </tp>
      <tp>
        <v>6180</v>
        <stp/>
        <stp>VOLUME</stp>
        <stp>.SPY251111C677</stp>
        <tr r="C17" s="2"/>
        <tr r="C17" s="2"/>
      </tp>
      <tp>
        <v>3964</v>
        <stp/>
        <stp>VOLUME</stp>
        <stp>.SPY251112C674</stp>
        <tr r="D20" s="2"/>
        <tr r="D20" s="2"/>
      </tp>
      <tp>
        <v>1683</v>
        <stp/>
        <stp>VOLUME</stp>
        <stp>.SPY251113C675</stp>
        <tr r="E19" s="2"/>
        <tr r="E19" s="2"/>
      </tp>
      <tp>
        <v>7226</v>
        <stp/>
        <stp>VOLUME</stp>
        <stp>.SPY251114C672</stp>
        <tr r="R21" s="1"/>
        <tr r="R21" s="1"/>
      </tp>
      <tp>
        <v>2215</v>
        <stp/>
        <stp>VOLUME</stp>
        <stp>.SPY251110P677</stp>
        <tr r="B17" s="2"/>
        <tr r="B17" s="2"/>
        <tr r="Q16" s="1"/>
        <tr r="Q16" s="1"/>
      </tp>
      <tp>
        <v>565</v>
        <stp/>
        <stp>VOLUME</stp>
        <stp>.SPY251111P676</stp>
        <tr r="C18" s="2"/>
        <tr r="C18" s="2"/>
      </tp>
      <tp>
        <v>637</v>
        <stp/>
        <stp>VOLUME</stp>
        <stp>.SPY251112P675</stp>
        <tr r="D19" s="2"/>
        <tr r="D19" s="2"/>
      </tp>
      <tp>
        <v>457</v>
        <stp/>
        <stp>VOLUME</stp>
        <stp>.SPY251113P674</stp>
        <tr r="E20" s="2"/>
        <tr r="E20" s="2"/>
      </tp>
      <tp>
        <v>493</v>
        <stp/>
        <stp>VOLUME</stp>
        <stp>.SPY251114P673</stp>
        <tr r="S20" s="1"/>
        <tr r="S20" s="1"/>
      </tp>
      <tp>
        <v>23860</v>
        <stp/>
        <stp>VOLUME</stp>
        <stp>.SPY251110C677</stp>
        <tr r="P16" s="1"/>
        <tr r="P16" s="1"/>
        <tr r="B17" s="2"/>
        <tr r="B17" s="2"/>
      </tp>
      <tp>
        <v>9267</v>
        <stp/>
        <stp>VOLUME</stp>
        <stp>.SPY251111C676</stp>
        <tr r="C18" s="2"/>
        <tr r="C18" s="2"/>
      </tp>
      <tp>
        <v>5527</v>
        <stp/>
        <stp>VOLUME</stp>
        <stp>.SPY251112C675</stp>
        <tr r="D19" s="2"/>
        <tr r="D19" s="2"/>
      </tp>
      <tp>
        <v>747</v>
        <stp/>
        <stp>VOLUME</stp>
        <stp>.SPY251113C674</stp>
        <tr r="E20" s="2"/>
        <tr r="E20" s="2"/>
      </tp>
      <tp>
        <v>3285</v>
        <stp/>
        <stp>VOLUME</stp>
        <stp>.SPY251114C673</stp>
        <tr r="R20" s="1"/>
        <tr r="R20" s="1"/>
      </tp>
      <tp>
        <v>2578</v>
        <stp/>
        <stp>VOLUME</stp>
        <stp>.SPY251110P674</stp>
        <tr r="B20" s="2"/>
        <tr r="B20" s="2"/>
        <tr r="Q19" s="1"/>
        <tr r="Q19" s="1"/>
      </tp>
      <tp>
        <v>900</v>
        <stp/>
        <stp>VOLUME</stp>
        <stp>.SPY251111P675</stp>
        <tr r="C19" s="2"/>
        <tr r="C19" s="2"/>
      </tp>
      <tp>
        <v>269</v>
        <stp/>
        <stp>VOLUME</stp>
        <stp>.SPY251112P676</stp>
        <tr r="D18" s="2"/>
        <tr r="D18" s="2"/>
      </tp>
      <tp>
        <v>511</v>
        <stp/>
        <stp>VOLUME</stp>
        <stp>.SPY251113P677</stp>
        <tr r="E17" s="2"/>
        <tr r="E17" s="2"/>
      </tp>
      <tp>
        <v>8322</v>
        <stp/>
        <stp>VOLUME</stp>
        <stp>.SPY251114P670</stp>
        <tr r="S23" s="1"/>
        <tr r="S23" s="1"/>
      </tp>
      <tp>
        <v>18</v>
        <stp/>
        <stp>VOLUME</stp>
        <stp>.SPY260130P657</stp>
        <tr r="M37" s="2"/>
        <tr r="M37" s="2"/>
      </tp>
      <tp>
        <v>1</v>
        <stp/>
        <stp>VOLUME</stp>
        <stp>.SPY260130C657</stp>
        <tr r="M37" s="2"/>
        <tr r="M37" s="2"/>
      </tp>
      <tp>
        <v>26656</v>
        <stp/>
        <stp>VOLUME</stp>
        <stp>.SPY251110C674</stp>
        <tr r="P19" s="1"/>
        <tr r="P19" s="1"/>
        <tr r="B20" s="2"/>
        <tr r="B20" s="2"/>
      </tp>
      <tp>
        <v>7423</v>
        <stp/>
        <stp>VOLUME</stp>
        <stp>.SPY251111C675</stp>
        <tr r="C19" s="2"/>
        <tr r="C19" s="2"/>
      </tp>
      <tp>
        <v>3392</v>
        <stp/>
        <stp>VOLUME</stp>
        <stp>.SPY251112C676</stp>
        <tr r="D18" s="2"/>
        <tr r="D18" s="2"/>
      </tp>
      <tp>
        <v>3891</v>
        <stp/>
        <stp>VOLUME</stp>
        <stp>.SPY251113C677</stp>
        <tr r="E17" s="2"/>
        <tr r="E17" s="2"/>
      </tp>
      <tp>
        <v>36580</v>
        <stp/>
        <stp>VOLUME</stp>
        <stp>.SPY251114C670</stp>
        <tr r="R23" s="1"/>
        <tr r="R23" s="1"/>
      </tp>
      <tp>
        <v>3149</v>
        <stp/>
        <stp>VOLUME</stp>
        <stp>.SPY251110P675</stp>
        <tr r="B19" s="2"/>
        <tr r="B19" s="2"/>
        <tr r="Q18" s="1"/>
        <tr r="Q18" s="1"/>
      </tp>
      <tp>
        <v>682</v>
        <stp/>
        <stp>VOLUME</stp>
        <stp>.SPY251111P674</stp>
        <tr r="C20" s="2"/>
        <tr r="C20" s="2"/>
      </tp>
      <tp>
        <v>160</v>
        <stp/>
        <stp>VOLUME</stp>
        <stp>.SPY251112P677</stp>
        <tr r="D17" s="2"/>
        <tr r="D17" s="2"/>
      </tp>
      <tp>
        <v>474</v>
        <stp/>
        <stp>VOLUME</stp>
        <stp>.SPY251113P676</stp>
        <tr r="E18" s="2"/>
        <tr r="E18" s="2"/>
      </tp>
      <tp>
        <v>3276</v>
        <stp/>
        <stp>VOLUME</stp>
        <stp>.SPY251114P671</stp>
        <tr r="S22" s="1"/>
        <tr r="S22" s="1"/>
      </tp>
      <tp>
        <v>7</v>
        <stp/>
        <stp>VOLUME</stp>
        <stp>.SPY260130P656</stp>
        <tr r="M38" s="2"/>
        <tr r="M38" s="2"/>
      </tp>
      <tp t="s">
        <v>N/A</v>
        <stp/>
        <stp>VOLUME</stp>
        <stp>.SPY260130C656</stp>
        <tr r="M38" s="2"/>
      </tp>
      <tp>
        <v>37914</v>
        <stp/>
        <stp>VOLUME</stp>
        <stp>.SPY251110C675</stp>
        <tr r="P18" s="1"/>
        <tr r="P18" s="1"/>
        <tr r="B19" s="2"/>
        <tr r="B19" s="2"/>
      </tp>
      <tp>
        <v>7147</v>
        <stp/>
        <stp>VOLUME</stp>
        <stp>.SPY251111C674</stp>
        <tr r="C20" s="2"/>
        <tr r="C20" s="2"/>
      </tp>
      <tp>
        <v>7519</v>
        <stp/>
        <stp>VOLUME</stp>
        <stp>.SPY251112C677</stp>
        <tr r="D17" s="2"/>
        <tr r="D17" s="2"/>
      </tp>
      <tp>
        <v>802</v>
        <stp/>
        <stp>VOLUME</stp>
        <stp>.SPY251113C676</stp>
        <tr r="E18" s="2"/>
        <tr r="E18" s="2"/>
      </tp>
      <tp>
        <v>4960</v>
        <stp/>
        <stp>VOLUME</stp>
        <stp>.SPY251114C671</stp>
        <tr r="R22" s="1"/>
        <tr r="R22" s="1"/>
      </tp>
      <tp>
        <v>5900</v>
        <stp/>
        <stp>VOLUME</stp>
        <stp>.SPY251110P672</stp>
        <tr r="Q21" s="1"/>
        <tr r="Q21" s="1"/>
        <tr r="B22" s="2"/>
        <tr r="B22" s="2"/>
      </tp>
      <tp>
        <v>990</v>
        <stp/>
        <stp>VOLUME</stp>
        <stp>.SPY251111P673</stp>
        <tr r="C21" s="2"/>
        <tr r="C21" s="2"/>
      </tp>
      <tp>
        <v>3383</v>
        <stp/>
        <stp>VOLUME</stp>
        <stp>.SPY251112P670</stp>
        <tr r="D24" s="2"/>
        <tr r="D24" s="2"/>
      </tp>
      <tp>
        <v>773</v>
        <stp/>
        <stp>VOLUME</stp>
        <stp>.SPY251113P671</stp>
        <tr r="E23" s="2"/>
        <tr r="E23" s="2"/>
      </tp>
      <tp>
        <v>482</v>
        <stp/>
        <stp>VOLUME</stp>
        <stp>.SPY251114P676</stp>
        <tr r="S17" s="1"/>
        <tr r="S17" s="1"/>
      </tp>
      <tp t="s">
        <v>N/A</v>
        <stp/>
        <stp>VOLUME</stp>
        <stp>.SPY260109P668</stp>
        <tr r="L26" s="2"/>
      </tp>
      <tp t="s">
        <v>N/A</v>
        <stp/>
        <stp>VOLUME</stp>
        <stp>.SPY260109C668</stp>
        <tr r="L26" s="2"/>
      </tp>
      <tp>
        <v>34768</v>
        <stp/>
        <stp>VOLUME</stp>
        <stp>.SPY251110C672</stp>
        <tr r="P21" s="1"/>
        <tr r="P21" s="1"/>
        <tr r="B22" s="2"/>
        <tr r="B22" s="2"/>
      </tp>
      <tp>
        <v>5535</v>
        <stp/>
        <stp>VOLUME</stp>
        <stp>.SPY251111C673</stp>
        <tr r="C21" s="2"/>
        <tr r="C21" s="2"/>
      </tp>
      <tp>
        <v>8453</v>
        <stp/>
        <stp>VOLUME</stp>
        <stp>.SPY251112C670</stp>
        <tr r="D24" s="2"/>
        <tr r="D24" s="2"/>
      </tp>
      <tp>
        <v>1001</v>
        <stp/>
        <stp>VOLUME</stp>
        <stp>.SPY251113C671</stp>
        <tr r="E23" s="2"/>
        <tr r="E23" s="2"/>
      </tp>
      <tp>
        <v>3374</v>
        <stp/>
        <stp>VOLUME</stp>
        <stp>.SPY251114C676</stp>
        <tr r="R17" s="1"/>
        <tr r="R17" s="1"/>
      </tp>
      <tp>
        <v>2330</v>
        <stp/>
        <stp>VOLUME</stp>
        <stp>.SPY251110P673</stp>
        <tr r="Q20" s="1"/>
        <tr r="Q20" s="1"/>
        <tr r="B21" s="2"/>
        <tr r="B21" s="2"/>
      </tp>
      <tp>
        <v>1029</v>
        <stp/>
        <stp>VOLUME</stp>
        <stp>.SPY251111P672</stp>
        <tr r="C22" s="2"/>
        <tr r="C22" s="2"/>
      </tp>
      <tp>
        <v>1230</v>
        <stp/>
        <stp>VOLUME</stp>
        <stp>.SPY251112P671</stp>
        <tr r="D23" s="2"/>
        <tr r="D23" s="2"/>
      </tp>
      <tp>
        <v>1730</v>
        <stp/>
        <stp>VOLUME</stp>
        <stp>.SPY251113P670</stp>
        <tr r="E24" s="2"/>
        <tr r="E24" s="2"/>
      </tp>
      <tp>
        <v>2289</v>
        <stp/>
        <stp>VOLUME</stp>
        <stp>.SPY251114P677</stp>
        <tr r="S16" s="1"/>
        <tr r="S16" s="1"/>
      </tp>
      <tp t="s">
        <v>N/A</v>
        <stp/>
        <stp>VOLUME</stp>
        <stp>.SPY260109P669</stp>
        <tr r="L25" s="2"/>
      </tp>
      <tp t="s">
        <v>N/A</v>
        <stp/>
        <stp>VOLUME</stp>
        <stp>.SPY260109C669</stp>
        <tr r="L25" s="2"/>
      </tp>
      <tp>
        <v>56538</v>
        <stp/>
        <stp>VOLUME</stp>
        <stp>.SPY251110C673</stp>
        <tr r="B21" s="2"/>
        <tr r="B21" s="2"/>
        <tr r="P20" s="1"/>
        <tr r="P20" s="1"/>
      </tp>
      <tp>
        <v>8065</v>
        <stp/>
        <stp>VOLUME</stp>
        <stp>.SPY251111C672</stp>
        <tr r="C22" s="2"/>
        <tr r="C22" s="2"/>
      </tp>
      <tp>
        <v>5281</v>
        <stp/>
        <stp>VOLUME</stp>
        <stp>.SPY251112C671</stp>
        <tr r="D23" s="2"/>
        <tr r="D23" s="2"/>
      </tp>
      <tp>
        <v>4340</v>
        <stp/>
        <stp>VOLUME</stp>
        <stp>.SPY251113C670</stp>
        <tr r="E24" s="2"/>
        <tr r="E24" s="2"/>
      </tp>
      <tp>
        <v>4775</v>
        <stp/>
        <stp>VOLUME</stp>
        <stp>.SPY251114C677</stp>
        <tr r="R16" s="1"/>
        <tr r="R16" s="1"/>
      </tp>
      <tp>
        <v>29037</v>
        <stp/>
        <stp>VOLUME</stp>
        <stp>.SPY251110P670</stp>
        <tr r="Q23" s="1"/>
        <tr r="Q23" s="1"/>
        <tr r="B24" s="2"/>
        <tr r="B24" s="2"/>
      </tp>
      <tp>
        <v>906</v>
        <stp/>
        <stp>VOLUME</stp>
        <stp>.SPY251111P671</stp>
        <tr r="C23" s="2"/>
        <tr r="C23" s="2"/>
      </tp>
      <tp>
        <v>1008</v>
        <stp/>
        <stp>VOLUME</stp>
        <stp>.SPY251112P672</stp>
        <tr r="D22" s="2"/>
        <tr r="D22" s="2"/>
      </tp>
      <tp>
        <v>445</v>
        <stp/>
        <stp>VOLUME</stp>
        <stp>.SPY251113P673</stp>
        <tr r="E21" s="2"/>
        <tr r="E21" s="2"/>
      </tp>
      <tp>
        <v>258</v>
        <stp/>
        <stp>VOLUME</stp>
        <stp>.SPY251114P674</stp>
        <tr r="S19" s="1"/>
        <tr r="S19" s="1"/>
      </tp>
      <tp>
        <v>112600</v>
        <stp/>
        <stp>VOLUME</stp>
        <stp>.SPY251110C670</stp>
        <tr r="P23" s="1"/>
        <tr r="P23" s="1"/>
        <tr r="B24" s="2"/>
        <tr r="B24" s="2"/>
      </tp>
      <tp>
        <v>16243</v>
        <stp/>
        <stp>VOLUME</stp>
        <stp>.SPY251111C671</stp>
        <tr r="C23" s="2"/>
        <tr r="C23" s="2"/>
      </tp>
      <tp>
        <v>9720</v>
        <stp/>
        <stp>VOLUME</stp>
        <stp>.SPY251112C672</stp>
        <tr r="D22" s="2"/>
        <tr r="D22" s="2"/>
      </tp>
      <tp>
        <v>1131</v>
        <stp/>
        <stp>VOLUME</stp>
        <stp>.SPY251113C673</stp>
        <tr r="E21" s="2"/>
        <tr r="E21" s="2"/>
      </tp>
      <tp>
        <v>3454</v>
        <stp/>
        <stp>VOLUME</stp>
        <stp>.SPY251114C674</stp>
        <tr r="R19" s="1"/>
        <tr r="R19" s="1"/>
      </tp>
      <tp>
        <v>7632</v>
        <stp/>
        <stp>VOLUME</stp>
        <stp>.SPY251110P671</stp>
        <tr r="B23" s="2"/>
        <tr r="B23" s="2"/>
        <tr r="Q22" s="1"/>
        <tr r="Q22" s="1"/>
      </tp>
      <tp>
        <v>7101</v>
        <stp/>
        <stp>VOLUME</stp>
        <stp>.SPY251111P670</stp>
        <tr r="C24" s="2"/>
        <tr r="C24" s="2"/>
      </tp>
      <tp>
        <v>679</v>
        <stp/>
        <stp>VOLUME</stp>
        <stp>.SPY251112P673</stp>
        <tr r="D21" s="2"/>
        <tr r="D21" s="2"/>
      </tp>
      <tp>
        <v>613</v>
        <stp/>
        <stp>VOLUME</stp>
        <stp>.SPY251113P672</stp>
        <tr r="E22" s="2"/>
        <tr r="E22" s="2"/>
      </tp>
      <tp>
        <v>1747</v>
        <stp/>
        <stp>VOLUME</stp>
        <stp>.SPY251114P675</stp>
        <tr r="S18" s="1"/>
        <tr r="S18" s="1"/>
      </tp>
      <tp>
        <v>33321</v>
        <stp/>
        <stp>VOLUME</stp>
        <stp>.SPY251110C671</stp>
        <tr r="P22" s="1"/>
        <tr r="P22" s="1"/>
        <tr r="B23" s="2"/>
        <tr r="B23" s="2"/>
      </tp>
      <tp>
        <v>20103</v>
        <stp/>
        <stp>VOLUME</stp>
        <stp>.SPY251111C670</stp>
        <tr r="C24" s="2"/>
        <tr r="C24" s="2"/>
      </tp>
      <tp>
        <v>3489</v>
        <stp/>
        <stp>VOLUME</stp>
        <stp>.SPY251112C673</stp>
        <tr r="D21" s="2"/>
        <tr r="D21" s="2"/>
      </tp>
      <tp>
        <v>4248</v>
        <stp/>
        <stp>VOLUME</stp>
        <stp>.SPY251113C672</stp>
        <tr r="E22" s="2"/>
        <tr r="E22" s="2"/>
      </tp>
      <tp>
        <v>19585</v>
        <stp/>
        <stp>VOLUME</stp>
        <stp>.SPY251114C675</stp>
        <tr r="R18" s="1"/>
        <tr r="R18" s="1"/>
      </tp>
      <tp t="s">
        <v>N/A</v>
        <stp/>
        <stp>VOLUME</stp>
        <stp>.SPY260109P664</stp>
        <tr r="L30" s="2"/>
      </tp>
      <tp t="s">
        <v>N/A</v>
        <stp/>
        <stp>VOLUME</stp>
        <stp>.SPY260109C664</stp>
        <tr r="L30" s="2"/>
      </tp>
      <tp t="s">
        <v>N/A</v>
        <stp/>
        <stp>VOLUME</stp>
        <stp>.SPY260109P665</stp>
        <tr r="L29" s="2"/>
      </tp>
      <tp t="s">
        <v>N/A</v>
        <stp/>
        <stp>VOLUME</stp>
        <stp>.SPY260109C665</stp>
        <tr r="L29" s="2"/>
      </tp>
      <tp>
        <v>401</v>
        <stp/>
        <stp>VOLUME</stp>
        <stp>.SPY251114P678</stp>
        <tr r="S15" s="1"/>
        <tr r="S15" s="1"/>
      </tp>
      <tp t="s">
        <v>N/A</v>
        <stp/>
        <stp>VOLUME</stp>
        <stp>.SPY260109P666</stp>
        <tr r="L28" s="2"/>
      </tp>
      <tp t="s">
        <v>N/A</v>
        <stp/>
        <stp>VOLUME</stp>
        <stp>.SPY260109C666</stp>
        <tr r="L28" s="2"/>
      </tp>
      <tp>
        <v>3636</v>
        <stp/>
        <stp>VOLUME</stp>
        <stp>.SPY251114C678</stp>
        <tr r="R15" s="1"/>
        <tr r="R15" s="1"/>
      </tp>
      <tp>
        <v>288</v>
        <stp/>
        <stp>VOLUME</stp>
        <stp>.SPY251114P679</stp>
        <tr r="S14" s="1"/>
        <tr r="S14" s="1"/>
      </tp>
      <tp t="s">
        <v>N/A</v>
        <stp/>
        <stp>VOLUME</stp>
        <stp>.SPY260109P667</stp>
        <tr r="L27" s="2"/>
      </tp>
      <tp t="s">
        <v>N/A</v>
        <stp/>
        <stp>VOLUME</stp>
        <stp>.SPY260109C667</stp>
        <tr r="L27" s="2"/>
      </tp>
      <tp>
        <v>6367</v>
        <stp/>
        <stp>VOLUME</stp>
        <stp>.SPY251114C679</stp>
        <tr r="R14" s="1"/>
        <tr r="R14" s="1"/>
      </tp>
      <tp>
        <v>194</v>
        <stp/>
        <stp>VOLUME</stp>
        <stp>.SPY251112P678</stp>
        <tr r="D16" s="2"/>
        <tr r="D16" s="2"/>
      </tp>
      <tp>
        <v>609</v>
        <stp/>
        <stp>VOLUME</stp>
        <stp>.SPY251113P679</stp>
        <tr r="E15" s="2"/>
        <tr r="E15" s="2"/>
      </tp>
      <tp t="s">
        <v>N/A</v>
        <stp/>
        <stp>VOLUME</stp>
        <stp>.SPY260109P660</stp>
        <tr r="L34" s="2"/>
      </tp>
      <tp>
        <v>7</v>
        <stp/>
        <stp>VOLUME</stp>
        <stp>.SPY260130P659</stp>
        <tr r="M35" s="2"/>
        <tr r="M35" s="2"/>
      </tp>
      <tp t="s">
        <v>N/A</v>
        <stp/>
        <stp>VOLUME</stp>
        <stp>.SPY260109C660</stp>
        <tr r="L34" s="2"/>
      </tp>
      <tp>
        <v>27</v>
        <stp/>
        <stp>VOLUME</stp>
        <stp>.SPY260130C659</stp>
        <tr r="M35" s="2"/>
        <tr r="M35" s="2"/>
      </tp>
      <tp>
        <v>3032</v>
        <stp/>
        <stp>VOLUME</stp>
        <stp>.SPY251112C678</stp>
        <tr r="D16" s="2"/>
        <tr r="D16" s="2"/>
      </tp>
      <tp>
        <v>914</v>
        <stp/>
        <stp>VOLUME</stp>
        <stp>.SPY251113C679</stp>
        <tr r="E15" s="2"/>
        <tr r="E15" s="2"/>
      </tp>
      <tp>
        <v>162</v>
        <stp/>
        <stp>VOLUME</stp>
        <stp>.SPY251112P679</stp>
        <tr r="D15" s="2"/>
        <tr r="D15" s="2"/>
      </tp>
      <tp>
        <v>541</v>
        <stp/>
        <stp>VOLUME</stp>
        <stp>.SPY251113P678</stp>
        <tr r="E16" s="2"/>
        <tr r="E16" s="2"/>
      </tp>
      <tp t="s">
        <v>N/A</v>
        <stp/>
        <stp>VOLUME</stp>
        <stp>.SPY260109P661</stp>
        <tr r="L33" s="2"/>
      </tp>
      <tp>
        <v>8</v>
        <stp/>
        <stp>VOLUME</stp>
        <stp>.SPY260130P658</stp>
        <tr r="M36" s="2"/>
        <tr r="M36" s="2"/>
      </tp>
      <tp t="s">
        <v>N/A</v>
        <stp/>
        <stp>VOLUME</stp>
        <stp>.SPY260109C661</stp>
        <tr r="L33" s="2"/>
      </tp>
      <tp t="s">
        <v>N/A</v>
        <stp/>
        <stp>VOLUME</stp>
        <stp>.SPY260130C658</stp>
        <tr r="M36" s="2"/>
      </tp>
      <tp>
        <v>1867</v>
        <stp/>
        <stp>VOLUME</stp>
        <stp>.SPY251112C679</stp>
        <tr r="D15" s="2"/>
        <tr r="D15" s="2"/>
      </tp>
      <tp>
        <v>1380</v>
        <stp/>
        <stp>VOLUME</stp>
        <stp>.SPY251113C678</stp>
        <tr r="E16" s="2"/>
        <tr r="E16" s="2"/>
      </tp>
      <tp>
        <v>1266</v>
        <stp/>
        <stp>VOLUME</stp>
        <stp>.SPY251110P678</stp>
        <tr r="B16" s="2"/>
        <tr r="B16" s="2"/>
        <tr r="Q15" s="1"/>
        <tr r="Q15" s="1"/>
      </tp>
      <tp>
        <v>156</v>
        <stp/>
        <stp>VOLUME</stp>
        <stp>.SPY251111P679</stp>
        <tr r="C15" s="2"/>
        <tr r="C15" s="2"/>
      </tp>
      <tp t="s">
        <v>N/A</v>
        <stp/>
        <stp>VOLUME</stp>
        <stp>.SPY260109P662</stp>
        <tr r="L32" s="2"/>
      </tp>
      <tp t="s">
        <v>N/A</v>
        <stp/>
        <stp>VOLUME</stp>
        <stp>.SPY260109C662</stp>
        <tr r="L32" s="2"/>
      </tp>
      <tp>
        <v>16546</v>
        <stp/>
        <stp>VOLUME</stp>
        <stp>.SPY251110C678</stp>
        <tr r="B16" s="2"/>
        <tr r="B16" s="2"/>
        <tr r="P15" s="1"/>
        <tr r="P15" s="1"/>
      </tp>
      <tp>
        <v>2974</v>
        <stp/>
        <stp>VOLUME</stp>
        <stp>.SPY251111C679</stp>
        <tr r="C15" s="2"/>
        <tr r="C15" s="2"/>
      </tp>
      <tp>
        <v>3033</v>
        <stp/>
        <stp>VOLUME</stp>
        <stp>.SPY251110P679</stp>
        <tr r="Q14" s="1"/>
        <tr r="Q14" s="1"/>
        <tr r="B15" s="2"/>
        <tr r="B15" s="2"/>
      </tp>
      <tp>
        <v>374</v>
        <stp/>
        <stp>VOLUME</stp>
        <stp>.SPY251111P678</stp>
        <tr r="C16" s="2"/>
        <tr r="C16" s="2"/>
      </tp>
      <tp t="s">
        <v>N/A</v>
        <stp/>
        <stp>VOLUME</stp>
        <stp>.SPY260109P663</stp>
        <tr r="L31" s="2"/>
      </tp>
      <tp t="s">
        <v>N/A</v>
        <stp/>
        <stp>VOLUME</stp>
        <stp>.SPY260109C663</stp>
        <tr r="L31" s="2"/>
      </tp>
      <tp>
        <v>20130</v>
        <stp/>
        <stp>VOLUME</stp>
        <stp>.SPY251110C679</stp>
        <tr r="P14" s="1"/>
        <tr r="P14" s="1"/>
        <tr r="B15" s="2"/>
        <tr r="B15" s="2"/>
      </tp>
      <tp>
        <v>3950</v>
        <stp/>
        <stp>VOLUME</stp>
        <stp>.SPY251111C678</stp>
        <tr r="C16" s="2"/>
        <tr r="C16" s="2"/>
      </tp>
      <tp>
        <v>115</v>
        <stp/>
        <stp>VOLUME</stp>
        <stp>.SPY251212P684</stp>
        <tr r="J10" s="2"/>
        <tr r="J10" s="2"/>
      </tp>
      <tp>
        <v>111</v>
        <stp/>
        <stp>VOLUME</stp>
        <stp>.SPY251212C684</stp>
        <tr r="J10" s="2"/>
        <tr r="J10" s="2"/>
      </tp>
      <tp>
        <v>11</v>
        <stp/>
        <stp>VOLUME</stp>
        <stp>.SPY251212P685</stp>
        <tr r="J9" s="2"/>
        <tr r="J9" s="2"/>
      </tp>
      <tp>
        <v>148</v>
        <stp/>
        <stp>VOLUME</stp>
        <stp>.SPY251212C685</stp>
        <tr r="J9" s="2"/>
        <tr r="J9" s="2"/>
      </tp>
      <tp>
        <v>2</v>
        <stp/>
        <stp>VOLUME</stp>
        <stp>.SPY251212P686</stp>
        <tr r="J8" s="2"/>
        <tr r="J8" s="2"/>
      </tp>
      <tp>
        <v>155</v>
        <stp/>
        <stp>VOLUME</stp>
        <stp>.SPY251212C686</stp>
        <tr r="J8" s="2"/>
        <tr r="J8" s="2"/>
      </tp>
      <tp>
        <v>201</v>
        <stp/>
        <stp>VOLUME</stp>
        <stp>.SPY251212P687</stp>
        <tr r="J7" s="2"/>
        <tr r="J7" s="2"/>
      </tp>
      <tp>
        <v>10</v>
        <stp/>
        <stp>VOLUME</stp>
        <stp>.SPY251212C687</stp>
        <tr r="J7" s="2"/>
        <tr r="J7" s="2"/>
      </tp>
      <tp>
        <v>32</v>
        <stp/>
        <stp>VOLUME</stp>
        <stp>.SPY251212P680</stp>
        <tr r="J14" s="2"/>
        <tr r="J14" s="2"/>
      </tp>
      <tp>
        <v>721</v>
        <stp/>
        <stp>VOLUME</stp>
        <stp>.SPY251212C680</stp>
        <tr r="J14" s="2"/>
        <tr r="J14" s="2"/>
      </tp>
      <tp>
        <v>4</v>
        <stp/>
        <stp>VOLUME</stp>
        <stp>.SPY251212P681</stp>
        <tr r="J13" s="2"/>
        <tr r="J13" s="2"/>
      </tp>
      <tp>
        <v>303</v>
        <stp/>
        <stp>VOLUME</stp>
        <stp>.SPY251212C681</stp>
        <tr r="J13" s="2"/>
        <tr r="J13" s="2"/>
      </tp>
      <tp>
        <v>8</v>
        <stp/>
        <stp>VOLUME</stp>
        <stp>.SPY251212P682</stp>
        <tr r="J12" s="2"/>
        <tr r="J12" s="2"/>
      </tp>
      <tp>
        <v>23</v>
        <stp/>
        <stp>VOLUME</stp>
        <stp>.SPY251219P689</stp>
        <tr r="K5" s="2"/>
        <tr r="K5" s="2"/>
      </tp>
      <tp>
        <v>43</v>
        <stp/>
        <stp>VOLUME</stp>
        <stp>.SPY251212C682</stp>
        <tr r="J12" s="2"/>
        <tr r="J12" s="2"/>
      </tp>
      <tp>
        <v>323</v>
        <stp/>
        <stp>VOLUME</stp>
        <stp>.SPY251219C689</stp>
        <tr r="K5" s="2"/>
        <tr r="K5" s="2"/>
      </tp>
      <tp>
        <v>440</v>
        <stp/>
        <stp>VOLUME</stp>
        <stp>.SPY251212P683</stp>
        <tr r="J11" s="2"/>
        <tr r="J11" s="2"/>
      </tp>
      <tp>
        <v>64</v>
        <stp/>
        <stp>VOLUME</stp>
        <stp>.SPY251219P688</stp>
        <tr r="K6" s="2"/>
        <tr r="K6" s="2"/>
      </tp>
      <tp>
        <v>53</v>
        <stp/>
        <stp>VOLUME</stp>
        <stp>.SPY251212C683</stp>
        <tr r="J11" s="2"/>
        <tr r="J11" s="2"/>
      </tp>
      <tp>
        <v>276</v>
        <stp/>
        <stp>VOLUME</stp>
        <stp>.SPY251219C688</stp>
        <tr r="K6" s="2"/>
        <tr r="K6" s="2"/>
      </tp>
      <tp>
        <v>50</v>
        <stp/>
        <stp>VOLUME</stp>
        <stp>.SPY251219P687</stp>
        <tr r="K7" s="2"/>
        <tr r="K7" s="2"/>
      </tp>
      <tp>
        <v>316</v>
        <stp/>
        <stp>VOLUME</stp>
        <stp>.SPY251219C687</stp>
        <tr r="K7" s="2"/>
        <tr r="K7" s="2"/>
      </tp>
      <tp>
        <v>144</v>
        <stp/>
        <stp>VOLUME</stp>
        <stp>.SPY251219P686</stp>
        <tr r="K8" s="2"/>
        <tr r="K8" s="2"/>
      </tp>
      <tp>
        <v>347</v>
        <stp/>
        <stp>VOLUME</stp>
        <stp>.SPY251219C686</stp>
        <tr r="K8" s="2"/>
        <tr r="K8" s="2"/>
      </tp>
      <tp>
        <v>240</v>
        <stp/>
        <stp>VOLUME</stp>
        <stp>.SPY251219P685</stp>
        <tr r="K9" s="2"/>
        <tr r="K9" s="2"/>
      </tp>
      <tp>
        <v>2704</v>
        <stp/>
        <stp>VOLUME</stp>
        <stp>.SPY251219C685</stp>
        <tr r="K9" s="2"/>
        <tr r="K9" s="2"/>
      </tp>
      <tp>
        <v>55</v>
        <stp/>
        <stp>VOLUME</stp>
        <stp>.SPY251219P684</stp>
        <tr r="K10" s="2"/>
        <tr r="K10" s="2"/>
      </tp>
      <tp>
        <v>592</v>
        <stp/>
        <stp>VOLUME</stp>
        <stp>.SPY251219C684</stp>
        <tr r="K10" s="2"/>
        <tr r="K10" s="2"/>
      </tp>
      <tp>
        <v>4</v>
        <stp/>
        <stp>VOLUME</stp>
        <stp>.SPY251212P688</stp>
        <tr r="J6" s="2"/>
        <tr r="J6" s="2"/>
      </tp>
      <tp>
        <v>45</v>
        <stp/>
        <stp>VOLUME</stp>
        <stp>.SPY251219P683</stp>
        <tr r="K11" s="2"/>
        <tr r="K11" s="2"/>
      </tp>
      <tp>
        <v>266</v>
        <stp/>
        <stp>VOLUME</stp>
        <stp>.SPY251212C688</stp>
        <tr r="J6" s="2"/>
        <tr r="J6" s="2"/>
      </tp>
      <tp>
        <v>840</v>
        <stp/>
        <stp>VOLUME</stp>
        <stp>.SPY251219C683</stp>
        <tr r="K11" s="2"/>
        <tr r="K11" s="2"/>
      </tp>
      <tp>
        <v>11</v>
        <stp/>
        <stp>VOLUME</stp>
        <stp>.SPY251212P689</stp>
        <tr r="J5" s="2"/>
        <tr r="J5" s="2"/>
      </tp>
      <tp>
        <v>65</v>
        <stp/>
        <stp>VOLUME</stp>
        <stp>.SPY251219P682</stp>
        <tr r="K12" s="2"/>
        <tr r="K12" s="2"/>
      </tp>
      <tp>
        <v>107</v>
        <stp/>
        <stp>VOLUME</stp>
        <stp>.SPY251212C689</stp>
        <tr r="J5" s="2"/>
        <tr r="J5" s="2"/>
      </tp>
      <tp>
        <v>1408</v>
        <stp/>
        <stp>VOLUME</stp>
        <stp>.SPY251219C682</stp>
        <tr r="K12" s="2"/>
        <tr r="K12" s="2"/>
      </tp>
      <tp>
        <v>126</v>
        <stp/>
        <stp>VOLUME</stp>
        <stp>.SPY251219P681</stp>
        <tr r="K13" s="2"/>
        <tr r="K13" s="2"/>
      </tp>
      <tp>
        <v>799</v>
        <stp/>
        <stp>VOLUME</stp>
        <stp>.SPY251219C681</stp>
        <tr r="K13" s="2"/>
        <tr r="K13" s="2"/>
      </tp>
      <tp>
        <v>3575</v>
        <stp/>
        <stp>VOLUME</stp>
        <stp>.SPY251219P680</stp>
        <tr r="K14" s="2"/>
        <tr r="K14" s="2"/>
      </tp>
      <tp>
        <v>19127</v>
        <stp/>
        <stp>VOLUME</stp>
        <stp>.SPY251219C680</stp>
        <tr r="K14" s="2"/>
        <tr r="K14" s="2"/>
      </tp>
      <tp>
        <v>35</v>
        <stp/>
        <stp>VOLUME</stp>
        <stp>.SPY251205P683</stp>
        <tr r="I11" s="2"/>
        <tr r="I11" s="2"/>
      </tp>
      <tp t="s">
        <v>N/A</v>
        <stp/>
        <stp>VOLUME</stp>
        <stp>.SPY260206P683</stp>
        <tr r="N11" s="2"/>
      </tp>
      <tp t="s">
        <v>N/A</v>
        <stp/>
        <stp>VOLUME</stp>
        <stp>.SPY260206C683</stp>
        <tr r="N11" s="2"/>
      </tp>
      <tp>
        <v>253</v>
        <stp/>
        <stp>VOLUME</stp>
        <stp>.SPY251205C683</stp>
        <tr r="I11" s="2"/>
        <tr r="I11" s="2"/>
      </tp>
      <tp>
        <v>62</v>
        <stp/>
        <stp>VOLUME</stp>
        <stp>.SPY251205P682</stp>
        <tr r="I12" s="2"/>
        <tr r="I12" s="2"/>
      </tp>
      <tp t="s">
        <v>N/A</v>
        <stp/>
        <stp>VOLUME</stp>
        <stp>.SPY260206P682</stp>
        <tr r="N12" s="2"/>
      </tp>
      <tp t="s">
        <v>N/A</v>
        <stp/>
        <stp>VOLUME</stp>
        <stp>.SPY260206C682</stp>
        <tr r="N12" s="2"/>
      </tp>
      <tp>
        <v>611</v>
        <stp/>
        <stp>VOLUME</stp>
        <stp>.SPY251205C682</stp>
        <tr r="I12" s="2"/>
        <tr r="I12" s="2"/>
      </tp>
      <tp>
        <v>4</v>
        <stp/>
        <stp>VOLUME</stp>
        <stp>.SPY251205P681</stp>
        <tr r="I13" s="2"/>
        <tr r="I13" s="2"/>
      </tp>
      <tp t="s">
        <v>N/A</v>
        <stp/>
        <stp>VOLUME</stp>
        <stp>.SPY260206P681</stp>
        <tr r="N13" s="2"/>
      </tp>
      <tp t="s">
        <v>N/A</v>
        <stp/>
        <stp>VOLUME</stp>
        <stp>.SPY260206C681</stp>
        <tr r="N13" s="2"/>
      </tp>
      <tp>
        <v>368</v>
        <stp/>
        <stp>VOLUME</stp>
        <stp>.SPY251205C681</stp>
        <tr r="I13" s="2"/>
        <tr r="I13" s="2"/>
      </tp>
      <tp>
        <v>120</v>
        <stp/>
        <stp>VOLUME</stp>
        <stp>.SPY251205P680</stp>
        <tr r="I14" s="2"/>
        <tr r="I14" s="2"/>
      </tp>
      <tp t="s">
        <v>N/A</v>
        <stp/>
        <stp>VOLUME</stp>
        <stp>.SPY260206P680</stp>
        <tr r="N14" s="2"/>
      </tp>
      <tp t="s">
        <v>N/A</v>
        <stp/>
        <stp>VOLUME</stp>
        <stp>.SPY260206C680</stp>
        <tr r="N14" s="2"/>
      </tp>
      <tp>
        <v>1924</v>
        <stp/>
        <stp>VOLUME</stp>
        <stp>.SPY251205C680</stp>
        <tr r="I14" s="2"/>
        <tr r="I14" s="2"/>
      </tp>
      <tp>
        <v>55</v>
        <stp/>
        <stp>VOLUME</stp>
        <stp>.SPY251205P687</stp>
        <tr r="I7" s="2"/>
        <tr r="I7" s="2"/>
      </tp>
      <tp t="s">
        <v>N/A</v>
        <stp/>
        <stp>VOLUME</stp>
        <stp>.SPY260206P687</stp>
        <tr r="N7" s="2"/>
      </tp>
      <tp t="s">
        <v>N/A</v>
        <stp/>
        <stp>VOLUME</stp>
        <stp>.SPY260206C687</stp>
        <tr r="N7" s="2"/>
      </tp>
      <tp>
        <v>364</v>
        <stp/>
        <stp>VOLUME</stp>
        <stp>.SPY251205C687</stp>
        <tr r="I7" s="2"/>
        <tr r="I7" s="2"/>
      </tp>
      <tp>
        <v>21</v>
        <stp/>
        <stp>VOLUME</stp>
        <stp>.SPY251205P686</stp>
        <tr r="I8" s="2"/>
        <tr r="I8" s="2"/>
      </tp>
      <tp t="s">
        <v>N/A</v>
        <stp/>
        <stp>VOLUME</stp>
        <stp>.SPY260206P686</stp>
        <tr r="N8" s="2"/>
      </tp>
      <tp t="s">
        <v>N/A</v>
        <stp/>
        <stp>VOLUME</stp>
        <stp>.SPY260206C686</stp>
        <tr r="N8" s="2"/>
      </tp>
      <tp>
        <v>329</v>
        <stp/>
        <stp>VOLUME</stp>
        <stp>.SPY251205C686</stp>
        <tr r="I8" s="2"/>
        <tr r="I8" s="2"/>
      </tp>
      <tp>
        <v>43</v>
        <stp/>
        <stp>VOLUME</stp>
        <stp>.SPY251205P685</stp>
        <tr r="I9" s="2"/>
        <tr r="I9" s="2"/>
      </tp>
      <tp t="s">
        <v>N/A</v>
        <stp/>
        <stp>VOLUME</stp>
        <stp>.SPY260206P685</stp>
        <tr r="N9" s="2"/>
      </tp>
      <tp t="s">
        <v>N/A</v>
        <stp/>
        <stp>VOLUME</stp>
        <stp>.SPY260206C685</stp>
        <tr r="N9" s="2"/>
      </tp>
      <tp>
        <v>1652</v>
        <stp/>
        <stp>VOLUME</stp>
        <stp>.SPY251205C685</stp>
        <tr r="I9" s="2"/>
        <tr r="I9" s="2"/>
      </tp>
      <tp>
        <v>107</v>
        <stp/>
        <stp>VOLUME</stp>
        <stp>.SPY251205P684</stp>
        <tr r="I10" s="2"/>
        <tr r="I10" s="2"/>
      </tp>
      <tp t="s">
        <v>N/A</v>
        <stp/>
        <stp>VOLUME</stp>
        <stp>.SPY260206P684</stp>
        <tr r="N10" s="2"/>
      </tp>
      <tp t="s">
        <v>N/A</v>
        <stp/>
        <stp>VOLUME</stp>
        <stp>.SPY260206C684</stp>
        <tr r="N10" s="2"/>
      </tp>
      <tp>
        <v>294</v>
        <stp/>
        <stp>VOLUME</stp>
        <stp>.SPY251205C684</stp>
        <tr r="I10" s="2"/>
        <tr r="I10" s="2"/>
      </tp>
      <tp>
        <v>7</v>
        <stp/>
        <stp>VOLUME</stp>
        <stp>.SPY251205P689</stp>
        <tr r="I5" s="2"/>
        <tr r="I5" s="2"/>
      </tp>
      <tp t="s">
        <v>N/A</v>
        <stp/>
        <stp>VOLUME</stp>
        <stp>.SPY260206P689</stp>
        <tr r="N5" s="2"/>
      </tp>
      <tp t="s">
        <v>N/A</v>
        <stp/>
        <stp>VOLUME</stp>
        <stp>.SPY260206C689</stp>
        <tr r="N5" s="2"/>
      </tp>
      <tp>
        <v>231</v>
        <stp/>
        <stp>VOLUME</stp>
        <stp>.SPY251205C689</stp>
        <tr r="I5" s="2"/>
        <tr r="I5" s="2"/>
      </tp>
      <tp>
        <v>30</v>
        <stp/>
        <stp>VOLUME</stp>
        <stp>.SPY251205P688</stp>
        <tr r="I6" s="2"/>
        <tr r="I6" s="2"/>
      </tp>
      <tp t="s">
        <v>N/A</v>
        <stp/>
        <stp>VOLUME</stp>
        <stp>.SPY260206P688</stp>
        <tr r="N6" s="2"/>
      </tp>
      <tp t="s">
        <v>N/A</v>
        <stp/>
        <stp>VOLUME</stp>
        <stp>.SPY260206C688</stp>
        <tr r="N6" s="2"/>
      </tp>
      <tp>
        <v>317</v>
        <stp/>
        <stp>VOLUME</stp>
        <stp>.SPY251205C688</stp>
        <tr r="I6" s="2"/>
        <tr r="I6" s="2"/>
      </tp>
      <tp>
        <v>4</v>
        <stp/>
        <stp>VOLUME</stp>
        <stp>.SPY251231P687</stp>
        <tr r="O7" s="2"/>
        <tr r="O7" s="2"/>
      </tp>
      <tp>
        <v>169</v>
        <stp/>
        <stp>VOLUME</stp>
        <stp>.SPY251231C687</stp>
        <tr r="O7" s="2"/>
        <tr r="O7" s="2"/>
      </tp>
      <tp>
        <v>288</v>
        <stp/>
        <stp>VOLUME</stp>
        <stp>.SPY251231P686</stp>
        <tr r="O8" s="2"/>
        <tr r="O8" s="2"/>
      </tp>
      <tp>
        <v>18</v>
        <stp/>
        <stp>VOLUME</stp>
        <stp>.SPY251231C686</stp>
        <tr r="O8" s="2"/>
        <tr r="O8" s="2"/>
      </tp>
      <tp>
        <v>381</v>
        <stp/>
        <stp>VOLUME</stp>
        <stp>.SPY251231P685</stp>
        <tr r="O9" s="2"/>
        <tr r="O9" s="2"/>
      </tp>
      <tp>
        <v>736</v>
        <stp/>
        <stp>VOLUME</stp>
        <stp>.SPY251231C685</stp>
        <tr r="O9" s="2"/>
        <tr r="O9" s="2"/>
      </tp>
      <tp>
        <v>11</v>
        <stp/>
        <stp>VOLUME</stp>
        <stp>.SPY251231P684</stp>
        <tr r="O10" s="2"/>
        <tr r="O10" s="2"/>
      </tp>
      <tp>
        <v>314</v>
        <stp/>
        <stp>VOLUME</stp>
        <stp>.SPY251231C684</stp>
        <tr r="O10" s="2"/>
        <tr r="O10" s="2"/>
      </tp>
      <tp>
        <v>16</v>
        <stp/>
        <stp>VOLUME</stp>
        <stp>.SPY251231P683</stp>
        <tr r="O11" s="2"/>
        <tr r="O11" s="2"/>
      </tp>
      <tp>
        <v>17</v>
        <stp/>
        <stp>VOLUME</stp>
        <stp>.SPY251231C683</stp>
        <tr r="O11" s="2"/>
        <tr r="O11" s="2"/>
      </tp>
      <tp>
        <v>13</v>
        <stp/>
        <stp>VOLUME</stp>
        <stp>.SPY251231P682</stp>
        <tr r="O12" s="2"/>
        <tr r="O12" s="2"/>
      </tp>
      <tp>
        <v>206</v>
        <stp/>
        <stp>VOLUME</stp>
        <stp>.SPY251231C682</stp>
        <tr r="O12" s="2"/>
        <tr r="O12" s="2"/>
      </tp>
      <tp>
        <v>10</v>
        <stp/>
        <stp>VOLUME</stp>
        <stp>.SPY251231P681</stp>
        <tr r="O13" s="2"/>
        <tr r="O13" s="2"/>
      </tp>
      <tp>
        <v>28</v>
        <stp/>
        <stp>VOLUME</stp>
        <stp>.SPY251231C681</stp>
        <tr r="O13" s="2"/>
        <tr r="O13" s="2"/>
      </tp>
      <tp>
        <v>780</v>
        <stp/>
        <stp>VOLUME</stp>
        <stp>.SPY251231P680</stp>
        <tr r="O14" s="2"/>
        <tr r="O14" s="2"/>
      </tp>
      <tp>
        <v>852</v>
        <stp/>
        <stp>VOLUME</stp>
        <stp>.SPY251231C680</stp>
        <tr r="O14" s="2"/>
        <tr r="O14" s="2"/>
      </tp>
      <tp>
        <v>50</v>
        <stp/>
        <stp>VOLUME</stp>
        <stp>.SPY251231P689</stp>
        <tr r="O5" s="2"/>
        <tr r="O5" s="2"/>
      </tp>
      <tp>
        <v>42</v>
        <stp/>
        <stp>VOLUME</stp>
        <stp>.SPY251231C689</stp>
        <tr r="O5" s="2"/>
        <tr r="O5" s="2"/>
      </tp>
      <tp>
        <v>5</v>
        <stp/>
        <stp>VOLUME</stp>
        <stp>.SPY251231P688</stp>
        <tr r="O6" s="2"/>
        <tr r="O6" s="2"/>
      </tp>
      <tp>
        <v>80</v>
        <stp/>
        <stp>VOLUME</stp>
        <stp>.SPY251231C688</stp>
        <tr r="O6" s="2"/>
        <tr r="O6" s="2"/>
      </tp>
      <tp t="s">
        <v>N/A</v>
        <stp/>
        <stp>VOLUME</stp>
        <stp>.SPY260227P682</stp>
        <tr r="P12" s="2"/>
      </tp>
      <tp t="s">
        <v>N/A</v>
        <stp/>
        <stp>VOLUME</stp>
        <stp>.SPY260227C682</stp>
        <tr r="P12" s="2"/>
      </tp>
      <tp t="s">
        <v>N/A</v>
        <stp/>
        <stp>VOLUME</stp>
        <stp>.SPY260227P683</stp>
        <tr r="P11" s="2"/>
      </tp>
      <tp t="s">
        <v>N/A</v>
        <stp/>
        <stp>VOLUME</stp>
        <stp>.SPY260227C683</stp>
        <tr r="P11" s="2"/>
      </tp>
      <tp>
        <v>27</v>
        <stp/>
        <stp>VOLUME</stp>
        <stp>.SPY260227P680</stp>
        <tr r="P14" s="2"/>
        <tr r="P14" s="2"/>
      </tp>
      <tp>
        <v>84</v>
        <stp/>
        <stp>VOLUME</stp>
        <stp>.SPY260227C680</stp>
        <tr r="P14" s="2"/>
        <tr r="P14" s="2"/>
      </tp>
      <tp t="s">
        <v>N/A</v>
        <stp/>
        <stp>VOLUME</stp>
        <stp>.SPY260227P681</stp>
        <tr r="P13" s="2"/>
      </tp>
      <tp t="s">
        <v>N/A</v>
        <stp/>
        <stp>VOLUME</stp>
        <stp>.SPY260227C681</stp>
        <tr r="P13" s="2"/>
      </tp>
      <tp t="s">
        <v>N/A</v>
        <stp/>
        <stp>VOLUME</stp>
        <stp>.SPY260227P686</stp>
        <tr r="P8" s="2"/>
      </tp>
      <tp t="s">
        <v>N/A</v>
        <stp/>
        <stp>VOLUME</stp>
        <stp>.SPY260227C686</stp>
        <tr r="P8" s="2"/>
      </tp>
      <tp t="s">
        <v>N/A</v>
        <stp/>
        <stp>VOLUME</stp>
        <stp>.SPY260227P687</stp>
        <tr r="P7" s="2"/>
      </tp>
      <tp t="s">
        <v>N/A</v>
        <stp/>
        <stp>VOLUME</stp>
        <stp>.SPY260227C687</stp>
        <tr r="P7" s="2"/>
      </tp>
      <tp t="s">
        <v>N/A</v>
        <stp/>
        <stp>VOLUME</stp>
        <stp>.SPY260227P684</stp>
        <tr r="P10" s="2"/>
      </tp>
      <tp t="s">
        <v>N/A</v>
        <stp/>
        <stp>VOLUME</stp>
        <stp>.SPY260227C684</stp>
        <tr r="P10" s="2"/>
      </tp>
      <tp>
        <v>10</v>
        <stp/>
        <stp>VOLUME</stp>
        <stp>.SPY260227P685</stp>
        <tr r="P9" s="2"/>
        <tr r="P9" s="2"/>
      </tp>
      <tp>
        <v>23</v>
        <stp/>
        <stp>VOLUME</stp>
        <stp>.SPY260227C685</stp>
        <tr r="P9" s="2"/>
        <tr r="P9" s="2"/>
      </tp>
      <tp t="s">
        <v>N/A</v>
        <stp/>
        <stp>VOLUME</stp>
        <stp>.SPY260227P688</stp>
        <tr r="P6" s="2"/>
      </tp>
      <tp t="s">
        <v>N/A</v>
        <stp/>
        <stp>VOLUME</stp>
        <stp>.SPY260227C688</stp>
        <tr r="P6" s="2"/>
      </tp>
      <tp t="s">
        <v>N/A</v>
        <stp/>
        <stp>VOLUME</stp>
        <stp>.SPY260227P689</stp>
        <tr r="P5" s="2"/>
      </tp>
      <tp t="s">
        <v>N/A</v>
        <stp/>
        <stp>VOLUME</stp>
        <stp>.SPY260227C689</stp>
        <tr r="P5" s="2"/>
      </tp>
      <tp>
        <v>308</v>
        <stp/>
        <stp>VOLUME</stp>
        <stp>.SPY251231P667</stp>
        <tr r="O27" s="2"/>
        <tr r="O27" s="2"/>
      </tp>
      <tp>
        <v>1</v>
        <stp/>
        <stp>VOLUME</stp>
        <stp>.SPY260227P672</stp>
        <tr r="P22" s="2"/>
        <tr r="P22" s="2"/>
      </tp>
      <tp>
        <v>2</v>
        <stp/>
        <stp>VOLUME</stp>
        <stp>.SPY260227C672</stp>
        <tr r="P22" s="2"/>
        <tr r="P22" s="2"/>
      </tp>
      <tp>
        <v>293</v>
        <stp/>
        <stp>VOLUME</stp>
        <stp>.SPY251231C667</stp>
        <tr r="O27" s="2"/>
        <tr r="O27" s="2"/>
      </tp>
      <tp>
        <v>404</v>
        <stp/>
        <stp>VOLUME</stp>
        <stp>.SPY251231P666</stp>
        <tr r="O28" s="2"/>
        <tr r="O28" s="2"/>
      </tp>
      <tp>
        <v>127</v>
        <stp/>
        <stp>VOLUME</stp>
        <stp>.SPY260227P673</stp>
        <tr r="P21" s="2"/>
        <tr r="P21" s="2"/>
      </tp>
      <tp>
        <v>1</v>
        <stp/>
        <stp>VOLUME</stp>
        <stp>.SPY260227C673</stp>
        <tr r="P21" s="2"/>
        <tr r="P21" s="2"/>
      </tp>
      <tp>
        <v>163</v>
        <stp/>
        <stp>VOLUME</stp>
        <stp>.SPY251231C666</stp>
        <tr r="O28" s="2"/>
        <tr r="O28" s="2"/>
      </tp>
      <tp>
        <v>597</v>
        <stp/>
        <stp>VOLUME</stp>
        <stp>.SPY251231P665</stp>
        <tr r="O29" s="2"/>
        <tr r="O29" s="2"/>
      </tp>
      <tp>
        <v>34</v>
        <stp/>
        <stp>VOLUME</stp>
        <stp>.SPY260227P670</stp>
        <tr r="P24" s="2"/>
        <tr r="P24" s="2"/>
      </tp>
      <tp>
        <v>65</v>
        <stp/>
        <stp>VOLUME</stp>
        <stp>.SPY260227C670</stp>
        <tr r="P24" s="2"/>
        <tr r="P24" s="2"/>
      </tp>
      <tp>
        <v>385</v>
        <stp/>
        <stp>VOLUME</stp>
        <stp>.SPY251231C665</stp>
        <tr r="O29" s="2"/>
        <tr r="O29" s="2"/>
      </tp>
      <tp>
        <v>676</v>
        <stp/>
        <stp>VOLUME</stp>
        <stp>.SPY251231P664</stp>
        <tr r="O30" s="2"/>
        <tr r="O30" s="2"/>
      </tp>
      <tp>
        <v>1</v>
        <stp/>
        <stp>VOLUME</stp>
        <stp>.SPY260227P671</stp>
        <tr r="P23" s="2"/>
        <tr r="P23" s="2"/>
      </tp>
      <tp>
        <v>23</v>
        <stp/>
        <stp>VOLUME</stp>
        <stp>.SPY260227C671</stp>
        <tr r="P23" s="2"/>
        <tr r="P23" s="2"/>
      </tp>
      <tp>
        <v>121</v>
        <stp/>
        <stp>VOLUME</stp>
        <stp>.SPY251231C664</stp>
        <tr r="O30" s="2"/>
        <tr r="O30" s="2"/>
      </tp>
      <tp>
        <v>56</v>
        <stp/>
        <stp>VOLUME</stp>
        <stp>.SPY251205P657</stp>
        <tr r="I37" s="2"/>
        <tr r="I37" s="2"/>
      </tp>
      <tp>
        <v>560</v>
        <stp/>
        <stp>VOLUME</stp>
        <stp>.SPY251231P663</stp>
        <tr r="O31" s="2"/>
        <tr r="O31" s="2"/>
      </tp>
      <tp t="s">
        <v>N/A</v>
        <stp/>
        <stp>VOLUME</stp>
        <stp>.SPY260206P657</stp>
        <tr r="N37" s="2"/>
      </tp>
      <tp>
        <v>20</v>
        <stp/>
        <stp>VOLUME</stp>
        <stp>.SPY260227P676</stp>
        <tr r="P18" s="2"/>
        <tr r="P18" s="2"/>
      </tp>
      <tp t="s">
        <v>N/A</v>
        <stp/>
        <stp>VOLUME</stp>
        <stp>.SPY260206C657</stp>
        <tr r="N37" s="2"/>
      </tp>
      <tp>
        <v>20</v>
        <stp/>
        <stp>VOLUME</stp>
        <stp>.SPY260227C676</stp>
        <tr r="P18" s="2"/>
        <tr r="P18" s="2"/>
      </tp>
      <tp t="s">
        <v>N/A</v>
        <stp/>
        <stp>VOLUME</stp>
        <stp>.SPY251205C657</stp>
        <tr r="I37" s="2"/>
      </tp>
      <tp>
        <v>310</v>
        <stp/>
        <stp>VOLUME</stp>
        <stp>.SPY251231C663</stp>
        <tr r="O31" s="2"/>
        <tr r="O31" s="2"/>
      </tp>
      <tp>
        <v>164</v>
        <stp/>
        <stp>VOLUME</stp>
        <stp>.SPY251205P656</stp>
        <tr r="I38" s="2"/>
        <tr r="I38" s="2"/>
      </tp>
      <tp>
        <v>68</v>
        <stp/>
        <stp>VOLUME</stp>
        <stp>.SPY251231P662</stp>
        <tr r="O32" s="2"/>
        <tr r="O32" s="2"/>
      </tp>
      <tp t="s">
        <v>N/A</v>
        <stp/>
        <stp>VOLUME</stp>
        <stp>.SPY260206P656</stp>
        <tr r="N38" s="2"/>
      </tp>
      <tp>
        <v>37</v>
        <stp/>
        <stp>VOLUME</stp>
        <stp>.SPY260227P677</stp>
        <tr r="P17" s="2"/>
        <tr r="P17" s="2"/>
      </tp>
      <tp t="s">
        <v>N/A</v>
        <stp/>
        <stp>VOLUME</stp>
        <stp>.SPY260206C656</stp>
        <tr r="N38" s="2"/>
      </tp>
      <tp>
        <v>40</v>
        <stp/>
        <stp>VOLUME</stp>
        <stp>.SPY260227C677</stp>
        <tr r="P17" s="2"/>
        <tr r="P17" s="2"/>
      </tp>
      <tp>
        <v>29</v>
        <stp/>
        <stp>VOLUME</stp>
        <stp>.SPY251205C656</stp>
        <tr r="I38" s="2"/>
        <tr r="I38" s="2"/>
      </tp>
      <tp>
        <v>103</v>
        <stp/>
        <stp>VOLUME</stp>
        <stp>.SPY251231C662</stp>
        <tr r="O32" s="2"/>
        <tr r="O32" s="2"/>
      </tp>
      <tp>
        <v>579</v>
        <stp/>
        <stp>VOLUME</stp>
        <stp>.SPY251205P655</stp>
        <tr r="I39" s="2"/>
        <tr r="I39" s="2"/>
      </tp>
      <tp>
        <v>42</v>
        <stp/>
        <stp>VOLUME</stp>
        <stp>.SPY251231P661</stp>
        <tr r="O33" s="2"/>
        <tr r="O33" s="2"/>
      </tp>
      <tp t="s">
        <v>N/A</v>
        <stp/>
        <stp>VOLUME</stp>
        <stp>.SPY260206P655</stp>
        <tr r="N39" s="2"/>
      </tp>
      <tp>
        <v>1</v>
        <stp/>
        <stp>VOLUME</stp>
        <stp>.SPY260227P674</stp>
        <tr r="P20" s="2"/>
        <tr r="P20" s="2"/>
      </tp>
      <tp t="s">
        <v>N/A</v>
        <stp/>
        <stp>VOLUME</stp>
        <stp>.SPY260206C655</stp>
        <tr r="N39" s="2"/>
      </tp>
      <tp t="s">
        <v>N/A</v>
        <stp/>
        <stp>VOLUME</stp>
        <stp>.SPY260227C674</stp>
        <tr r="P20" s="2"/>
      </tp>
      <tp>
        <v>30</v>
        <stp/>
        <stp>VOLUME</stp>
        <stp>.SPY251205C655</stp>
        <tr r="I39" s="2"/>
        <tr r="I39" s="2"/>
      </tp>
      <tp>
        <v>32</v>
        <stp/>
        <stp>VOLUME</stp>
        <stp>.SPY251231C661</stp>
        <tr r="O33" s="2"/>
        <tr r="O33" s="2"/>
      </tp>
      <tp>
        <v>1480</v>
        <stp/>
        <stp>VOLUME</stp>
        <stp>.SPY251231P660</stp>
        <tr r="O34" s="2"/>
        <tr r="O34" s="2"/>
      </tp>
      <tp>
        <v>62</v>
        <stp/>
        <stp>VOLUME</stp>
        <stp>.SPY260227P675</stp>
        <tr r="P19" s="2"/>
        <tr r="P19" s="2"/>
      </tp>
      <tp>
        <v>8</v>
        <stp/>
        <stp>VOLUME</stp>
        <stp>.SPY260227C675</stp>
        <tr r="P19" s="2"/>
        <tr r="P19" s="2"/>
      </tp>
      <tp>
        <v>337</v>
        <stp/>
        <stp>VOLUME</stp>
        <stp>.SPY251231C660</stp>
        <tr r="O34" s="2"/>
        <tr r="O34" s="2"/>
      </tp>
      <tp>
        <v>330</v>
        <stp/>
        <stp>VOLUME</stp>
        <stp>.SPY251205P659</stp>
        <tr r="I35" s="2"/>
        <tr r="I35" s="2"/>
      </tp>
      <tp t="s">
        <v>N/A</v>
        <stp/>
        <stp>VOLUME</stp>
        <stp>.SPY260206P659</stp>
        <tr r="N35" s="2"/>
      </tp>
      <tp t="s">
        <v>N/A</v>
        <stp/>
        <stp>VOLUME</stp>
        <stp>.SPY260227P678</stp>
        <tr r="P16" s="2"/>
      </tp>
      <tp t="s">
        <v>N/A</v>
        <stp/>
        <stp>VOLUME</stp>
        <stp>.SPY260206C659</stp>
        <tr r="N35" s="2"/>
      </tp>
      <tp t="s">
        <v>N/A</v>
        <stp/>
        <stp>VOLUME</stp>
        <stp>.SPY260227C678</stp>
        <tr r="P16" s="2"/>
      </tp>
      <tp>
        <v>59</v>
        <stp/>
        <stp>VOLUME</stp>
        <stp>.SPY251205C659</stp>
        <tr r="I35" s="2"/>
        <tr r="I35" s="2"/>
      </tp>
      <tp>
        <v>100</v>
        <stp/>
        <stp>VOLUME</stp>
        <stp>.SPY251205P658</stp>
        <tr r="I36" s="2"/>
        <tr r="I36" s="2"/>
      </tp>
      <tp t="s">
        <v>N/A</v>
        <stp/>
        <stp>VOLUME</stp>
        <stp>.SPY260206P658</stp>
        <tr r="N36" s="2"/>
      </tp>
      <tp t="s">
        <v>N/A</v>
        <stp/>
        <stp>VOLUME</stp>
        <stp>.SPY260227P679</stp>
        <tr r="P15" s="2"/>
      </tp>
      <tp t="s">
        <v>N/A</v>
        <stp/>
        <stp>VOLUME</stp>
        <stp>.SPY260206C658</stp>
        <tr r="N36" s="2"/>
      </tp>
      <tp t="s">
        <v>N/A</v>
        <stp/>
        <stp>VOLUME</stp>
        <stp>.SPY260227C679</stp>
        <tr r="P15" s="2"/>
      </tp>
      <tp>
        <v>27</v>
        <stp/>
        <stp>VOLUME</stp>
        <stp>.SPY251205C658</stp>
        <tr r="I36" s="2"/>
        <tr r="I36" s="2"/>
      </tp>
      <tp>
        <v>96</v>
        <stp/>
        <stp>VOLUME</stp>
        <stp>.SPY251231P669</stp>
        <tr r="O25" s="2"/>
        <tr r="O25" s="2"/>
      </tp>
      <tp>
        <v>186</v>
        <stp/>
        <stp>VOLUME</stp>
        <stp>.SPY251231C669</stp>
        <tr r="O25" s="2"/>
        <tr r="O25" s="2"/>
      </tp>
      <tp>
        <v>32</v>
        <stp/>
        <stp>VOLUME</stp>
        <stp>.SPY251231P668</stp>
        <tr r="O26" s="2"/>
        <tr r="O26" s="2"/>
      </tp>
      <tp>
        <v>63</v>
        <stp/>
        <stp>VOLUME</stp>
        <stp>.SPY251231C668</stp>
        <tr r="O26" s="2"/>
        <tr r="O26" s="2"/>
      </tp>
      <tp>
        <v>80</v>
        <stp/>
        <stp>VOLUME</stp>
        <stp>.SPY251231P677</stp>
        <tr r="O17" s="2"/>
        <tr r="O17" s="2"/>
      </tp>
      <tp>
        <v>2</v>
        <stp/>
        <stp>VOLUME</stp>
        <stp>.SPY260227P662</stp>
        <tr r="P32" s="2"/>
        <tr r="P32" s="2"/>
      </tp>
      <tp>
        <v>8</v>
        <stp/>
        <stp>VOLUME</stp>
        <stp>.SPY260227C662</stp>
        <tr r="P32" s="2"/>
        <tr r="P32" s="2"/>
      </tp>
      <tp>
        <v>48</v>
        <stp/>
        <stp>VOLUME</stp>
        <stp>.SPY251231C677</stp>
        <tr r="O17" s="2"/>
        <tr r="O17" s="2"/>
      </tp>
      <tp>
        <v>1274</v>
        <stp/>
        <stp>VOLUME</stp>
        <stp>.SPY251212P655</stp>
        <tr r="J39" s="2"/>
        <tr r="J39" s="2"/>
      </tp>
      <tp>
        <v>74</v>
        <stp/>
        <stp>VOLUME</stp>
        <stp>.SPY251231P676</stp>
        <tr r="O18" s="2"/>
        <tr r="O18" s="2"/>
      </tp>
      <tp>
        <v>2</v>
        <stp/>
        <stp>VOLUME</stp>
        <stp>.SPY260227P663</stp>
        <tr r="P31" s="2"/>
        <tr r="P31" s="2"/>
      </tp>
      <tp>
        <v>11</v>
        <stp/>
        <stp>VOLUME</stp>
        <stp>.SPY260227C663</stp>
        <tr r="P31" s="2"/>
        <tr r="P31" s="2"/>
      </tp>
      <tp>
        <v>356</v>
        <stp/>
        <stp>VOLUME</stp>
        <stp>.SPY251212C655</stp>
        <tr r="J39" s="2"/>
        <tr r="J39" s="2"/>
      </tp>
      <tp>
        <v>79</v>
        <stp/>
        <stp>VOLUME</stp>
        <stp>.SPY251231C676</stp>
        <tr r="O18" s="2"/>
        <tr r="O18" s="2"/>
      </tp>
      <tp>
        <v>103</v>
        <stp/>
        <stp>VOLUME</stp>
        <stp>.SPY251212P656</stp>
        <tr r="J38" s="2"/>
        <tr r="J38" s="2"/>
      </tp>
      <tp>
        <v>239</v>
        <stp/>
        <stp>VOLUME</stp>
        <stp>.SPY251231P675</stp>
        <tr r="O19" s="2"/>
        <tr r="O19" s="2"/>
      </tp>
      <tp>
        <v>15</v>
        <stp/>
        <stp>VOLUME</stp>
        <stp>.SPY260227P660</stp>
        <tr r="P34" s="2"/>
        <tr r="P34" s="2"/>
      </tp>
      <tp>
        <v>216</v>
        <stp/>
        <stp>VOLUME</stp>
        <stp>.SPY260227C660</stp>
        <tr r="P34" s="2"/>
        <tr r="P34" s="2"/>
      </tp>
      <tp>
        <v>8</v>
        <stp/>
        <stp>VOLUME</stp>
        <stp>.SPY251212C656</stp>
        <tr r="J38" s="2"/>
        <tr r="J38" s="2"/>
      </tp>
      <tp>
        <v>274</v>
        <stp/>
        <stp>VOLUME</stp>
        <stp>.SPY251231C675</stp>
        <tr r="O19" s="2"/>
        <tr r="O19" s="2"/>
      </tp>
      <tp>
        <v>140</v>
        <stp/>
        <stp>VOLUME</stp>
        <stp>.SPY251212P657</stp>
        <tr r="J37" s="2"/>
        <tr r="J37" s="2"/>
      </tp>
      <tp>
        <v>155</v>
        <stp/>
        <stp>VOLUME</stp>
        <stp>.SPY251231P674</stp>
        <tr r="O20" s="2"/>
        <tr r="O20" s="2"/>
      </tp>
      <tp>
        <v>3</v>
        <stp/>
        <stp>VOLUME</stp>
        <stp>.SPY260227P661</stp>
        <tr r="P33" s="2"/>
        <tr r="P33" s="2"/>
      </tp>
      <tp>
        <v>242</v>
        <stp/>
        <stp>VOLUME</stp>
        <stp>.SPY260227C661</stp>
        <tr r="P33" s="2"/>
        <tr r="P33" s="2"/>
      </tp>
      <tp>
        <v>8</v>
        <stp/>
        <stp>VOLUME</stp>
        <stp>.SPY251212C657</stp>
        <tr r="J37" s="2"/>
        <tr r="J37" s="2"/>
      </tp>
      <tp>
        <v>54</v>
        <stp/>
        <stp>VOLUME</stp>
        <stp>.SPY251231C674</stp>
        <tr r="O20" s="2"/>
        <tr r="O20" s="2"/>
      </tp>
      <tp>
        <v>104</v>
        <stp/>
        <stp>VOLUME</stp>
        <stp>.SPY251231P673</stp>
        <tr r="O21" s="2"/>
        <tr r="O21" s="2"/>
      </tp>
      <tp>
        <v>11</v>
        <stp/>
        <stp>VOLUME</stp>
        <stp>.SPY260227P666</stp>
        <tr r="P28" s="2"/>
        <tr r="P28" s="2"/>
      </tp>
      <tp>
        <v>14</v>
        <stp/>
        <stp>VOLUME</stp>
        <stp>.SPY260227C666</stp>
        <tr r="P28" s="2"/>
        <tr r="P28" s="2"/>
      </tp>
      <tp>
        <v>51</v>
        <stp/>
        <stp>VOLUME</stp>
        <stp>.SPY251231C673</stp>
        <tr r="O21" s="2"/>
        <tr r="O21" s="2"/>
      </tp>
      <tp>
        <v>81</v>
        <stp/>
        <stp>VOLUME</stp>
        <stp>.SPY251231P672</stp>
        <tr r="O22" s="2"/>
        <tr r="O22" s="2"/>
      </tp>
      <tp>
        <v>6</v>
        <stp/>
        <stp>VOLUME</stp>
        <stp>.SPY260227P667</stp>
        <tr r="P27" s="2"/>
        <tr r="P27" s="2"/>
      </tp>
      <tp>
        <v>18</v>
        <stp/>
        <stp>VOLUME</stp>
        <stp>.SPY260227C667</stp>
        <tr r="P27" s="2"/>
        <tr r="P27" s="2"/>
      </tp>
      <tp>
        <v>69</v>
        <stp/>
        <stp>VOLUME</stp>
        <stp>.SPY251231C672</stp>
        <tr r="O22" s="2"/>
        <tr r="O22" s="2"/>
      </tp>
      <tp>
        <v>218</v>
        <stp/>
        <stp>VOLUME</stp>
        <stp>.SPY251219P659</stp>
        <tr r="K35" s="2"/>
        <tr r="K35" s="2"/>
      </tp>
      <tp>
        <v>21</v>
        <stp/>
        <stp>VOLUME</stp>
        <stp>.SPY251231P671</stp>
        <tr r="O23" s="2"/>
        <tr r="O23" s="2"/>
      </tp>
      <tp>
        <v>5</v>
        <stp/>
        <stp>VOLUME</stp>
        <stp>.SPY260227P664</stp>
        <tr r="P30" s="2"/>
        <tr r="P30" s="2"/>
      </tp>
      <tp>
        <v>1</v>
        <stp/>
        <stp>VOLUME</stp>
        <stp>.SPY260227C664</stp>
        <tr r="P30" s="2"/>
        <tr r="P30" s="2"/>
      </tp>
      <tp>
        <v>81</v>
        <stp/>
        <stp>VOLUME</stp>
        <stp>.SPY251219C659</stp>
        <tr r="K35" s="2"/>
        <tr r="K35" s="2"/>
      </tp>
      <tp>
        <v>529</v>
        <stp/>
        <stp>VOLUME</stp>
        <stp>.SPY251231C671</stp>
        <tr r="O23" s="2"/>
        <tr r="O23" s="2"/>
      </tp>
      <tp>
        <v>693</v>
        <stp/>
        <stp>VOLUME</stp>
        <stp>.SPY251219P658</stp>
        <tr r="K36" s="2"/>
        <tr r="K36" s="2"/>
      </tp>
      <tp>
        <v>4317</v>
        <stp/>
        <stp>VOLUME</stp>
        <stp>.SPY251231P670</stp>
        <tr r="O24" s="2"/>
        <tr r="O24" s="2"/>
      </tp>
      <tp>
        <v>110</v>
        <stp/>
        <stp>VOLUME</stp>
        <stp>.SPY260227P665</stp>
        <tr r="P29" s="2"/>
        <tr r="P29" s="2"/>
      </tp>
      <tp>
        <v>39</v>
        <stp/>
        <stp>VOLUME</stp>
        <stp>.SPY260227C665</stp>
        <tr r="P29" s="2"/>
        <tr r="P29" s="2"/>
      </tp>
      <tp>
        <v>13</v>
        <stp/>
        <stp>VOLUME</stp>
        <stp>.SPY251219C658</stp>
        <tr r="K36" s="2"/>
        <tr r="K36" s="2"/>
      </tp>
      <tp>
        <v>743</v>
        <stp/>
        <stp>VOLUME</stp>
        <stp>.SPY251231C670</stp>
        <tr r="O24" s="2"/>
        <tr r="O24" s="2"/>
      </tp>
      <tp>
        <v>288</v>
        <stp/>
        <stp>VOLUME</stp>
        <stp>.SPY251219P657</stp>
        <tr r="K37" s="2"/>
        <tr r="K37" s="2"/>
      </tp>
      <tp>
        <v>4</v>
        <stp/>
        <stp>VOLUME</stp>
        <stp>.SPY251219C657</stp>
        <tr r="K37" s="2"/>
        <tr r="K37" s="2"/>
      </tp>
      <tp>
        <v>247</v>
        <stp/>
        <stp>VOLUME</stp>
        <stp>.SPY251219P656</stp>
        <tr r="K38" s="2"/>
        <tr r="K38" s="2"/>
      </tp>
      <tp t="s">
        <v>N/A</v>
        <stp/>
        <stp>VOLUME</stp>
        <stp>.SPY251219C656</stp>
        <tr r="K38" s="2"/>
      </tp>
      <tp>
        <v>2417</v>
        <stp/>
        <stp>VOLUME</stp>
        <stp>.SPY251219P655</stp>
        <tr r="K39" s="2"/>
        <tr r="K39" s="2"/>
      </tp>
      <tp>
        <v>6</v>
        <stp/>
        <stp>VOLUME</stp>
        <stp>.SPY260227P668</stp>
        <tr r="P26" s="2"/>
        <tr r="P26" s="2"/>
      </tp>
      <tp>
        <v>10</v>
        <stp/>
        <stp>VOLUME</stp>
        <stp>.SPY260227C668</stp>
        <tr r="P26" s="2"/>
        <tr r="P26" s="2"/>
      </tp>
      <tp>
        <v>84</v>
        <stp/>
        <stp>VOLUME</stp>
        <stp>.SPY251219C655</stp>
        <tr r="K39" s="2"/>
        <tr r="K39" s="2"/>
      </tp>
      <tp>
        <v>3</v>
        <stp/>
        <stp>VOLUME</stp>
        <stp>.SPY260227P669</stp>
        <tr r="P25" s="2"/>
        <tr r="P25" s="2"/>
      </tp>
      <tp>
        <v>37</v>
        <stp/>
        <stp>VOLUME</stp>
        <stp>.SPY260227C669</stp>
        <tr r="P25" s="2"/>
        <tr r="P25" s="2"/>
      </tp>
      <tp>
        <v>123</v>
        <stp/>
        <stp>VOLUME</stp>
        <stp>.SPY251212P658</stp>
        <tr r="J36" s="2"/>
        <tr r="J36" s="2"/>
      </tp>
      <tp>
        <v>28</v>
        <stp/>
        <stp>VOLUME</stp>
        <stp>.SPY251212C658</stp>
        <tr r="J36" s="2"/>
        <tr r="J36" s="2"/>
      </tp>
      <tp>
        <v>29</v>
        <stp/>
        <stp>VOLUME</stp>
        <stp>.SPY251212P659</stp>
        <tr r="J35" s="2"/>
        <tr r="J35" s="2"/>
      </tp>
      <tp>
        <v>31</v>
        <stp/>
        <stp>VOLUME</stp>
        <stp>.SPY251212C659</stp>
        <tr r="J35" s="2"/>
        <tr r="J35" s="2"/>
      </tp>
      <tp>
        <v>27</v>
        <stp/>
        <stp>VOLUME</stp>
        <stp>.SPY251231P679</stp>
        <tr r="O15" s="2"/>
        <tr r="O15" s="2"/>
      </tp>
      <tp>
        <v>220</v>
        <stp/>
        <stp>VOLUME</stp>
        <stp>.SPY251231C679</stp>
        <tr r="O15" s="2"/>
        <tr r="O15" s="2"/>
      </tp>
      <tp>
        <v>98</v>
        <stp/>
        <stp>VOLUME</stp>
        <stp>.SPY251231P678</stp>
        <tr r="O16" s="2"/>
        <tr r="O16" s="2"/>
      </tp>
      <tp>
        <v>70</v>
        <stp/>
        <stp>VOLUME</stp>
        <stp>.SPY251231C678</stp>
        <tr r="O16" s="2"/>
        <tr r="O16" s="2"/>
      </tp>
      <tp>
        <v>66</v>
        <stp/>
        <stp>VOLUME</stp>
        <stp>.SPY251205P673</stp>
        <tr r="I21" s="2"/>
        <tr r="I21" s="2"/>
      </tp>
      <tp>
        <v>200</v>
        <stp/>
        <stp>VOLUME</stp>
        <stp>.SPY251212P664</stp>
        <tr r="J30" s="2"/>
        <tr r="J30" s="2"/>
      </tp>
      <tp t="s">
        <v>N/A</v>
        <stp/>
        <stp>VOLUME</stp>
        <stp>.SPY260206P673</stp>
        <tr r="N21" s="2"/>
      </tp>
      <tp t="s">
        <v>N/A</v>
        <stp/>
        <stp>VOLUME</stp>
        <stp>.SPY260206C673</stp>
        <tr r="N21" s="2"/>
      </tp>
      <tp>
        <v>368</v>
        <stp/>
        <stp>VOLUME</stp>
        <stp>.SPY251205C673</stp>
        <tr r="I21" s="2"/>
        <tr r="I21" s="2"/>
      </tp>
      <tp>
        <v>171</v>
        <stp/>
        <stp>VOLUME</stp>
        <stp>.SPY251212C664</stp>
        <tr r="J30" s="2"/>
        <tr r="J30" s="2"/>
      </tp>
      <tp>
        <v>146</v>
        <stp/>
        <stp>VOLUME</stp>
        <stp>.SPY251205P672</stp>
        <tr r="I22" s="2"/>
        <tr r="I22" s="2"/>
      </tp>
      <tp>
        <v>1185</v>
        <stp/>
        <stp>VOLUME</stp>
        <stp>.SPY251212P665</stp>
        <tr r="J29" s="2"/>
        <tr r="J29" s="2"/>
      </tp>
      <tp t="s">
        <v>N/A</v>
        <stp/>
        <stp>VOLUME</stp>
        <stp>.SPY260206P672</stp>
        <tr r="N22" s="2"/>
      </tp>
      <tp t="s">
        <v>N/A</v>
        <stp/>
        <stp>VOLUME</stp>
        <stp>.SPY260206C672</stp>
        <tr r="N22" s="2"/>
      </tp>
      <tp>
        <v>392</v>
        <stp/>
        <stp>VOLUME</stp>
        <stp>.SPY251205C672</stp>
        <tr r="I22" s="2"/>
        <tr r="I22" s="2"/>
      </tp>
      <tp>
        <v>1155</v>
        <stp/>
        <stp>VOLUME</stp>
        <stp>.SPY251212C665</stp>
        <tr r="J29" s="2"/>
        <tr r="J29" s="2"/>
      </tp>
      <tp>
        <v>119</v>
        <stp/>
        <stp>VOLUME</stp>
        <stp>.SPY251205P671</stp>
        <tr r="I23" s="2"/>
        <tr r="I23" s="2"/>
      </tp>
      <tp>
        <v>400</v>
        <stp/>
        <stp>VOLUME</stp>
        <stp>.SPY251212P666</stp>
        <tr r="J28" s="2"/>
        <tr r="J28" s="2"/>
      </tp>
      <tp t="s">
        <v>N/A</v>
        <stp/>
        <stp>VOLUME</stp>
        <stp>.SPY260206P671</stp>
        <tr r="N23" s="2"/>
      </tp>
      <tp t="s">
        <v>N/A</v>
        <stp/>
        <stp>VOLUME</stp>
        <stp>.SPY260206C671</stp>
        <tr r="N23" s="2"/>
      </tp>
      <tp>
        <v>191</v>
        <stp/>
        <stp>VOLUME</stp>
        <stp>.SPY251205C671</stp>
        <tr r="I23" s="2"/>
        <tr r="I23" s="2"/>
      </tp>
      <tp>
        <v>165</v>
        <stp/>
        <stp>VOLUME</stp>
        <stp>.SPY251212C666</stp>
        <tr r="J28" s="2"/>
        <tr r="J28" s="2"/>
      </tp>
      <tp>
        <v>761</v>
        <stp/>
        <stp>VOLUME</stp>
        <stp>.SPY251205P670</stp>
        <tr r="I24" s="2"/>
        <tr r="I24" s="2"/>
      </tp>
      <tp>
        <v>106</v>
        <stp/>
        <stp>VOLUME</stp>
        <stp>.SPY251212P667</stp>
        <tr r="J27" s="2"/>
        <tr r="J27" s="2"/>
      </tp>
      <tp t="s">
        <v>N/A</v>
        <stp/>
        <stp>VOLUME</stp>
        <stp>.SPY260206P670</stp>
        <tr r="N24" s="2"/>
      </tp>
      <tp t="s">
        <v>N/A</v>
        <stp/>
        <stp>VOLUME</stp>
        <stp>.SPY260206C670</stp>
        <tr r="N24" s="2"/>
      </tp>
      <tp>
        <v>802</v>
        <stp/>
        <stp>VOLUME</stp>
        <stp>.SPY251205C670</stp>
        <tr r="I24" s="2"/>
        <tr r="I24" s="2"/>
      </tp>
      <tp>
        <v>224</v>
        <stp/>
        <stp>VOLUME</stp>
        <stp>.SPY251212C667</stp>
        <tr r="J27" s="2"/>
        <tr r="J27" s="2"/>
      </tp>
      <tp>
        <v>1226</v>
        <stp/>
        <stp>VOLUME</stp>
        <stp>.SPY251205P677</stp>
        <tr r="I17" s="2"/>
        <tr r="I17" s="2"/>
      </tp>
      <tp>
        <v>1013</v>
        <stp/>
        <stp>VOLUME</stp>
        <stp>.SPY251212P660</stp>
        <tr r="J34" s="2"/>
        <tr r="J34" s="2"/>
      </tp>
      <tp t="s">
        <v>N/A</v>
        <stp/>
        <stp>VOLUME</stp>
        <stp>.SPY260206P677</stp>
        <tr r="N17" s="2"/>
      </tp>
      <tp t="s">
        <v>N/A</v>
        <stp/>
        <stp>VOLUME</stp>
        <stp>.SPY260227P656</stp>
        <tr r="P38" s="2"/>
      </tp>
      <tp t="s">
        <v>N/A</v>
        <stp/>
        <stp>VOLUME</stp>
        <stp>.SPY260206C677</stp>
        <tr r="N17" s="2"/>
      </tp>
      <tp t="s">
        <v>N/A</v>
        <stp/>
        <stp>VOLUME</stp>
        <stp>.SPY260227C656</stp>
        <tr r="P38" s="2"/>
      </tp>
      <tp>
        <v>489</v>
        <stp/>
        <stp>VOLUME</stp>
        <stp>.SPY251205C677</stp>
        <tr r="I17" s="2"/>
        <tr r="I17" s="2"/>
      </tp>
      <tp>
        <v>62</v>
        <stp/>
        <stp>VOLUME</stp>
        <stp>.SPY251212C660</stp>
        <tr r="J34" s="2"/>
        <tr r="J34" s="2"/>
      </tp>
      <tp>
        <v>27</v>
        <stp/>
        <stp>VOLUME</stp>
        <stp>.SPY251205P676</stp>
        <tr r="I18" s="2"/>
        <tr r="I18" s="2"/>
      </tp>
      <tp>
        <v>97</v>
        <stp/>
        <stp>VOLUME</stp>
        <stp>.SPY251212P661</stp>
        <tr r="J33" s="2"/>
        <tr r="J33" s="2"/>
      </tp>
      <tp t="s">
        <v>N/A</v>
        <stp/>
        <stp>VOLUME</stp>
        <stp>.SPY260206P676</stp>
        <tr r="N18" s="2"/>
      </tp>
      <tp>
        <v>3</v>
        <stp/>
        <stp>VOLUME</stp>
        <stp>.SPY260227P657</stp>
        <tr r="P37" s="2"/>
        <tr r="P37" s="2"/>
      </tp>
      <tp t="s">
        <v>N/A</v>
        <stp/>
        <stp>VOLUME</stp>
        <stp>.SPY260206C676</stp>
        <tr r="N18" s="2"/>
      </tp>
      <tp>
        <v>48</v>
        <stp/>
        <stp>VOLUME</stp>
        <stp>.SPY260227C657</stp>
        <tr r="P37" s="2"/>
        <tr r="P37" s="2"/>
      </tp>
      <tp>
        <v>383</v>
        <stp/>
        <stp>VOLUME</stp>
        <stp>.SPY251205C676</stp>
        <tr r="I18" s="2"/>
        <tr r="I18" s="2"/>
      </tp>
      <tp>
        <v>33</v>
        <stp/>
        <stp>VOLUME</stp>
        <stp>.SPY251212C661</stp>
        <tr r="J33" s="2"/>
        <tr r="J33" s="2"/>
      </tp>
      <tp>
        <v>215</v>
        <stp/>
        <stp>VOLUME</stp>
        <stp>.SPY251205P675</stp>
        <tr r="I19" s="2"/>
        <tr r="I19" s="2"/>
      </tp>
      <tp>
        <v>205</v>
        <stp/>
        <stp>VOLUME</stp>
        <stp>.SPY251212P662</stp>
        <tr r="J32" s="2"/>
        <tr r="J32" s="2"/>
      </tp>
      <tp>
        <v>474</v>
        <stp/>
        <stp>VOLUME</stp>
        <stp>.SPY251219P669</stp>
        <tr r="K25" s="2"/>
        <tr r="K25" s="2"/>
      </tp>
      <tp t="s">
        <v>N/A</v>
        <stp/>
        <stp>VOLUME</stp>
        <stp>.SPY260206P675</stp>
        <tr r="N19" s="2"/>
      </tp>
      <tp t="s">
        <v>N/A</v>
        <stp/>
        <stp>VOLUME</stp>
        <stp>.SPY260206C675</stp>
        <tr r="N19" s="2"/>
      </tp>
      <tp>
        <v>763</v>
        <stp/>
        <stp>VOLUME</stp>
        <stp>.SPY251205C675</stp>
        <tr r="I19" s="2"/>
        <tr r="I19" s="2"/>
      </tp>
      <tp>
        <v>129</v>
        <stp/>
        <stp>VOLUME</stp>
        <stp>.SPY251212C662</stp>
        <tr r="J32" s="2"/>
        <tr r="J32" s="2"/>
      </tp>
      <tp>
        <v>334</v>
        <stp/>
        <stp>VOLUME</stp>
        <stp>.SPY251219C669</stp>
        <tr r="K25" s="2"/>
        <tr r="K25" s="2"/>
      </tp>
      <tp>
        <v>111</v>
        <stp/>
        <stp>VOLUME</stp>
        <stp>.SPY251205P674</stp>
        <tr r="I20" s="2"/>
        <tr r="I20" s="2"/>
      </tp>
      <tp>
        <v>302</v>
        <stp/>
        <stp>VOLUME</stp>
        <stp>.SPY251212P663</stp>
        <tr r="J31" s="2"/>
        <tr r="J31" s="2"/>
      </tp>
      <tp>
        <v>461</v>
        <stp/>
        <stp>VOLUME</stp>
        <stp>.SPY251219P668</stp>
        <tr r="K26" s="2"/>
        <tr r="K26" s="2"/>
      </tp>
      <tp t="s">
        <v>N/A</v>
        <stp/>
        <stp>VOLUME</stp>
        <stp>.SPY260206P674</stp>
        <tr r="N20" s="2"/>
      </tp>
      <tp>
        <v>13</v>
        <stp/>
        <stp>VOLUME</stp>
        <stp>.SPY260227P655</stp>
        <tr r="P39" s="2"/>
        <tr r="P39" s="2"/>
      </tp>
      <tp t="s">
        <v>N/A</v>
        <stp/>
        <stp>VOLUME</stp>
        <stp>.SPY260206C674</stp>
        <tr r="N20" s="2"/>
      </tp>
      <tp>
        <v>12</v>
        <stp/>
        <stp>VOLUME</stp>
        <stp>.SPY260227C655</stp>
        <tr r="P39" s="2"/>
        <tr r="P39" s="2"/>
      </tp>
      <tp>
        <v>93</v>
        <stp/>
        <stp>VOLUME</stp>
        <stp>.SPY251205C674</stp>
        <tr r="I20" s="2"/>
        <tr r="I20" s="2"/>
      </tp>
      <tp>
        <v>287</v>
        <stp/>
        <stp>VOLUME</stp>
        <stp>.SPY251212C663</stp>
        <tr r="J31" s="2"/>
        <tr r="J31" s="2"/>
      </tp>
      <tp>
        <v>541</v>
        <stp/>
        <stp>VOLUME</stp>
        <stp>.SPY251219C668</stp>
        <tr r="K26" s="2"/>
        <tr r="K26" s="2"/>
      </tp>
      <tp>
        <v>1477</v>
        <stp/>
        <stp>VOLUME</stp>
        <stp>.SPY251219P667</stp>
        <tr r="K27" s="2"/>
        <tr r="K27" s="2"/>
      </tp>
      <tp>
        <v>2080</v>
        <stp/>
        <stp>VOLUME</stp>
        <stp>.SPY251219C667</stp>
        <tr r="K27" s="2"/>
        <tr r="K27" s="2"/>
      </tp>
      <tp>
        <v>533</v>
        <stp/>
        <stp>VOLUME</stp>
        <stp>.SPY251219P666</stp>
        <tr r="K28" s="2"/>
        <tr r="K28" s="2"/>
      </tp>
      <tp>
        <v>1181</v>
        <stp/>
        <stp>VOLUME</stp>
        <stp>.SPY251219C666</stp>
        <tr r="K28" s="2"/>
        <tr r="K28" s="2"/>
      </tp>
      <tp>
        <v>18</v>
        <stp/>
        <stp>VOLUME</stp>
        <stp>.SPY251205P679</stp>
        <tr r="I15" s="2"/>
        <tr r="I15" s="2"/>
      </tp>
      <tp>
        <v>2952</v>
        <stp/>
        <stp>VOLUME</stp>
        <stp>.SPY251219P665</stp>
        <tr r="K29" s="2"/>
        <tr r="K29" s="2"/>
      </tp>
      <tp t="s">
        <v>N/A</v>
        <stp/>
        <stp>VOLUME</stp>
        <stp>.SPY260206P679</stp>
        <tr r="N15" s="2"/>
      </tp>
      <tp>
        <v>6</v>
        <stp/>
        <stp>VOLUME</stp>
        <stp>.SPY260227P658</stp>
        <tr r="P36" s="2"/>
        <tr r="P36" s="2"/>
      </tp>
      <tp t="s">
        <v>N/A</v>
        <stp/>
        <stp>VOLUME</stp>
        <stp>.SPY260206C679</stp>
        <tr r="N15" s="2"/>
      </tp>
      <tp t="s">
        <v>N/A</v>
        <stp/>
        <stp>VOLUME</stp>
        <stp>.SPY260227C658</stp>
        <tr r="P36" s="2"/>
      </tp>
      <tp>
        <v>174</v>
        <stp/>
        <stp>VOLUME</stp>
        <stp>.SPY251205C679</stp>
        <tr r="I15" s="2"/>
        <tr r="I15" s="2"/>
      </tp>
      <tp>
        <v>1709</v>
        <stp/>
        <stp>VOLUME</stp>
        <stp>.SPY251219C665</stp>
        <tr r="K29" s="2"/>
        <tr r="K29" s="2"/>
      </tp>
      <tp>
        <v>197</v>
        <stp/>
        <stp>VOLUME</stp>
        <stp>.SPY251205P678</stp>
        <tr r="I16" s="2"/>
        <tr r="I16" s="2"/>
      </tp>
      <tp>
        <v>567</v>
        <stp/>
        <stp>VOLUME</stp>
        <stp>.SPY251219P664</stp>
        <tr r="K30" s="2"/>
        <tr r="K30" s="2"/>
      </tp>
      <tp t="s">
        <v>N/A</v>
        <stp/>
        <stp>VOLUME</stp>
        <stp>.SPY260206P678</stp>
        <tr r="N16" s="2"/>
      </tp>
      <tp t="s">
        <v>N/A</v>
        <stp/>
        <stp>VOLUME</stp>
        <stp>.SPY260227P659</stp>
        <tr r="P35" s="2"/>
      </tp>
      <tp t="s">
        <v>N/A</v>
        <stp/>
        <stp>VOLUME</stp>
        <stp>.SPY260206C678</stp>
        <tr r="N16" s="2"/>
      </tp>
      <tp t="s">
        <v>N/A</v>
        <stp/>
        <stp>VOLUME</stp>
        <stp>.SPY260227C659</stp>
        <tr r="P35" s="2"/>
      </tp>
      <tp>
        <v>361</v>
        <stp/>
        <stp>VOLUME</stp>
        <stp>.SPY251205C678</stp>
        <tr r="I16" s="2"/>
        <tr r="I16" s="2"/>
      </tp>
      <tp>
        <v>289</v>
        <stp/>
        <stp>VOLUME</stp>
        <stp>.SPY251219C664</stp>
        <tr r="K30" s="2"/>
        <tr r="K30" s="2"/>
      </tp>
      <tp>
        <v>84</v>
        <stp/>
        <stp>VOLUME</stp>
        <stp>.SPY251212P668</stp>
        <tr r="J26" s="2"/>
        <tr r="J26" s="2"/>
      </tp>
      <tp>
        <v>550</v>
        <stp/>
        <stp>VOLUME</stp>
        <stp>.SPY251219P663</stp>
        <tr r="K31" s="2"/>
        <tr r="K31" s="2"/>
      </tp>
      <tp>
        <v>109</v>
        <stp/>
        <stp>VOLUME</stp>
        <stp>.SPY251212C668</stp>
        <tr r="J26" s="2"/>
        <tr r="J26" s="2"/>
      </tp>
      <tp>
        <v>715</v>
        <stp/>
        <stp>VOLUME</stp>
        <stp>.SPY251219C663</stp>
        <tr r="K31" s="2"/>
        <tr r="K31" s="2"/>
      </tp>
      <tp>
        <v>183</v>
        <stp/>
        <stp>VOLUME</stp>
        <stp>.SPY251212P669</stp>
        <tr r="J25" s="2"/>
        <tr r="J25" s="2"/>
      </tp>
      <tp>
        <v>353</v>
        <stp/>
        <stp>VOLUME</stp>
        <stp>.SPY251219P662</stp>
        <tr r="K32" s="2"/>
        <tr r="K32" s="2"/>
      </tp>
      <tp>
        <v>368</v>
        <stp/>
        <stp>VOLUME</stp>
        <stp>.SPY251212C669</stp>
        <tr r="J25" s="2"/>
        <tr r="J25" s="2"/>
      </tp>
      <tp>
        <v>122</v>
        <stp/>
        <stp>VOLUME</stp>
        <stp>.SPY251219C662</stp>
        <tr r="K32" s="2"/>
        <tr r="K32" s="2"/>
      </tp>
      <tp>
        <v>316</v>
        <stp/>
        <stp>VOLUME</stp>
        <stp>.SPY251219P661</stp>
        <tr r="K33" s="2"/>
        <tr r="K33" s="2"/>
      </tp>
      <tp>
        <v>97</v>
        <stp/>
        <stp>VOLUME</stp>
        <stp>.SPY251219C661</stp>
        <tr r="K33" s="2"/>
        <tr r="K33" s="2"/>
      </tp>
      <tp>
        <v>11564</v>
        <stp/>
        <stp>VOLUME</stp>
        <stp>.SPY251219P660</stp>
        <tr r="K34" s="2"/>
        <tr r="K34" s="2"/>
      </tp>
      <tp>
        <v>751</v>
        <stp/>
        <stp>VOLUME</stp>
        <stp>.SPY251219C660</stp>
        <tr r="K34" s="2"/>
        <tr r="K34" s="2"/>
      </tp>
      <tp>
        <v>301</v>
        <stp/>
        <stp>VOLUME</stp>
        <stp>.SPY251205P663</stp>
        <tr r="I31" s="2"/>
        <tr r="I31" s="2"/>
      </tp>
      <tp>
        <v>40</v>
        <stp/>
        <stp>VOLUME</stp>
        <stp>.SPY251212P674</stp>
        <tr r="J20" s="2"/>
        <tr r="J20" s="2"/>
      </tp>
      <tp>
        <v>45</v>
        <stp/>
        <stp>VOLUME</stp>
        <stp>.SPY251231P657</stp>
        <tr r="O37" s="2"/>
        <tr r="O37" s="2"/>
      </tp>
      <tp t="s">
        <v>N/A</v>
        <stp/>
        <stp>VOLUME</stp>
        <stp>.SPY260206P663</stp>
        <tr r="N31" s="2"/>
      </tp>
      <tp t="s">
        <v>N/A</v>
        <stp/>
        <stp>VOLUME</stp>
        <stp>.SPY260206C663</stp>
        <tr r="N31" s="2"/>
      </tp>
      <tp>
        <v>146</v>
        <stp/>
        <stp>VOLUME</stp>
        <stp>.SPY251205C663</stp>
        <tr r="I31" s="2"/>
        <tr r="I31" s="2"/>
      </tp>
      <tp>
        <v>276</v>
        <stp/>
        <stp>VOLUME</stp>
        <stp>.SPY251212C674</stp>
        <tr r="J20" s="2"/>
        <tr r="J20" s="2"/>
      </tp>
      <tp>
        <v>3</v>
        <stp/>
        <stp>VOLUME</stp>
        <stp>.SPY251231C657</stp>
        <tr r="O37" s="2"/>
        <tr r="O37" s="2"/>
      </tp>
      <tp>
        <v>205</v>
        <stp/>
        <stp>VOLUME</stp>
        <stp>.SPY251205P662</stp>
        <tr r="I32" s="2"/>
        <tr r="I32" s="2"/>
      </tp>
      <tp>
        <v>595</v>
        <stp/>
        <stp>VOLUME</stp>
        <stp>.SPY251212P675</stp>
        <tr r="J19" s="2"/>
        <tr r="J19" s="2"/>
      </tp>
      <tp>
        <v>143</v>
        <stp/>
        <stp>VOLUME</stp>
        <stp>.SPY251231P656</stp>
        <tr r="O38" s="2"/>
        <tr r="O38" s="2"/>
      </tp>
      <tp t="s">
        <v>N/A</v>
        <stp/>
        <stp>VOLUME</stp>
        <stp>.SPY260206P662</stp>
        <tr r="N32" s="2"/>
      </tp>
      <tp t="s">
        <v>N/A</v>
        <stp/>
        <stp>VOLUME</stp>
        <stp>.SPY260206C662</stp>
        <tr r="N32" s="2"/>
      </tp>
      <tp>
        <v>406</v>
        <stp/>
        <stp>VOLUME</stp>
        <stp>.SPY251205C662</stp>
        <tr r="I32" s="2"/>
        <tr r="I32" s="2"/>
      </tp>
      <tp>
        <v>699</v>
        <stp/>
        <stp>VOLUME</stp>
        <stp>.SPY251212C675</stp>
        <tr r="J19" s="2"/>
        <tr r="J19" s="2"/>
      </tp>
      <tp>
        <v>1</v>
        <stp/>
        <stp>VOLUME</stp>
        <stp>.SPY251231C656</stp>
        <tr r="O38" s="2"/>
        <tr r="O38" s="2"/>
      </tp>
      <tp>
        <v>101</v>
        <stp/>
        <stp>VOLUME</stp>
        <stp>.SPY251205P661</stp>
        <tr r="I33" s="2"/>
        <tr r="I33" s="2"/>
      </tp>
      <tp>
        <v>97</v>
        <stp/>
        <stp>VOLUME</stp>
        <stp>.SPY251212P676</stp>
        <tr r="J18" s="2"/>
        <tr r="J18" s="2"/>
      </tp>
      <tp>
        <v>121</v>
        <stp/>
        <stp>VOLUME</stp>
        <stp>.SPY251231P655</stp>
        <tr r="O39" s="2"/>
        <tr r="O39" s="2"/>
      </tp>
      <tp t="s">
        <v>N/A</v>
        <stp/>
        <stp>VOLUME</stp>
        <stp>.SPY260206P661</stp>
        <tr r="N33" s="2"/>
      </tp>
      <tp t="s">
        <v>N/A</v>
        <stp/>
        <stp>VOLUME</stp>
        <stp>.SPY260206C661</stp>
        <tr r="N33" s="2"/>
      </tp>
      <tp>
        <v>93</v>
        <stp/>
        <stp>VOLUME</stp>
        <stp>.SPY251205C661</stp>
        <tr r="I33" s="2"/>
        <tr r="I33" s="2"/>
      </tp>
      <tp>
        <v>591</v>
        <stp/>
        <stp>VOLUME</stp>
        <stp>.SPY251212C676</stp>
        <tr r="J18" s="2"/>
        <tr r="J18" s="2"/>
      </tp>
      <tp>
        <v>12</v>
        <stp/>
        <stp>VOLUME</stp>
        <stp>.SPY251231C655</stp>
        <tr r="O39" s="2"/>
        <tr r="O39" s="2"/>
      </tp>
      <tp>
        <v>863</v>
        <stp/>
        <stp>VOLUME</stp>
        <stp>.SPY251205P660</stp>
        <tr r="I34" s="2"/>
        <tr r="I34" s="2"/>
      </tp>
      <tp>
        <v>19</v>
        <stp/>
        <stp>VOLUME</stp>
        <stp>.SPY251212P677</stp>
        <tr r="J17" s="2"/>
        <tr r="J17" s="2"/>
      </tp>
      <tp t="s">
        <v>N/A</v>
        <stp/>
        <stp>VOLUME</stp>
        <stp>.SPY260206P660</stp>
        <tr r="N34" s="2"/>
      </tp>
      <tp t="s">
        <v>N/A</v>
        <stp/>
        <stp>VOLUME</stp>
        <stp>.SPY260206C660</stp>
        <tr r="N34" s="2"/>
      </tp>
      <tp>
        <v>160</v>
        <stp/>
        <stp>VOLUME</stp>
        <stp>.SPY251205C660</stp>
        <tr r="I34" s="2"/>
        <tr r="I34" s="2"/>
      </tp>
      <tp>
        <v>97</v>
        <stp/>
        <stp>VOLUME</stp>
        <stp>.SPY251212C677</stp>
        <tr r="J17" s="2"/>
        <tr r="J17" s="2"/>
      </tp>
      <tp>
        <v>269</v>
        <stp/>
        <stp>VOLUME</stp>
        <stp>.SPY251205P667</stp>
        <tr r="I27" s="2"/>
        <tr r="I27" s="2"/>
      </tp>
      <tp>
        <v>954</v>
        <stp/>
        <stp>VOLUME</stp>
        <stp>.SPY251212P670</stp>
        <tr r="J24" s="2"/>
        <tr r="J24" s="2"/>
      </tp>
      <tp t="s">
        <v>N/A</v>
        <stp/>
        <stp>VOLUME</stp>
        <stp>.SPY260206P667</stp>
        <tr r="N27" s="2"/>
      </tp>
      <tp t="s">
        <v>N/A</v>
        <stp/>
        <stp>VOLUME</stp>
        <stp>.SPY260206C667</stp>
        <tr r="N27" s="2"/>
      </tp>
      <tp>
        <v>264</v>
        <stp/>
        <stp>VOLUME</stp>
        <stp>.SPY251205C667</stp>
        <tr r="I27" s="2"/>
        <tr r="I27" s="2"/>
      </tp>
      <tp>
        <v>1657</v>
        <stp/>
        <stp>VOLUME</stp>
        <stp>.SPY251212C670</stp>
        <tr r="J24" s="2"/>
        <tr r="J24" s="2"/>
      </tp>
      <tp>
        <v>1831</v>
        <stp/>
        <stp>VOLUME</stp>
        <stp>.SPY251205P666</stp>
        <tr r="I28" s="2"/>
        <tr r="I28" s="2"/>
      </tp>
      <tp>
        <v>30</v>
        <stp/>
        <stp>VOLUME</stp>
        <stp>.SPY251212P671</stp>
        <tr r="J23" s="2"/>
        <tr r="J23" s="2"/>
      </tp>
      <tp t="s">
        <v>N/A</v>
        <stp/>
        <stp>VOLUME</stp>
        <stp>.SPY260206P666</stp>
        <tr r="N28" s="2"/>
      </tp>
      <tp t="s">
        <v>N/A</v>
        <stp/>
        <stp>VOLUME</stp>
        <stp>.SPY260206C666</stp>
        <tr r="N28" s="2"/>
      </tp>
      <tp>
        <v>274</v>
        <stp/>
        <stp>VOLUME</stp>
        <stp>.SPY251205C666</stp>
        <tr r="I28" s="2"/>
        <tr r="I28" s="2"/>
      </tp>
      <tp>
        <v>105</v>
        <stp/>
        <stp>VOLUME</stp>
        <stp>.SPY251212C671</stp>
        <tr r="J23" s="2"/>
        <tr r="J23" s="2"/>
      </tp>
      <tp>
        <v>600</v>
        <stp/>
        <stp>VOLUME</stp>
        <stp>.SPY251205P665</stp>
        <tr r="I29" s="2"/>
        <tr r="I29" s="2"/>
      </tp>
      <tp>
        <v>123</v>
        <stp/>
        <stp>VOLUME</stp>
        <stp>.SPY251212P672</stp>
        <tr r="J22" s="2"/>
        <tr r="J22" s="2"/>
      </tp>
      <tp>
        <v>116</v>
        <stp/>
        <stp>VOLUME</stp>
        <stp>.SPY251219P679</stp>
        <tr r="K15" s="2"/>
        <tr r="K15" s="2"/>
      </tp>
      <tp t="s">
        <v>N/A</v>
        <stp/>
        <stp>VOLUME</stp>
        <stp>.SPY260206P665</stp>
        <tr r="N29" s="2"/>
      </tp>
      <tp t="s">
        <v>N/A</v>
        <stp/>
        <stp>VOLUME</stp>
        <stp>.SPY260206C665</stp>
        <tr r="N29" s="2"/>
      </tp>
      <tp>
        <v>654</v>
        <stp/>
        <stp>VOLUME</stp>
        <stp>.SPY251205C665</stp>
        <tr r="I29" s="2"/>
        <tr r="I29" s="2"/>
      </tp>
      <tp>
        <v>267</v>
        <stp/>
        <stp>VOLUME</stp>
        <stp>.SPY251212C672</stp>
        <tr r="J22" s="2"/>
        <tr r="J22" s="2"/>
      </tp>
      <tp>
        <v>618</v>
        <stp/>
        <stp>VOLUME</stp>
        <stp>.SPY251219C679</stp>
        <tr r="K15" s="2"/>
        <tr r="K15" s="2"/>
      </tp>
      <tp>
        <v>485</v>
        <stp/>
        <stp>VOLUME</stp>
        <stp>.SPY251205P664</stp>
        <tr r="I30" s="2"/>
        <tr r="I30" s="2"/>
      </tp>
      <tp>
        <v>143</v>
        <stp/>
        <stp>VOLUME</stp>
        <stp>.SPY251212P673</stp>
        <tr r="J21" s="2"/>
        <tr r="J21" s="2"/>
      </tp>
      <tp>
        <v>35</v>
        <stp/>
        <stp>VOLUME</stp>
        <stp>.SPY251219P678</stp>
        <tr r="K16" s="2"/>
        <tr r="K16" s="2"/>
      </tp>
      <tp t="s">
        <v>N/A</v>
        <stp/>
        <stp>VOLUME</stp>
        <stp>.SPY260206P664</stp>
        <tr r="N30" s="2"/>
      </tp>
      <tp t="s">
        <v>N/A</v>
        <stp/>
        <stp>VOLUME</stp>
        <stp>.SPY260206C664</stp>
        <tr r="N30" s="2"/>
      </tp>
      <tp>
        <v>521</v>
        <stp/>
        <stp>VOLUME</stp>
        <stp>.SPY251205C664</stp>
        <tr r="I30" s="2"/>
        <tr r="I30" s="2"/>
      </tp>
      <tp>
        <v>84</v>
        <stp/>
        <stp>VOLUME</stp>
        <stp>.SPY251212C673</stp>
        <tr r="J21" s="2"/>
        <tr r="J21" s="2"/>
      </tp>
      <tp>
        <v>307</v>
        <stp/>
        <stp>VOLUME</stp>
        <stp>.SPY251219C678</stp>
        <tr r="K16" s="2"/>
        <tr r="K16" s="2"/>
      </tp>
      <tp>
        <v>49</v>
        <stp/>
        <stp>VOLUME</stp>
        <stp>.SPY251219P677</stp>
        <tr r="K17" s="2"/>
        <tr r="K17" s="2"/>
      </tp>
      <tp>
        <v>575</v>
        <stp/>
        <stp>VOLUME</stp>
        <stp>.SPY251219C677</stp>
        <tr r="K17" s="2"/>
        <tr r="K17" s="2"/>
      </tp>
      <tp>
        <v>53</v>
        <stp/>
        <stp>VOLUME</stp>
        <stp>.SPY251219P676</stp>
        <tr r="K18" s="2"/>
        <tr r="K18" s="2"/>
      </tp>
      <tp>
        <v>157</v>
        <stp/>
        <stp>VOLUME</stp>
        <stp>.SPY251219C676</stp>
        <tr r="K18" s="2"/>
        <tr r="K18" s="2"/>
      </tp>
      <tp>
        <v>86</v>
        <stp/>
        <stp>VOLUME</stp>
        <stp>.SPY251205P669</stp>
        <tr r="I25" s="2"/>
        <tr r="I25" s="2"/>
      </tp>
      <tp>
        <v>995</v>
        <stp/>
        <stp>VOLUME</stp>
        <stp>.SPY251219P675</stp>
        <tr r="K19" s="2"/>
        <tr r="K19" s="2"/>
      </tp>
      <tp t="s">
        <v>N/A</v>
        <stp/>
        <stp>VOLUME</stp>
        <stp>.SPY260206P669</stp>
        <tr r="N25" s="2"/>
      </tp>
      <tp t="s">
        <v>N/A</v>
        <stp/>
        <stp>VOLUME</stp>
        <stp>.SPY260206C669</stp>
        <tr r="N25" s="2"/>
      </tp>
      <tp>
        <v>186</v>
        <stp/>
        <stp>VOLUME</stp>
        <stp>.SPY251205C669</stp>
        <tr r="I25" s="2"/>
        <tr r="I25" s="2"/>
      </tp>
      <tp>
        <v>2580</v>
        <stp/>
        <stp>VOLUME</stp>
        <stp>.SPY251219C675</stp>
        <tr r="K19" s="2"/>
        <tr r="K19" s="2"/>
      </tp>
      <tp>
        <v>638</v>
        <stp/>
        <stp>VOLUME</stp>
        <stp>.SPY251205P668</stp>
        <tr r="I26" s="2"/>
        <tr r="I26" s="2"/>
      </tp>
      <tp>
        <v>22</v>
        <stp/>
        <stp>VOLUME</stp>
        <stp>.SPY251219P674</stp>
        <tr r="K20" s="2"/>
        <tr r="K20" s="2"/>
      </tp>
      <tp t="s">
        <v>N/A</v>
        <stp/>
        <stp>VOLUME</stp>
        <stp>.SPY260206P668</stp>
        <tr r="N26" s="2"/>
      </tp>
      <tp t="s">
        <v>N/A</v>
        <stp/>
        <stp>VOLUME</stp>
        <stp>.SPY260206C668</stp>
        <tr r="N26" s="2"/>
      </tp>
      <tp>
        <v>196</v>
        <stp/>
        <stp>VOLUME</stp>
        <stp>.SPY251205C668</stp>
        <tr r="I26" s="2"/>
        <tr r="I26" s="2"/>
      </tp>
      <tp>
        <v>384</v>
        <stp/>
        <stp>VOLUME</stp>
        <stp>.SPY251219C674</stp>
        <tr r="K20" s="2"/>
        <tr r="K20" s="2"/>
      </tp>
      <tp t="s">
        <v>N/A</v>
        <stp/>
        <stp>VOLUME</stp>
        <stp>.SPY251212P678</stp>
        <tr r="J16" s="2"/>
      </tp>
      <tp>
        <v>145</v>
        <stp/>
        <stp>VOLUME</stp>
        <stp>.SPY251219P673</stp>
        <tr r="K21" s="2"/>
        <tr r="K21" s="2"/>
      </tp>
      <tp>
        <v>140</v>
        <stp/>
        <stp>VOLUME</stp>
        <stp>.SPY251212C678</stp>
        <tr r="J16" s="2"/>
        <tr r="J16" s="2"/>
      </tp>
      <tp>
        <v>597</v>
        <stp/>
        <stp>VOLUME</stp>
        <stp>.SPY251219C673</stp>
        <tr r="K21" s="2"/>
        <tr r="K21" s="2"/>
      </tp>
      <tp>
        <v>12</v>
        <stp/>
        <stp>VOLUME</stp>
        <stp>.SPY251212P679</stp>
        <tr r="J15" s="2"/>
        <tr r="J15" s="2"/>
      </tp>
      <tp>
        <v>116</v>
        <stp/>
        <stp>VOLUME</stp>
        <stp>.SPY251219P672</stp>
        <tr r="K22" s="2"/>
        <tr r="K22" s="2"/>
      </tp>
      <tp>
        <v>16</v>
        <stp/>
        <stp>VOLUME</stp>
        <stp>.SPY251212C679</stp>
        <tr r="J15" s="2"/>
        <tr r="J15" s="2"/>
      </tp>
      <tp>
        <v>222</v>
        <stp/>
        <stp>VOLUME</stp>
        <stp>.SPY251219C672</stp>
        <tr r="K22" s="2"/>
        <tr r="K22" s="2"/>
      </tp>
      <tp>
        <v>149</v>
        <stp/>
        <stp>VOLUME</stp>
        <stp>.SPY251219P671</stp>
        <tr r="K23" s="2"/>
        <tr r="K23" s="2"/>
      </tp>
      <tp>
        <v>25</v>
        <stp/>
        <stp>VOLUME</stp>
        <stp>.SPY251231P659</stp>
        <tr r="O35" s="2"/>
        <tr r="O35" s="2"/>
      </tp>
      <tp>
        <v>683</v>
        <stp/>
        <stp>VOLUME</stp>
        <stp>.SPY251219C671</stp>
        <tr r="K23" s="2"/>
        <tr r="K23" s="2"/>
      </tp>
      <tp>
        <v>12</v>
        <stp/>
        <stp>VOLUME</stp>
        <stp>.SPY251231C659</stp>
        <tr r="O35" s="2"/>
        <tr r="O35" s="2"/>
      </tp>
      <tp>
        <v>4486</v>
        <stp/>
        <stp>VOLUME</stp>
        <stp>.SPY251219P670</stp>
        <tr r="K24" s="2"/>
        <tr r="K24" s="2"/>
      </tp>
      <tp>
        <v>45</v>
        <stp/>
        <stp>VOLUME</stp>
        <stp>.SPY251231P658</stp>
        <tr r="O36" s="2"/>
        <tr r="O36" s="2"/>
      </tp>
      <tp>
        <v>4466</v>
        <stp/>
        <stp>VOLUME</stp>
        <stp>.SPY251219C670</stp>
        <tr r="K24" s="2"/>
        <tr r="K24" s="2"/>
      </tp>
      <tp>
        <v>4</v>
        <stp/>
        <stp>VOLUME</stp>
        <stp>.SPY251231C658</stp>
        <tr r="O36" s="2"/>
        <tr r="O36" s="2"/>
      </tp>
      <tp t="s">
        <v>N/A</v>
        <stp/>
        <stp>VOLUME</stp>
        <stp>.QQQ260828P599</stp>
        <tr r="V76" s="2"/>
      </tp>
      <tp t="s">
        <v>N/A</v>
        <stp/>
        <stp>VOLUME</stp>
        <stp>.QQQ260828C599</stp>
        <tr r="V76" s="2"/>
      </tp>
      <tp t="s">
        <v>N/A</v>
        <stp/>
        <stp>VOLUME</stp>
        <stp>.QQQ260828P598</stp>
        <tr r="V77" s="2"/>
      </tp>
      <tp t="s">
        <v>N/A</v>
        <stp/>
        <stp>VOLUME</stp>
        <stp>.QQQ260828C598</stp>
        <tr r="V77" s="2"/>
      </tp>
      <tp t="s">
        <v>N/A</v>
        <stp/>
        <stp>VOLUME</stp>
        <stp>.QQQ260828P597</stp>
        <tr r="V78" s="2"/>
      </tp>
      <tp t="s">
        <v>N/A</v>
        <stp/>
        <stp>VOLUME</stp>
        <stp>.QQQ260828C597</stp>
        <tr r="V78" s="2"/>
      </tp>
      <tp t="s">
        <v>N/A</v>
        <stp/>
        <stp>VOLUME</stp>
        <stp>.QQQ260828P596</stp>
        <tr r="V79" s="2"/>
      </tp>
      <tp t="s">
        <v>N/A</v>
        <stp/>
        <stp>VOLUME</stp>
        <stp>.QQQ260828C596</stp>
        <tr r="V79" s="2"/>
      </tp>
      <tp t="s">
        <v>N/A</v>
        <stp/>
        <stp>VOLUME</stp>
        <stp>.QQQ260828P595</stp>
        <tr r="V80" s="2"/>
      </tp>
      <tp t="s">
        <v>N/A</v>
        <stp/>
        <stp>VOLUME</stp>
        <stp>.QQQ260828C595</stp>
        <tr r="V80" s="2"/>
      </tp>
      <tp t="s">
        <v>N/A</v>
        <stp/>
        <stp>VOLUME</stp>
        <stp>.QQQ260731P596</stp>
        <tr r="U79" s="2"/>
      </tp>
      <tp t="s">
        <v>N/A</v>
        <stp/>
        <stp>VOLUME</stp>
        <stp>.QQQ260731C596</stp>
        <tr r="U79" s="2"/>
      </tp>
      <tp t="s">
        <v>N/A</v>
        <stp/>
        <stp>VOLUME</stp>
        <stp>.QQQ260731P597</stp>
        <tr r="U78" s="2"/>
      </tp>
      <tp t="s">
        <v>N/A</v>
        <stp/>
        <stp>VOLUME</stp>
        <stp>.QQQ260731C597</stp>
        <tr r="U78" s="2"/>
      </tp>
      <tp t="s">
        <v>N/A</v>
        <stp/>
        <stp>VOLUME</stp>
        <stp>.QQQ260731P595</stp>
        <tr r="U80" s="2"/>
      </tp>
      <tp t="s">
        <v>N/A</v>
        <stp/>
        <stp>VOLUME</stp>
        <stp>.QQQ260731C595</stp>
        <tr r="U80" s="2"/>
      </tp>
      <tp t="s">
        <v>N/A</v>
        <stp/>
        <stp>VOLUME</stp>
        <stp>.QQQ260731P598</stp>
        <tr r="U77" s="2"/>
      </tp>
      <tp t="s">
        <v>N/A</v>
        <stp/>
        <stp>VOLUME</stp>
        <stp>.QQQ260731C598</stp>
        <tr r="U77" s="2"/>
      </tp>
      <tp t="s">
        <v>N/A</v>
        <stp/>
        <stp>VOLUME</stp>
        <stp>.QQQ260731P599</stp>
        <tr r="U76" s="2"/>
      </tp>
      <tp t="s">
        <v>N/A</v>
        <stp/>
        <stp>VOLUME</stp>
        <stp>.QQQ260731C599</stp>
        <tr r="U76" s="2"/>
      </tp>
      <tp t="s">
        <v>N/A</v>
        <stp/>
        <stp>VOLUME</stp>
        <stp>.QQQ260403P614</stp>
        <tr r="Q61" s="2"/>
      </tp>
      <tp t="s">
        <v>N/A</v>
        <stp/>
        <stp>VOLUME</stp>
        <stp>.QQQ260403C614</stp>
        <tr r="Q61" s="2"/>
      </tp>
      <tp t="s">
        <v>N/A</v>
        <stp/>
        <stp>VOLUME</stp>
        <stp>.QQQ260403P615</stp>
        <tr r="Q60" s="2"/>
      </tp>
      <tp t="s">
        <v>N/A</v>
        <stp/>
        <stp>VOLUME</stp>
        <stp>.QQQ260403C615</stp>
        <tr r="Q60" s="2"/>
      </tp>
      <tp t="s">
        <v>N/A</v>
        <stp/>
        <stp>VOLUME</stp>
        <stp>.QQQ260403P616</stp>
        <tr r="Q59" s="2"/>
      </tp>
      <tp t="s">
        <v>N/A</v>
        <stp/>
        <stp>VOLUME</stp>
        <stp>.QQQ260403C616</stp>
        <tr r="Q59" s="2"/>
      </tp>
      <tp t="s">
        <v>N/A</v>
        <stp/>
        <stp>VOLUME</stp>
        <stp>.QQQ260403P617</stp>
        <tr r="Q58" s="2"/>
      </tp>
      <tp t="s">
        <v>N/A</v>
        <stp/>
        <stp>VOLUME</stp>
        <stp>.QQQ260403C617</stp>
        <tr r="Q58" s="2"/>
      </tp>
      <tp t="s">
        <v>N/A</v>
        <stp/>
        <stp>VOLUME</stp>
        <stp>.QQQ260403P610</stp>
        <tr r="Q65" s="2"/>
      </tp>
      <tp t="s">
        <v>N/A</v>
        <stp/>
        <stp>VOLUME</stp>
        <stp>.QQQ260403C610</stp>
        <tr r="Q65" s="2"/>
      </tp>
      <tp t="s">
        <v>N/A</v>
        <stp/>
        <stp>VOLUME</stp>
        <stp>.QQQ260403P611</stp>
        <tr r="Q64" s="2"/>
      </tp>
      <tp t="s">
        <v>N/A</v>
        <stp/>
        <stp>VOLUME</stp>
        <stp>.QQQ260403C611</stp>
        <tr r="Q64" s="2"/>
      </tp>
      <tp t="s">
        <v>N/A</v>
        <stp/>
        <stp>VOLUME</stp>
        <stp>.QQQ260403P612</stp>
        <tr r="Q63" s="2"/>
      </tp>
      <tp t="s">
        <v>N/A</v>
        <stp/>
        <stp>VOLUME</stp>
        <stp>.QQQ260403C612</stp>
        <tr r="Q63" s="2"/>
      </tp>
      <tp t="s">
        <v>N/A</v>
        <stp/>
        <stp>VOLUME</stp>
        <stp>.QQQ260403P613</stp>
        <tr r="Q62" s="2"/>
      </tp>
      <tp t="s">
        <v>N/A</v>
        <stp/>
        <stp>VOLUME</stp>
        <stp>.QQQ260403C613</stp>
        <tr r="Q62" s="2"/>
      </tp>
      <tp t="s">
        <v>N/A</v>
        <stp/>
        <stp>VOLUME</stp>
        <stp>.QQQ260403P618</stp>
        <tr r="Q57" s="2"/>
      </tp>
      <tp t="s">
        <v>N/A</v>
        <stp/>
        <stp>VOLUME</stp>
        <stp>.QQQ260403C618</stp>
        <tr r="Q57" s="2"/>
      </tp>
      <tp t="s">
        <v>N/A</v>
        <stp/>
        <stp>VOLUME</stp>
        <stp>.QQQ260403P619</stp>
        <tr r="Q56" s="2"/>
      </tp>
      <tp t="s">
        <v>N/A</v>
        <stp/>
        <stp>VOLUME</stp>
        <stp>.QQQ260403C619</stp>
        <tr r="Q56" s="2"/>
      </tp>
      <tp t="s">
        <v>N/A</v>
        <stp/>
        <stp>VOLUME</stp>
        <stp>.QQQ260403P604</stp>
        <tr r="Q71" s="2"/>
      </tp>
      <tp t="s">
        <v>N/A</v>
        <stp/>
        <stp>VOLUME</stp>
        <stp>.QQQ260403C604</stp>
        <tr r="Q71" s="2"/>
      </tp>
      <tp t="s">
        <v>N/A</v>
        <stp/>
        <stp>VOLUME</stp>
        <stp>.QQQ260403P605</stp>
        <tr r="Q70" s="2"/>
      </tp>
      <tp t="s">
        <v>N/A</v>
        <stp/>
        <stp>VOLUME</stp>
        <stp>.QQQ260403C605</stp>
        <tr r="Q70" s="2"/>
      </tp>
      <tp t="s">
        <v>N/A</v>
        <stp/>
        <stp>VOLUME</stp>
        <stp>.QQQ260403P606</stp>
        <tr r="Q69" s="2"/>
      </tp>
      <tp t="s">
        <v>N/A</v>
        <stp/>
        <stp>VOLUME</stp>
        <stp>.QQQ260403C606</stp>
        <tr r="Q69" s="2"/>
      </tp>
      <tp t="s">
        <v>N/A</v>
        <stp/>
        <stp>VOLUME</stp>
        <stp>.QQQ260403P607</stp>
        <tr r="Q68" s="2"/>
      </tp>
      <tp t="s">
        <v>N/A</v>
        <stp/>
        <stp>VOLUME</stp>
        <stp>.QQQ260403C607</stp>
        <tr r="Q68" s="2"/>
      </tp>
      <tp t="s">
        <v>N/A</v>
        <stp/>
        <stp>VOLUME</stp>
        <stp>.QQQ260403P600</stp>
        <tr r="Q75" s="2"/>
      </tp>
      <tp t="s">
        <v>N/A</v>
        <stp/>
        <stp>VOLUME</stp>
        <stp>.QQQ260403C600</stp>
        <tr r="Q75" s="2"/>
      </tp>
      <tp t="s">
        <v>N/A</v>
        <stp/>
        <stp>VOLUME</stp>
        <stp>.QQQ260403P601</stp>
        <tr r="Q74" s="2"/>
      </tp>
      <tp t="s">
        <v>N/A</v>
        <stp/>
        <stp>VOLUME</stp>
        <stp>.QQQ260403C601</stp>
        <tr r="Q74" s="2"/>
      </tp>
      <tp t="s">
        <v>N/A</v>
        <stp/>
        <stp>VOLUME</stp>
        <stp>.QQQ260403P602</stp>
        <tr r="Q73" s="2"/>
      </tp>
      <tp t="s">
        <v>N/A</v>
        <stp/>
        <stp>VOLUME</stp>
        <stp>.QQQ260403C602</stp>
        <tr r="Q73" s="2"/>
      </tp>
      <tp t="s">
        <v>N/A</v>
        <stp/>
        <stp>VOLUME</stp>
        <stp>.QQQ260403P603</stp>
        <tr r="Q72" s="2"/>
      </tp>
      <tp t="s">
        <v>N/A</v>
        <stp/>
        <stp>VOLUME</stp>
        <stp>.QQQ260403C603</stp>
        <tr r="Q72" s="2"/>
      </tp>
      <tp t="s">
        <v>N/A</v>
        <stp/>
        <stp>VOLUME</stp>
        <stp>.QQQ260403P608</stp>
        <tr r="Q67" s="2"/>
      </tp>
      <tp t="s">
        <v>N/A</v>
        <stp/>
        <stp>VOLUME</stp>
        <stp>.QQQ260403C608</stp>
        <tr r="Q67" s="2"/>
      </tp>
      <tp t="s">
        <v>N/A</v>
        <stp/>
        <stp>VOLUME</stp>
        <stp>.QQQ260403P609</stp>
        <tr r="Q66" s="2"/>
      </tp>
      <tp t="s">
        <v>N/A</v>
        <stp/>
        <stp>VOLUME</stp>
        <stp>.QQQ260403C609</stp>
        <tr r="Q66" s="2"/>
      </tp>
      <tp t="s">
        <v>N/A</v>
        <stp/>
        <stp>VOLUME</stp>
        <stp>.QQQ260403P624</stp>
        <tr r="Q51" s="2"/>
      </tp>
      <tp t="s">
        <v>N/A</v>
        <stp/>
        <stp>VOLUME</stp>
        <stp>.QQQ260403C624</stp>
        <tr r="Q51" s="2"/>
      </tp>
      <tp t="s">
        <v>N/A</v>
        <stp/>
        <stp>VOLUME</stp>
        <stp>.QQQ260403P625</stp>
        <tr r="Q50" s="2"/>
      </tp>
      <tp t="s">
        <v>N/A</v>
        <stp/>
        <stp>VOLUME</stp>
        <stp>.QQQ260403C625</stp>
        <tr r="Q50" s="2"/>
      </tp>
      <tp t="s">
        <v>N/A</v>
        <stp/>
        <stp>VOLUME</stp>
        <stp>.QQQ260403P626</stp>
        <tr r="Q49" s="2"/>
      </tp>
      <tp t="s">
        <v>N/A</v>
        <stp/>
        <stp>VOLUME</stp>
        <stp>.QQQ260403C626</stp>
        <tr r="Q49" s="2"/>
      </tp>
      <tp t="s">
        <v>N/A</v>
        <stp/>
        <stp>VOLUME</stp>
        <stp>.QQQ260403P627</stp>
        <tr r="Q48" s="2"/>
      </tp>
      <tp t="s">
        <v>N/A</v>
        <stp/>
        <stp>VOLUME</stp>
        <stp>.QQQ260403C627</stp>
        <tr r="Q48" s="2"/>
      </tp>
      <tp t="s">
        <v>N/A</v>
        <stp/>
        <stp>VOLUME</stp>
        <stp>.QQQ260403P620</stp>
        <tr r="Q55" s="2"/>
      </tp>
      <tp t="s">
        <v>N/A</v>
        <stp/>
        <stp>VOLUME</stp>
        <stp>.QQQ260403C620</stp>
        <tr r="Q55" s="2"/>
      </tp>
      <tp t="s">
        <v>N/A</v>
        <stp/>
        <stp>VOLUME</stp>
        <stp>.QQQ260403P621</stp>
        <tr r="Q54" s="2"/>
      </tp>
      <tp t="s">
        <v>N/A</v>
        <stp/>
        <stp>VOLUME</stp>
        <stp>.QQQ260403C621</stp>
        <tr r="Q54" s="2"/>
      </tp>
      <tp t="s">
        <v>N/A</v>
        <stp/>
        <stp>VOLUME</stp>
        <stp>.QQQ260403P622</stp>
        <tr r="Q53" s="2"/>
      </tp>
      <tp t="s">
        <v>N/A</v>
        <stp/>
        <stp>VOLUME</stp>
        <stp>.QQQ260403C622</stp>
        <tr r="Q53" s="2"/>
      </tp>
      <tp t="s">
        <v>N/A</v>
        <stp/>
        <stp>VOLUME</stp>
        <stp>.QQQ260403P623</stp>
        <tr r="Q52" s="2"/>
      </tp>
      <tp t="s">
        <v>N/A</v>
        <stp/>
        <stp>VOLUME</stp>
        <stp>.QQQ260403C623</stp>
        <tr r="Q52" s="2"/>
      </tp>
      <tp t="s">
        <v>N/A</v>
        <stp/>
        <stp>VOLUME</stp>
        <stp>.QQQ260403P628</stp>
        <tr r="Q47" s="2"/>
      </tp>
      <tp t="s">
        <v>N/A</v>
        <stp/>
        <stp>VOLUME</stp>
        <stp>.QQQ260403C628</stp>
        <tr r="Q47" s="2"/>
      </tp>
      <tp t="s">
        <v>N/A</v>
        <stp/>
        <stp>VOLUME</stp>
        <stp>.QQQ260403P629</stp>
        <tr r="Q46" s="2"/>
      </tp>
      <tp t="s">
        <v>N/A</v>
        <stp/>
        <stp>VOLUME</stp>
        <stp>.QQQ260403C629</stp>
        <tr r="Q46" s="2"/>
      </tp>
      <tp t="s">
        <v>N/A</v>
        <stp/>
        <stp>VOLUME</stp>
        <stp>.QQQ260626P595</stp>
        <tr r="T80" s="2"/>
      </tp>
      <tp t="s">
        <v>N/A</v>
        <stp/>
        <stp>VOLUME</stp>
        <stp>.QQQ260626C595</stp>
        <tr r="T80" s="2"/>
      </tp>
      <tp t="s">
        <v>N/A</v>
        <stp/>
        <stp>VOLUME</stp>
        <stp>.QQQ260626P597</stp>
        <tr r="T78" s="2"/>
      </tp>
      <tp t="s">
        <v>N/A</v>
        <stp/>
        <stp>VOLUME</stp>
        <stp>.QQQ260626C597</stp>
        <tr r="T78" s="2"/>
      </tp>
      <tp t="s">
        <v>N/A</v>
        <stp/>
        <stp>VOLUME</stp>
        <stp>.QQQ260626P596</stp>
        <tr r="T79" s="2"/>
      </tp>
      <tp t="s">
        <v>N/A</v>
        <stp/>
        <stp>VOLUME</stp>
        <stp>.QQQ260626C596</stp>
        <tr r="T79" s="2"/>
      </tp>
      <tp t="s">
        <v>N/A</v>
        <stp/>
        <stp>VOLUME</stp>
        <stp>.QQQ260626P599</stp>
        <tr r="T76" s="2"/>
      </tp>
      <tp t="s">
        <v>N/A</v>
        <stp/>
        <stp>VOLUME</stp>
        <stp>.QQQ260626C599</stp>
        <tr r="T76" s="2"/>
      </tp>
      <tp t="s">
        <v>N/A</v>
        <stp/>
        <stp>VOLUME</stp>
        <stp>.QQQ260626P598</stp>
        <tr r="T77" s="2"/>
      </tp>
      <tp t="s">
        <v>N/A</v>
        <stp/>
        <stp>VOLUME</stp>
        <stp>.QQQ260626C598</stp>
        <tr r="T77" s="2"/>
      </tp>
      <tp t="s">
        <v>N/A</v>
        <stp/>
        <stp>VOLUME</stp>
        <stp>.QQQ260501P616</stp>
        <tr r="R59" s="2"/>
      </tp>
      <tp t="s">
        <v>N/A</v>
        <stp/>
        <stp>VOLUME</stp>
        <stp>.QQQ260501C616</stp>
        <tr r="R59" s="2"/>
      </tp>
      <tp t="s">
        <v>N/A</v>
        <stp/>
        <stp>VOLUME</stp>
        <stp>.QQQ260501P617</stp>
        <tr r="R58" s="2"/>
      </tp>
      <tp t="s">
        <v>N/A</v>
        <stp/>
        <stp>VOLUME</stp>
        <stp>.QQQ260501C617</stp>
        <tr r="R58" s="2"/>
      </tp>
      <tp t="s">
        <v>N/A</v>
        <stp/>
        <stp>VOLUME</stp>
        <stp>.QQQ260501P614</stp>
        <tr r="R61" s="2"/>
      </tp>
      <tp t="s">
        <v>N/A</v>
        <stp/>
        <stp>VOLUME</stp>
        <stp>.QQQ260501C614</stp>
        <tr r="R61" s="2"/>
      </tp>
      <tp t="s">
        <v>N/A</v>
        <stp/>
        <stp>VOLUME</stp>
        <stp>.QQQ260501P615</stp>
        <tr r="R60" s="2"/>
      </tp>
      <tp t="s">
        <v>N/A</v>
        <stp/>
        <stp>VOLUME</stp>
        <stp>.QQQ260501C615</stp>
        <tr r="R60" s="2"/>
      </tp>
      <tp t="s">
        <v>N/A</v>
        <stp/>
        <stp>VOLUME</stp>
        <stp>.QQQ260501P612</stp>
        <tr r="R63" s="2"/>
      </tp>
      <tp t="s">
        <v>N/A</v>
        <stp/>
        <stp>VOLUME</stp>
        <stp>.QQQ260501C612</stp>
        <tr r="R63" s="2"/>
      </tp>
      <tp t="s">
        <v>N/A</v>
        <stp/>
        <stp>VOLUME</stp>
        <stp>.QQQ260501P613</stp>
        <tr r="R62" s="2"/>
      </tp>
      <tp t="s">
        <v>N/A</v>
        <stp/>
        <stp>VOLUME</stp>
        <stp>.QQQ260501C613</stp>
        <tr r="R62" s="2"/>
      </tp>
      <tp t="s">
        <v>N/A</v>
        <stp/>
        <stp>VOLUME</stp>
        <stp>.QQQ260501P610</stp>
        <tr r="R65" s="2"/>
      </tp>
      <tp t="s">
        <v>N/A</v>
        <stp/>
        <stp>VOLUME</stp>
        <stp>.QQQ260501C610</stp>
        <tr r="R65" s="2"/>
      </tp>
      <tp t="s">
        <v>N/A</v>
        <stp/>
        <stp>VOLUME</stp>
        <stp>.QQQ260501P611</stp>
        <tr r="R64" s="2"/>
      </tp>
      <tp t="s">
        <v>N/A</v>
        <stp/>
        <stp>VOLUME</stp>
        <stp>.QQQ260501C611</stp>
        <tr r="R64" s="2"/>
      </tp>
      <tp t="s">
        <v>N/A</v>
        <stp/>
        <stp>VOLUME</stp>
        <stp>.QQQ260501P618</stp>
        <tr r="R57" s="2"/>
      </tp>
      <tp t="s">
        <v>N/A</v>
        <stp/>
        <stp>VOLUME</stp>
        <stp>.QQQ260501C618</stp>
        <tr r="R57" s="2"/>
      </tp>
      <tp t="s">
        <v>N/A</v>
        <stp/>
        <stp>VOLUME</stp>
        <stp>.QQQ260501P619</stp>
        <tr r="R56" s="2"/>
      </tp>
      <tp t="s">
        <v>N/A</v>
        <stp/>
        <stp>VOLUME</stp>
        <stp>.QQQ260501C619</stp>
        <tr r="R56" s="2"/>
      </tp>
      <tp t="s">
        <v>N/A</v>
        <stp/>
        <stp>VOLUME</stp>
        <stp>.QQQ260501P606</stp>
        <tr r="R69" s="2"/>
      </tp>
      <tp t="s">
        <v>N/A</v>
        <stp/>
        <stp>VOLUME</stp>
        <stp>.QQQ260501C606</stp>
        <tr r="R69" s="2"/>
      </tp>
      <tp t="s">
        <v>N/A</v>
        <stp/>
        <stp>VOLUME</stp>
        <stp>.QQQ260501P607</stp>
        <tr r="R68" s="2"/>
      </tp>
      <tp t="s">
        <v>N/A</v>
        <stp/>
        <stp>VOLUME</stp>
        <stp>.QQQ260501C607</stp>
        <tr r="R68" s="2"/>
      </tp>
      <tp t="s">
        <v>N/A</v>
        <stp/>
        <stp>VOLUME</stp>
        <stp>.QQQ260501P604</stp>
        <tr r="R71" s="2"/>
      </tp>
      <tp t="s">
        <v>N/A</v>
        <stp/>
        <stp>VOLUME</stp>
        <stp>.QQQ260501C604</stp>
        <tr r="R71" s="2"/>
      </tp>
      <tp t="s">
        <v>N/A</v>
        <stp/>
        <stp>VOLUME</stp>
        <stp>.QQQ260501P605</stp>
        <tr r="R70" s="2"/>
      </tp>
      <tp t="s">
        <v>N/A</v>
        <stp/>
        <stp>VOLUME</stp>
        <stp>.QQQ260501C605</stp>
        <tr r="R70" s="2"/>
      </tp>
      <tp t="s">
        <v>N/A</v>
        <stp/>
        <stp>VOLUME</stp>
        <stp>.QQQ260501P602</stp>
        <tr r="R73" s="2"/>
      </tp>
      <tp t="s">
        <v>N/A</v>
        <stp/>
        <stp>VOLUME</stp>
        <stp>.QQQ260501C602</stp>
        <tr r="R73" s="2"/>
      </tp>
      <tp t="s">
        <v>N/A</v>
        <stp/>
        <stp>VOLUME</stp>
        <stp>.QQQ260501P603</stp>
        <tr r="R72" s="2"/>
      </tp>
      <tp t="s">
        <v>N/A</v>
        <stp/>
        <stp>VOLUME</stp>
        <stp>.QQQ260501C603</stp>
        <tr r="R72" s="2"/>
      </tp>
      <tp t="s">
        <v>N/A</v>
        <stp/>
        <stp>VOLUME</stp>
        <stp>.QQQ260501P600</stp>
        <tr r="R75" s="2"/>
      </tp>
      <tp t="s">
        <v>N/A</v>
        <stp/>
        <stp>VOLUME</stp>
        <stp>.QQQ260529P628</stp>
        <tr r="S47" s="2"/>
      </tp>
      <tp t="s">
        <v>N/A</v>
        <stp/>
        <stp>VOLUME</stp>
        <stp>.QQQ260501C600</stp>
        <tr r="R75" s="2"/>
      </tp>
      <tp t="s">
        <v>N/A</v>
        <stp/>
        <stp>VOLUME</stp>
        <stp>.QQQ260529C628</stp>
        <tr r="S47" s="2"/>
      </tp>
      <tp t="s">
        <v>N/A</v>
        <stp/>
        <stp>VOLUME</stp>
        <stp>.QQQ260501P601</stp>
        <tr r="R74" s="2"/>
      </tp>
      <tp t="s">
        <v>N/A</v>
        <stp/>
        <stp>VOLUME</stp>
        <stp>.QQQ260529P629</stp>
        <tr r="S46" s="2"/>
      </tp>
      <tp t="s">
        <v>N/A</v>
        <stp/>
        <stp>VOLUME</stp>
        <stp>.QQQ260501C601</stp>
        <tr r="R74" s="2"/>
      </tp>
      <tp t="s">
        <v>N/A</v>
        <stp/>
        <stp>VOLUME</stp>
        <stp>.QQQ260529C629</stp>
        <tr r="S46" s="2"/>
      </tp>
      <tp t="s">
        <v>N/A</v>
        <stp/>
        <stp>VOLUME</stp>
        <stp>.QQQ260529P626</stp>
        <tr r="S49" s="2"/>
      </tp>
      <tp t="s">
        <v>N/A</v>
        <stp/>
        <stp>VOLUME</stp>
        <stp>.QQQ260529C626</stp>
        <tr r="S49" s="2"/>
      </tp>
      <tp t="s">
        <v>N/A</v>
        <stp/>
        <stp>VOLUME</stp>
        <stp>.QQQ260529P627</stp>
        <tr r="S48" s="2"/>
      </tp>
      <tp t="s">
        <v>N/A</v>
        <stp/>
        <stp>VOLUME</stp>
        <stp>.QQQ260529C627</stp>
        <tr r="S48" s="2"/>
      </tp>
      <tp t="s">
        <v>N/A</v>
        <stp/>
        <stp>VOLUME</stp>
        <stp>.QQQ260529P624</stp>
        <tr r="S51" s="2"/>
      </tp>
      <tp t="s">
        <v>N/A</v>
        <stp/>
        <stp>VOLUME</stp>
        <stp>.QQQ260529C624</stp>
        <tr r="S51" s="2"/>
      </tp>
      <tp t="s">
        <v>N/A</v>
        <stp/>
        <stp>VOLUME</stp>
        <stp>.QQQ260529P625</stp>
        <tr r="S50" s="2"/>
      </tp>
      <tp t="s">
        <v>N/A</v>
        <stp/>
        <stp>VOLUME</stp>
        <stp>.QQQ260529C625</stp>
        <tr r="S50" s="2"/>
      </tp>
      <tp t="s">
        <v>N/A</v>
        <stp/>
        <stp>VOLUME</stp>
        <stp>.QQQ260529P622</stp>
        <tr r="S53" s="2"/>
      </tp>
      <tp t="s">
        <v>N/A</v>
        <stp/>
        <stp>VOLUME</stp>
        <stp>.QQQ260529C622</stp>
        <tr r="S53" s="2"/>
      </tp>
      <tp t="s">
        <v>N/A</v>
        <stp/>
        <stp>VOLUME</stp>
        <stp>.QQQ260529P623</stp>
        <tr r="S52" s="2"/>
      </tp>
      <tp t="s">
        <v>N/A</v>
        <stp/>
        <stp>VOLUME</stp>
        <stp>.QQQ260529C623</stp>
        <tr r="S52" s="2"/>
      </tp>
      <tp t="s">
        <v>N/A</v>
        <stp/>
        <stp>VOLUME</stp>
        <stp>.QQQ260501P608</stp>
        <tr r="R67" s="2"/>
      </tp>
      <tp t="s">
        <v>N/A</v>
        <stp/>
        <stp>VOLUME</stp>
        <stp>.QQQ260529P620</stp>
        <tr r="S55" s="2"/>
      </tp>
      <tp t="s">
        <v>N/A</v>
        <stp/>
        <stp>VOLUME</stp>
        <stp>.QQQ260501C608</stp>
        <tr r="R67" s="2"/>
      </tp>
      <tp t="s">
        <v>N/A</v>
        <stp/>
        <stp>VOLUME</stp>
        <stp>.QQQ260529C620</stp>
        <tr r="S55" s="2"/>
      </tp>
      <tp t="s">
        <v>N/A</v>
        <stp/>
        <stp>VOLUME</stp>
        <stp>.QQQ260501P609</stp>
        <tr r="R66" s="2"/>
      </tp>
      <tp t="s">
        <v>N/A</v>
        <stp/>
        <stp>VOLUME</stp>
        <stp>.QQQ260529P621</stp>
        <tr r="S54" s="2"/>
      </tp>
      <tp t="s">
        <v>N/A</v>
        <stp/>
        <stp>VOLUME</stp>
        <stp>.QQQ260501C609</stp>
        <tr r="R66" s="2"/>
      </tp>
      <tp t="s">
        <v>N/A</v>
        <stp/>
        <stp>VOLUME</stp>
        <stp>.QQQ260529C621</stp>
        <tr r="S54" s="2"/>
      </tp>
      <tp t="s">
        <v>N/A</v>
        <stp/>
        <stp>VOLUME</stp>
        <stp>.QQQ260529P618</stp>
        <tr r="S57" s="2"/>
      </tp>
      <tp t="s">
        <v>N/A</v>
        <stp/>
        <stp>VOLUME</stp>
        <stp>.QQQ260529C618</stp>
        <tr r="S57" s="2"/>
      </tp>
      <tp t="s">
        <v>N/A</v>
        <stp/>
        <stp>VOLUME</stp>
        <stp>.QQQ260529P619</stp>
        <tr r="S56" s="2"/>
      </tp>
      <tp t="s">
        <v>N/A</v>
        <stp/>
        <stp>VOLUME</stp>
        <stp>.QQQ260529C619</stp>
        <tr r="S56" s="2"/>
      </tp>
      <tp t="s">
        <v>N/A</v>
        <stp/>
        <stp>VOLUME</stp>
        <stp>.QQQ260529P616</stp>
        <tr r="S59" s="2"/>
      </tp>
      <tp t="s">
        <v>N/A</v>
        <stp/>
        <stp>VOLUME</stp>
        <stp>.QQQ260529C616</stp>
        <tr r="S59" s="2"/>
      </tp>
      <tp t="s">
        <v>N/A</v>
        <stp/>
        <stp>VOLUME</stp>
        <stp>.QQQ260529P617</stp>
        <tr r="S58" s="2"/>
      </tp>
      <tp t="s">
        <v>N/A</v>
        <stp/>
        <stp>VOLUME</stp>
        <stp>.QQQ260529C617</stp>
        <tr r="S58" s="2"/>
      </tp>
      <tp t="s">
        <v>N/A</v>
        <stp/>
        <stp>VOLUME</stp>
        <stp>.QQQ260529P614</stp>
        <tr r="S61" s="2"/>
      </tp>
      <tp t="s">
        <v>N/A</v>
        <stp/>
        <stp>VOLUME</stp>
        <stp>.QQQ260529C614</stp>
        <tr r="S61" s="2"/>
      </tp>
      <tp t="s">
        <v>N/A</v>
        <stp/>
        <stp>VOLUME</stp>
        <stp>.QQQ260529P615</stp>
        <tr r="S60" s="2"/>
      </tp>
      <tp t="s">
        <v>N/A</v>
        <stp/>
        <stp>VOLUME</stp>
        <stp>.QQQ260529C615</stp>
        <tr r="S60" s="2"/>
      </tp>
      <tp t="s">
        <v>N/A</v>
        <stp/>
        <stp>VOLUME</stp>
        <stp>.QQQ260529P612</stp>
        <tr r="S63" s="2"/>
      </tp>
      <tp t="s">
        <v>N/A</v>
        <stp/>
        <stp>VOLUME</stp>
        <stp>.QQQ260529C612</stp>
        <tr r="S63" s="2"/>
      </tp>
      <tp t="s">
        <v>N/A</v>
        <stp/>
        <stp>VOLUME</stp>
        <stp>.QQQ260529P613</stp>
        <tr r="S62" s="2"/>
      </tp>
      <tp t="s">
        <v>N/A</v>
        <stp/>
        <stp>VOLUME</stp>
        <stp>.QQQ260529C613</stp>
        <tr r="S62" s="2"/>
      </tp>
      <tp t="s">
        <v>N/A</v>
        <stp/>
        <stp>VOLUME</stp>
        <stp>.QQQ260529P610</stp>
        <tr r="S65" s="2"/>
      </tp>
      <tp t="s">
        <v>N/A</v>
        <stp/>
        <stp>VOLUME</stp>
        <stp>.QQQ260529C610</stp>
        <tr r="S65" s="2"/>
      </tp>
      <tp t="s">
        <v>N/A</v>
        <stp/>
        <stp>VOLUME</stp>
        <stp>.QQQ260529P611</stp>
        <tr r="S64" s="2"/>
      </tp>
      <tp t="s">
        <v>N/A</v>
        <stp/>
        <stp>VOLUME</stp>
        <stp>.QQQ260529C611</stp>
        <tr r="S64" s="2"/>
      </tp>
      <tp t="s">
        <v>N/A</v>
        <stp/>
        <stp>VOLUME</stp>
        <stp>.QQQ260501P626</stp>
        <tr r="R49" s="2"/>
      </tp>
      <tp t="s">
        <v>N/A</v>
        <stp/>
        <stp>VOLUME</stp>
        <stp>.QQQ260501C626</stp>
        <tr r="R49" s="2"/>
      </tp>
      <tp t="s">
        <v>N/A</v>
        <stp/>
        <stp>VOLUME</stp>
        <stp>.QQQ260501P627</stp>
        <tr r="R48" s="2"/>
      </tp>
      <tp t="s">
        <v>N/A</v>
        <stp/>
        <stp>VOLUME</stp>
        <stp>.QQQ260501C627</stp>
        <tr r="R48" s="2"/>
      </tp>
      <tp t="s">
        <v>N/A</v>
        <stp/>
        <stp>VOLUME</stp>
        <stp>.QQQ260501P624</stp>
        <tr r="R51" s="2"/>
      </tp>
      <tp t="s">
        <v>N/A</v>
        <stp/>
        <stp>VOLUME</stp>
        <stp>.QQQ260501C624</stp>
        <tr r="R51" s="2"/>
      </tp>
      <tp t="s">
        <v>N/A</v>
        <stp/>
        <stp>VOLUME</stp>
        <stp>.QQQ260501P625</stp>
        <tr r="R50" s="2"/>
      </tp>
      <tp t="s">
        <v>N/A</v>
        <stp/>
        <stp>VOLUME</stp>
        <stp>.QQQ260501C625</stp>
        <tr r="R50" s="2"/>
      </tp>
      <tp t="s">
        <v>N/A</v>
        <stp/>
        <stp>VOLUME</stp>
        <stp>.QQQ260501P622</stp>
        <tr r="R53" s="2"/>
      </tp>
      <tp t="s">
        <v>N/A</v>
        <stp/>
        <stp>VOLUME</stp>
        <stp>.QQQ260501C622</stp>
        <tr r="R53" s="2"/>
      </tp>
      <tp t="s">
        <v>N/A</v>
        <stp/>
        <stp>VOLUME</stp>
        <stp>.QQQ260501P623</stp>
        <tr r="R52" s="2"/>
      </tp>
      <tp t="s">
        <v>N/A</v>
        <stp/>
        <stp>VOLUME</stp>
        <stp>.QQQ260501C623</stp>
        <tr r="R52" s="2"/>
      </tp>
      <tp t="s">
        <v>N/A</v>
        <stp/>
        <stp>VOLUME</stp>
        <stp>.QQQ260501P620</stp>
        <tr r="R55" s="2"/>
      </tp>
      <tp t="s">
        <v>N/A</v>
        <stp/>
        <stp>VOLUME</stp>
        <stp>.QQQ260529P608</stp>
        <tr r="S67" s="2"/>
      </tp>
      <tp t="s">
        <v>N/A</v>
        <stp/>
        <stp>VOLUME</stp>
        <stp>.QQQ260501C620</stp>
        <tr r="R55" s="2"/>
      </tp>
      <tp t="s">
        <v>N/A</v>
        <stp/>
        <stp>VOLUME</stp>
        <stp>.QQQ260529C608</stp>
        <tr r="S67" s="2"/>
      </tp>
      <tp t="s">
        <v>N/A</v>
        <stp/>
        <stp>VOLUME</stp>
        <stp>.QQQ260501P621</stp>
        <tr r="R54" s="2"/>
      </tp>
      <tp t="s">
        <v>N/A</v>
        <stp/>
        <stp>VOLUME</stp>
        <stp>.QQQ260529P609</stp>
        <tr r="S66" s="2"/>
      </tp>
      <tp t="s">
        <v>N/A</v>
        <stp/>
        <stp>VOLUME</stp>
        <stp>.QQQ260501C621</stp>
        <tr r="R54" s="2"/>
      </tp>
      <tp t="s">
        <v>N/A</v>
        <stp/>
        <stp>VOLUME</stp>
        <stp>.QQQ260529C609</stp>
        <tr r="S66" s="2"/>
      </tp>
      <tp t="s">
        <v>N/A</v>
        <stp/>
        <stp>VOLUME</stp>
        <stp>.QQQ260529P606</stp>
        <tr r="S69" s="2"/>
      </tp>
      <tp t="s">
        <v>N/A</v>
        <stp/>
        <stp>VOLUME</stp>
        <stp>.QQQ260529C606</stp>
        <tr r="S69" s="2"/>
      </tp>
      <tp t="s">
        <v>N/A</v>
        <stp/>
        <stp>VOLUME</stp>
        <stp>.QQQ260529P607</stp>
        <tr r="S68" s="2"/>
      </tp>
      <tp t="s">
        <v>N/A</v>
        <stp/>
        <stp>VOLUME</stp>
        <stp>.QQQ260529C607</stp>
        <tr r="S68" s="2"/>
      </tp>
      <tp t="s">
        <v>N/A</v>
        <stp/>
        <stp>VOLUME</stp>
        <stp>.QQQ260529P604</stp>
        <tr r="S71" s="2"/>
      </tp>
      <tp t="s">
        <v>N/A</v>
        <stp/>
        <stp>VOLUME</stp>
        <stp>.QQQ260529C604</stp>
        <tr r="S71" s="2"/>
      </tp>
      <tp t="s">
        <v>N/A</v>
        <stp/>
        <stp>VOLUME</stp>
        <stp>.QQQ260529P605</stp>
        <tr r="S70" s="2"/>
      </tp>
      <tp t="s">
        <v>N/A</v>
        <stp/>
        <stp>VOLUME</stp>
        <stp>.QQQ260529C605</stp>
        <tr r="S70" s="2"/>
      </tp>
      <tp t="s">
        <v>N/A</v>
        <stp/>
        <stp>VOLUME</stp>
        <stp>.QQQ260529P602</stp>
        <tr r="S73" s="2"/>
      </tp>
      <tp t="s">
        <v>N/A</v>
        <stp/>
        <stp>VOLUME</stp>
        <stp>.QQQ260529C602</stp>
        <tr r="S73" s="2"/>
      </tp>
      <tp t="s">
        <v>N/A</v>
        <stp/>
        <stp>VOLUME</stp>
        <stp>.QQQ260529P603</stp>
        <tr r="S72" s="2"/>
      </tp>
      <tp t="s">
        <v>N/A</v>
        <stp/>
        <stp>VOLUME</stp>
        <stp>.QQQ260529C603</stp>
        <tr r="S72" s="2"/>
      </tp>
      <tp t="s">
        <v>N/A</v>
        <stp/>
        <stp>VOLUME</stp>
        <stp>.QQQ260501P628</stp>
        <tr r="R47" s="2"/>
      </tp>
      <tp t="s">
        <v>N/A</v>
        <stp/>
        <stp>VOLUME</stp>
        <stp>.QQQ260529P600</stp>
        <tr r="S75" s="2"/>
      </tp>
      <tp t="s">
        <v>N/A</v>
        <stp/>
        <stp>VOLUME</stp>
        <stp>.QQQ260501C628</stp>
        <tr r="R47" s="2"/>
      </tp>
      <tp t="s">
        <v>N/A</v>
        <stp/>
        <stp>VOLUME</stp>
        <stp>.QQQ260529C600</stp>
        <tr r="S75" s="2"/>
      </tp>
      <tp t="s">
        <v>N/A</v>
        <stp/>
        <stp>VOLUME</stp>
        <stp>.QQQ260501P629</stp>
        <tr r="R46" s="2"/>
      </tp>
      <tp t="s">
        <v>N/A</v>
        <stp/>
        <stp>VOLUME</stp>
        <stp>.QQQ260529P601</stp>
        <tr r="S74" s="2"/>
      </tp>
      <tp t="s">
        <v>N/A</v>
        <stp/>
        <stp>VOLUME</stp>
        <stp>.QQQ260501C629</stp>
        <tr r="R46" s="2"/>
      </tp>
      <tp t="s">
        <v>N/A</v>
        <stp/>
        <stp>VOLUME</stp>
        <stp>.QQQ260529C601</stp>
        <tr r="S74" s="2"/>
      </tp>
      <tp t="s">
        <v>N/A</v>
        <stp/>
        <stp>VOLUME</stp>
        <stp>.QQQ260501P596</stp>
        <tr r="R79" s="2"/>
      </tp>
      <tp t="s">
        <v>N/A</v>
        <stp/>
        <stp>VOLUME</stp>
        <stp>.QQQ260501C596</stp>
        <tr r="R79" s="2"/>
      </tp>
      <tp t="s">
        <v>N/A</v>
        <stp/>
        <stp>VOLUME</stp>
        <stp>.QQQ260501P597</stp>
        <tr r="R78" s="2"/>
      </tp>
      <tp t="s">
        <v>N/A</v>
        <stp/>
        <stp>VOLUME</stp>
        <stp>.QQQ260501C597</stp>
        <tr r="R78" s="2"/>
      </tp>
      <tp t="s">
        <v>N/A</v>
        <stp/>
        <stp>VOLUME</stp>
        <stp>.QQQ260501P595</stp>
        <tr r="R80" s="2"/>
      </tp>
      <tp t="s">
        <v>N/A</v>
        <stp/>
        <stp>VOLUME</stp>
        <stp>.QQQ260501C595</stp>
        <tr r="R80" s="2"/>
      </tp>
      <tp t="s">
        <v>N/A</v>
        <stp/>
        <stp>VOLUME</stp>
        <stp>.QQQ260501P598</stp>
        <tr r="R77" s="2"/>
      </tp>
      <tp t="s">
        <v>N/A</v>
        <stp/>
        <stp>VOLUME</stp>
        <stp>.QQQ260501C598</stp>
        <tr r="R77" s="2"/>
      </tp>
      <tp t="s">
        <v>N/A</v>
        <stp/>
        <stp>VOLUME</stp>
        <stp>.QQQ260501P599</stp>
        <tr r="R76" s="2"/>
      </tp>
      <tp t="s">
        <v>N/A</v>
        <stp/>
        <stp>VOLUME</stp>
        <stp>.QQQ260501C599</stp>
        <tr r="R76" s="2"/>
      </tp>
      <tp t="s">
        <v>N/A</v>
        <stp/>
        <stp>VOLUME</stp>
        <stp>.QQQ260529P598</stp>
        <tr r="S77" s="2"/>
      </tp>
      <tp t="s">
        <v>N/A</v>
        <stp/>
        <stp>VOLUME</stp>
        <stp>.QQQ260529C598</stp>
        <tr r="S77" s="2"/>
      </tp>
      <tp t="s">
        <v>N/A</v>
        <stp/>
        <stp>VOLUME</stp>
        <stp>.QQQ260529P599</stp>
        <tr r="S76" s="2"/>
      </tp>
      <tp t="s">
        <v>N/A</v>
        <stp/>
        <stp>VOLUME</stp>
        <stp>.QQQ260529C599</stp>
        <tr r="S76" s="2"/>
      </tp>
      <tp t="s">
        <v>N/A</v>
        <stp/>
        <stp>VOLUME</stp>
        <stp>.QQQ260529P596</stp>
        <tr r="S79" s="2"/>
      </tp>
      <tp t="s">
        <v>N/A</v>
        <stp/>
        <stp>VOLUME</stp>
        <stp>.QQQ260529C596</stp>
        <tr r="S79" s="2"/>
      </tp>
      <tp t="s">
        <v>N/A</v>
        <stp/>
        <stp>VOLUME</stp>
        <stp>.QQQ260529P597</stp>
        <tr r="S78" s="2"/>
      </tp>
      <tp t="s">
        <v>N/A</v>
        <stp/>
        <stp>VOLUME</stp>
        <stp>.QQQ260529C597</stp>
        <tr r="S78" s="2"/>
      </tp>
      <tp t="s">
        <v>N/A</v>
        <stp/>
        <stp>VOLUME</stp>
        <stp>.QQQ260529P595</stp>
        <tr r="S80" s="2"/>
      </tp>
      <tp t="s">
        <v>N/A</v>
        <stp/>
        <stp>VOLUME</stp>
        <stp>.QQQ260529C595</stp>
        <tr r="S80" s="2"/>
      </tp>
      <tp t="s">
        <v>N/A</v>
        <stp/>
        <stp>VOLUME</stp>
        <stp>.QQQ260626P621</stp>
        <tr r="T54" s="2"/>
      </tp>
      <tp t="s">
        <v>N/A</v>
        <stp/>
        <stp>VOLUME</stp>
        <stp>.QQQ260626C621</stp>
        <tr r="T54" s="2"/>
      </tp>
      <tp t="s">
        <v>N/A</v>
        <stp/>
        <stp>VOLUME</stp>
        <stp>.QQQ260626P620</stp>
        <tr r="T55" s="2"/>
      </tp>
      <tp t="s">
        <v>N/A</v>
        <stp/>
        <stp>VOLUME</stp>
        <stp>.QQQ260626C620</stp>
        <tr r="T55" s="2"/>
      </tp>
      <tp t="s">
        <v>N/A</v>
        <stp/>
        <stp>VOLUME</stp>
        <stp>.QQQ260626P623</stp>
        <tr r="T52" s="2"/>
      </tp>
      <tp t="s">
        <v>N/A</v>
        <stp/>
        <stp>VOLUME</stp>
        <stp>.QQQ260626C623</stp>
        <tr r="T52" s="2"/>
      </tp>
      <tp t="s">
        <v>N/A</v>
        <stp/>
        <stp>VOLUME</stp>
        <stp>.QQQ260626P622</stp>
        <tr r="T53" s="2"/>
      </tp>
      <tp t="s">
        <v>N/A</v>
        <stp/>
        <stp>VOLUME</stp>
        <stp>.QQQ260626C622</stp>
        <tr r="T53" s="2"/>
      </tp>
      <tp t="s">
        <v>N/A</v>
        <stp/>
        <stp>VOLUME</stp>
        <stp>.QQQ260626P625</stp>
        <tr r="T50" s="2"/>
      </tp>
      <tp t="s">
        <v>N/A</v>
        <stp/>
        <stp>VOLUME</stp>
        <stp>.QQQ260626C625</stp>
        <tr r="T50" s="2"/>
      </tp>
      <tp t="s">
        <v>N/A</v>
        <stp/>
        <stp>VOLUME</stp>
        <stp>.QQQ260626P624</stp>
        <tr r="T51" s="2"/>
      </tp>
      <tp t="s">
        <v>N/A</v>
        <stp/>
        <stp>VOLUME</stp>
        <stp>.QQQ260626C624</stp>
        <tr r="T51" s="2"/>
      </tp>
      <tp t="s">
        <v>N/A</v>
        <stp/>
        <stp>VOLUME</stp>
        <stp>.QQQ260626P627</stp>
        <tr r="T48" s="2"/>
      </tp>
      <tp t="s">
        <v>N/A</v>
        <stp/>
        <stp>VOLUME</stp>
        <stp>.QQQ260626C627</stp>
        <tr r="T48" s="2"/>
      </tp>
      <tp t="s">
        <v>N/A</v>
        <stp/>
        <stp>VOLUME</stp>
        <stp>.QQQ260626P626</stp>
        <tr r="T49" s="2"/>
      </tp>
      <tp t="s">
        <v>N/A</v>
        <stp/>
        <stp>VOLUME</stp>
        <stp>.QQQ260626C626</stp>
        <tr r="T49" s="2"/>
      </tp>
      <tp t="s">
        <v>N/A</v>
        <stp/>
        <stp>VOLUME</stp>
        <stp>.QQQ260626P629</stp>
        <tr r="T46" s="2"/>
      </tp>
      <tp t="s">
        <v>N/A</v>
        <stp/>
        <stp>VOLUME</stp>
        <stp>.QQQ260626C629</stp>
        <tr r="T46" s="2"/>
      </tp>
      <tp t="s">
        <v>N/A</v>
        <stp/>
        <stp>VOLUME</stp>
        <stp>.QQQ260626P628</stp>
        <tr r="T47" s="2"/>
      </tp>
      <tp t="s">
        <v>N/A</v>
        <stp/>
        <stp>VOLUME</stp>
        <stp>.QQQ260626C628</stp>
        <tr r="T47" s="2"/>
      </tp>
      <tp t="s">
        <v>N/A</v>
        <stp/>
        <stp>VOLUME</stp>
        <stp>.QQQ260626P611</stp>
        <tr r="T64" s="2"/>
      </tp>
      <tp t="s">
        <v>N/A</v>
        <stp/>
        <stp>VOLUME</stp>
        <stp>.QQQ260626C611</stp>
        <tr r="T64" s="2"/>
      </tp>
      <tp t="s">
        <v>N/A</v>
        <stp/>
        <stp>VOLUME</stp>
        <stp>.QQQ260626P610</stp>
        <tr r="T65" s="2"/>
      </tp>
      <tp t="s">
        <v>N/A</v>
        <stp/>
        <stp>VOLUME</stp>
        <stp>.QQQ260626C610</stp>
        <tr r="T65" s="2"/>
      </tp>
      <tp t="s">
        <v>N/A</v>
        <stp/>
        <stp>VOLUME</stp>
        <stp>.QQQ260626P613</stp>
        <tr r="T62" s="2"/>
      </tp>
      <tp t="s">
        <v>N/A</v>
        <stp/>
        <stp>VOLUME</stp>
        <stp>.QQQ260626C613</stp>
        <tr r="T62" s="2"/>
      </tp>
      <tp t="s">
        <v>N/A</v>
        <stp/>
        <stp>VOLUME</stp>
        <stp>.QQQ260626P612</stp>
        <tr r="T63" s="2"/>
      </tp>
      <tp t="s">
        <v>N/A</v>
        <stp/>
        <stp>VOLUME</stp>
        <stp>.QQQ260626C612</stp>
        <tr r="T63" s="2"/>
      </tp>
      <tp t="s">
        <v>N/A</v>
        <stp/>
        <stp>VOLUME</stp>
        <stp>.QQQ260626P615</stp>
        <tr r="T60" s="2"/>
      </tp>
      <tp t="s">
        <v>N/A</v>
        <stp/>
        <stp>VOLUME</stp>
        <stp>.QQQ260626C615</stp>
        <tr r="T60" s="2"/>
      </tp>
      <tp t="s">
        <v>N/A</v>
        <stp/>
        <stp>VOLUME</stp>
        <stp>.QQQ260626P614</stp>
        <tr r="T61" s="2"/>
      </tp>
      <tp t="s">
        <v>N/A</v>
        <stp/>
        <stp>VOLUME</stp>
        <stp>.QQQ260626C614</stp>
        <tr r="T61" s="2"/>
      </tp>
      <tp t="s">
        <v>N/A</v>
        <stp/>
        <stp>VOLUME</stp>
        <stp>.QQQ260626P617</stp>
        <tr r="T58" s="2"/>
      </tp>
      <tp t="s">
        <v>N/A</v>
        <stp/>
        <stp>VOLUME</stp>
        <stp>.QQQ260626C617</stp>
        <tr r="T58" s="2"/>
      </tp>
      <tp t="s">
        <v>N/A</v>
        <stp/>
        <stp>VOLUME</stp>
        <stp>.QQQ260626P616</stp>
        <tr r="T59" s="2"/>
      </tp>
      <tp t="s">
        <v>N/A</v>
        <stp/>
        <stp>VOLUME</stp>
        <stp>.QQQ260626C616</stp>
        <tr r="T59" s="2"/>
      </tp>
      <tp t="s">
        <v>N/A</v>
        <stp/>
        <stp>VOLUME</stp>
        <stp>.QQQ260626P619</stp>
        <tr r="T56" s="2"/>
      </tp>
      <tp t="s">
        <v>N/A</v>
        <stp/>
        <stp>VOLUME</stp>
        <stp>.QQQ260626C619</stp>
        <tr r="T56" s="2"/>
      </tp>
      <tp t="s">
        <v>N/A</v>
        <stp/>
        <stp>VOLUME</stp>
        <stp>.QQQ260626P618</stp>
        <tr r="T57" s="2"/>
      </tp>
      <tp t="s">
        <v>N/A</v>
        <stp/>
        <stp>VOLUME</stp>
        <stp>.QQQ260626C618</stp>
        <tr r="T57" s="2"/>
      </tp>
      <tp t="s">
        <v>N/A</v>
        <stp/>
        <stp>VOLUME</stp>
        <stp>.QQQ260626P601</stp>
        <tr r="T74" s="2"/>
      </tp>
      <tp t="s">
        <v>N/A</v>
        <stp/>
        <stp>VOLUME</stp>
        <stp>.QQQ260626C601</stp>
        <tr r="T74" s="2"/>
      </tp>
      <tp t="s">
        <v>N/A</v>
        <stp/>
        <stp>VOLUME</stp>
        <stp>.QQQ260626P600</stp>
        <tr r="T75" s="2"/>
      </tp>
      <tp t="s">
        <v>N/A</v>
        <stp/>
        <stp>VOLUME</stp>
        <stp>.QQQ260626C600</stp>
        <tr r="T75" s="2"/>
      </tp>
      <tp t="s">
        <v>N/A</v>
        <stp/>
        <stp>VOLUME</stp>
        <stp>.QQQ260626P603</stp>
        <tr r="T72" s="2"/>
      </tp>
      <tp t="s">
        <v>N/A</v>
        <stp/>
        <stp>VOLUME</stp>
        <stp>.QQQ260626C603</stp>
        <tr r="T72" s="2"/>
      </tp>
      <tp t="s">
        <v>N/A</v>
        <stp/>
        <stp>VOLUME</stp>
        <stp>.QQQ260626P602</stp>
        <tr r="T73" s="2"/>
      </tp>
      <tp t="s">
        <v>N/A</v>
        <stp/>
        <stp>VOLUME</stp>
        <stp>.QQQ260626C602</stp>
        <tr r="T73" s="2"/>
      </tp>
      <tp t="s">
        <v>N/A</v>
        <stp/>
        <stp>VOLUME</stp>
        <stp>.QQQ260626P605</stp>
        <tr r="T70" s="2"/>
      </tp>
      <tp t="s">
        <v>N/A</v>
        <stp/>
        <stp>VOLUME</stp>
        <stp>.QQQ260626C605</stp>
        <tr r="T70" s="2"/>
      </tp>
      <tp t="s">
        <v>N/A</v>
        <stp/>
        <stp>VOLUME</stp>
        <stp>.QQQ260626P604</stp>
        <tr r="T71" s="2"/>
      </tp>
      <tp t="s">
        <v>N/A</v>
        <stp/>
        <stp>VOLUME</stp>
        <stp>.QQQ260626C604</stp>
        <tr r="T71" s="2"/>
      </tp>
      <tp t="s">
        <v>N/A</v>
        <stp/>
        <stp>VOLUME</stp>
        <stp>.QQQ260626P607</stp>
        <tr r="T68" s="2"/>
      </tp>
      <tp t="s">
        <v>N/A</v>
        <stp/>
        <stp>VOLUME</stp>
        <stp>.QQQ260626C607</stp>
        <tr r="T68" s="2"/>
      </tp>
      <tp t="s">
        <v>N/A</v>
        <stp/>
        <stp>VOLUME</stp>
        <stp>.QQQ260626P606</stp>
        <tr r="T69" s="2"/>
      </tp>
      <tp t="s">
        <v>N/A</v>
        <stp/>
        <stp>VOLUME</stp>
        <stp>.QQQ260626C606</stp>
        <tr r="T69" s="2"/>
      </tp>
      <tp t="s">
        <v>N/A</v>
        <stp/>
        <stp>VOLUME</stp>
        <stp>.QQQ260626P609</stp>
        <tr r="T66" s="2"/>
      </tp>
      <tp t="s">
        <v>N/A</v>
        <stp/>
        <stp>VOLUME</stp>
        <stp>.QQQ260626C609</stp>
        <tr r="T66" s="2"/>
      </tp>
      <tp t="s">
        <v>N/A</v>
        <stp/>
        <stp>VOLUME</stp>
        <stp>.QQQ260626P608</stp>
        <tr r="T67" s="2"/>
      </tp>
      <tp t="s">
        <v>N/A</v>
        <stp/>
        <stp>VOLUME</stp>
        <stp>.QQQ260626C608</stp>
        <tr r="T67" s="2"/>
      </tp>
      <tp t="s">
        <v>N/A</v>
        <stp/>
        <stp>VOLUME</stp>
        <stp>.QQQ260403P595</stp>
        <tr r="Q80" s="2"/>
      </tp>
      <tp t="s">
        <v>N/A</v>
        <stp/>
        <stp>VOLUME</stp>
        <stp>.QQQ260403C595</stp>
        <tr r="Q80" s="2"/>
      </tp>
      <tp t="s">
        <v>N/A</v>
        <stp/>
        <stp>VOLUME</stp>
        <stp>.QQQ260403P596</stp>
        <tr r="Q79" s="2"/>
      </tp>
      <tp t="s">
        <v>N/A</v>
        <stp/>
        <stp>VOLUME</stp>
        <stp>.QQQ260403C596</stp>
        <tr r="Q79" s="2"/>
      </tp>
      <tp t="s">
        <v>N/A</v>
        <stp/>
        <stp>VOLUME</stp>
        <stp>.QQQ260403P597</stp>
        <tr r="Q78" s="2"/>
      </tp>
      <tp t="s">
        <v>N/A</v>
        <stp/>
        <stp>VOLUME</stp>
        <stp>.QQQ260403C597</stp>
        <tr r="Q78" s="2"/>
      </tp>
      <tp t="s">
        <v>N/A</v>
        <stp/>
        <stp>VOLUME</stp>
        <stp>.QQQ260403P598</stp>
        <tr r="Q77" s="2"/>
      </tp>
      <tp t="s">
        <v>N/A</v>
        <stp/>
        <stp>VOLUME</stp>
        <stp>.QQQ260403C598</stp>
        <tr r="Q77" s="2"/>
      </tp>
      <tp t="s">
        <v>N/A</v>
        <stp/>
        <stp>VOLUME</stp>
        <stp>.QQQ260403P599</stp>
        <tr r="Q76" s="2"/>
      </tp>
      <tp t="s">
        <v>N/A</v>
        <stp/>
        <stp>VOLUME</stp>
        <stp>.QQQ260403C599</stp>
        <tr r="Q76" s="2"/>
      </tp>
      <tp t="s">
        <v>N/A</v>
        <stp/>
        <stp>VOLUME</stp>
        <stp>.QQQ260731P626</stp>
        <tr r="U49" s="2"/>
      </tp>
      <tp t="s">
        <v>N/A</v>
        <stp/>
        <stp>VOLUME</stp>
        <stp>.QQQ260731C626</stp>
        <tr r="U49" s="2"/>
      </tp>
      <tp t="s">
        <v>N/A</v>
        <stp/>
        <stp>VOLUME</stp>
        <stp>.QQQ260731P627</stp>
        <tr r="U48" s="2"/>
      </tp>
      <tp t="s">
        <v>N/A</v>
        <stp/>
        <stp>VOLUME</stp>
        <stp>.QQQ260731C627</stp>
        <tr r="U48" s="2"/>
      </tp>
      <tp t="s">
        <v>N/A</v>
        <stp/>
        <stp>VOLUME</stp>
        <stp>.QQQ260731P624</stp>
        <tr r="U51" s="2"/>
      </tp>
      <tp t="s">
        <v>N/A</v>
        <stp/>
        <stp>VOLUME</stp>
        <stp>.QQQ260731C624</stp>
        <tr r="U51" s="2"/>
      </tp>
      <tp t="s">
        <v>N/A</v>
        <stp/>
        <stp>VOLUME</stp>
        <stp>.QQQ260731P625</stp>
        <tr r="U50" s="2"/>
      </tp>
      <tp t="s">
        <v>N/A</v>
        <stp/>
        <stp>VOLUME</stp>
        <stp>.QQQ260731C625</stp>
        <tr r="U50" s="2"/>
      </tp>
      <tp t="s">
        <v>N/A</v>
        <stp/>
        <stp>VOLUME</stp>
        <stp>.QQQ260731P622</stp>
        <tr r="U53" s="2"/>
      </tp>
      <tp t="s">
        <v>N/A</v>
        <stp/>
        <stp>VOLUME</stp>
        <stp>.QQQ260731C622</stp>
        <tr r="U53" s="2"/>
      </tp>
      <tp t="s">
        <v>N/A</v>
        <stp/>
        <stp>VOLUME</stp>
        <stp>.QQQ260731P623</stp>
        <tr r="U52" s="2"/>
      </tp>
      <tp t="s">
        <v>N/A</v>
        <stp/>
        <stp>VOLUME</stp>
        <stp>.QQQ260731C623</stp>
        <tr r="U52" s="2"/>
      </tp>
      <tp t="s">
        <v>N/A</v>
        <stp/>
        <stp>VOLUME</stp>
        <stp>.QQQ260731P620</stp>
        <tr r="U55" s="2"/>
      </tp>
      <tp t="s">
        <v>N/A</v>
        <stp/>
        <stp>VOLUME</stp>
        <stp>.QQQ260731C620</stp>
        <tr r="U55" s="2"/>
      </tp>
      <tp t="s">
        <v>N/A</v>
        <stp/>
        <stp>VOLUME</stp>
        <stp>.QQQ260731P621</stp>
        <tr r="U54" s="2"/>
      </tp>
      <tp t="s">
        <v>N/A</v>
        <stp/>
        <stp>VOLUME</stp>
        <stp>.QQQ260731C621</stp>
        <tr r="U54" s="2"/>
      </tp>
      <tp t="s">
        <v>N/A</v>
        <stp/>
        <stp>VOLUME</stp>
        <stp>.QQQ260731P628</stp>
        <tr r="U47" s="2"/>
      </tp>
      <tp t="s">
        <v>N/A</v>
        <stp/>
        <stp>VOLUME</stp>
        <stp>.QQQ260731C628</stp>
        <tr r="U47" s="2"/>
      </tp>
      <tp t="s">
        <v>N/A</v>
        <stp/>
        <stp>VOLUME</stp>
        <stp>.QQQ260731P629</stp>
        <tr r="U46" s="2"/>
      </tp>
      <tp t="s">
        <v>N/A</v>
        <stp/>
        <stp>VOLUME</stp>
        <stp>.QQQ260731C629</stp>
        <tr r="U46" s="2"/>
      </tp>
      <tp t="s">
        <v>N/A</v>
        <stp/>
        <stp>VOLUME</stp>
        <stp>.QQQ260731P606</stp>
        <tr r="U69" s="2"/>
      </tp>
      <tp t="s">
        <v>N/A</v>
        <stp/>
        <stp>VOLUME</stp>
        <stp>.QQQ260731C606</stp>
        <tr r="U69" s="2"/>
      </tp>
      <tp t="s">
        <v>N/A</v>
        <stp/>
        <stp>VOLUME</stp>
        <stp>.QQQ260731P607</stp>
        <tr r="U68" s="2"/>
      </tp>
      <tp t="s">
        <v>N/A</v>
        <stp/>
        <stp>VOLUME</stp>
        <stp>.QQQ260731C607</stp>
        <tr r="U68" s="2"/>
      </tp>
      <tp t="s">
        <v>N/A</v>
        <stp/>
        <stp>VOLUME</stp>
        <stp>.QQQ260731P604</stp>
        <tr r="U71" s="2"/>
      </tp>
      <tp t="s">
        <v>N/A</v>
        <stp/>
        <stp>VOLUME</stp>
        <stp>.QQQ260731C604</stp>
        <tr r="U71" s="2"/>
      </tp>
      <tp t="s">
        <v>N/A</v>
        <stp/>
        <stp>VOLUME</stp>
        <stp>.QQQ260731P605</stp>
        <tr r="U70" s="2"/>
      </tp>
      <tp t="s">
        <v>N/A</v>
        <stp/>
        <stp>VOLUME</stp>
        <stp>.QQQ260731C605</stp>
        <tr r="U70" s="2"/>
      </tp>
      <tp t="s">
        <v>N/A</v>
        <stp/>
        <stp>VOLUME</stp>
        <stp>.QQQ260731P602</stp>
        <tr r="U73" s="2"/>
      </tp>
      <tp t="s">
        <v>N/A</v>
        <stp/>
        <stp>VOLUME</stp>
        <stp>.QQQ260731C602</stp>
        <tr r="U73" s="2"/>
      </tp>
      <tp t="s">
        <v>N/A</v>
        <stp/>
        <stp>VOLUME</stp>
        <stp>.QQQ260731P603</stp>
        <tr r="U72" s="2"/>
      </tp>
      <tp t="s">
        <v>N/A</v>
        <stp/>
        <stp>VOLUME</stp>
        <stp>.QQQ260731C603</stp>
        <tr r="U72" s="2"/>
      </tp>
      <tp t="s">
        <v>N/A</v>
        <stp/>
        <stp>VOLUME</stp>
        <stp>.QQQ260731P600</stp>
        <tr r="U75" s="2"/>
      </tp>
      <tp t="s">
        <v>N/A</v>
        <stp/>
        <stp>VOLUME</stp>
        <stp>.QQQ260731C600</stp>
        <tr r="U75" s="2"/>
      </tp>
      <tp t="s">
        <v>N/A</v>
        <stp/>
        <stp>VOLUME</stp>
        <stp>.QQQ260731P601</stp>
        <tr r="U74" s="2"/>
      </tp>
      <tp t="s">
        <v>N/A</v>
        <stp/>
        <stp>VOLUME</stp>
        <stp>.QQQ260731C601</stp>
        <tr r="U74" s="2"/>
      </tp>
      <tp t="s">
        <v>N/A</v>
        <stp/>
        <stp>VOLUME</stp>
        <stp>.QQQ260731P608</stp>
        <tr r="U67" s="2"/>
      </tp>
      <tp t="s">
        <v>N/A</v>
        <stp/>
        <stp>VOLUME</stp>
        <stp>.QQQ260731C608</stp>
        <tr r="U67" s="2"/>
      </tp>
      <tp t="s">
        <v>N/A</v>
        <stp/>
        <stp>VOLUME</stp>
        <stp>.QQQ260731P609</stp>
        <tr r="U66" s="2"/>
      </tp>
      <tp t="s">
        <v>N/A</v>
        <stp/>
        <stp>VOLUME</stp>
        <stp>.QQQ260731C609</stp>
        <tr r="U66" s="2"/>
      </tp>
      <tp t="s">
        <v>N/A</v>
        <stp/>
        <stp>VOLUME</stp>
        <stp>.QQQ260731P616</stp>
        <tr r="U59" s="2"/>
      </tp>
      <tp t="s">
        <v>N/A</v>
        <stp/>
        <stp>VOLUME</stp>
        <stp>.QQQ260731C616</stp>
        <tr r="U59" s="2"/>
      </tp>
      <tp t="s">
        <v>N/A</v>
        <stp/>
        <stp>VOLUME</stp>
        <stp>.QQQ260731P617</stp>
        <tr r="U58" s="2"/>
      </tp>
      <tp t="s">
        <v>N/A</v>
        <stp/>
        <stp>VOLUME</stp>
        <stp>.QQQ260731C617</stp>
        <tr r="U58" s="2"/>
      </tp>
      <tp t="s">
        <v>N/A</v>
        <stp/>
        <stp>VOLUME</stp>
        <stp>.QQQ260731P614</stp>
        <tr r="U61" s="2"/>
      </tp>
      <tp t="s">
        <v>N/A</v>
        <stp/>
        <stp>VOLUME</stp>
        <stp>.QQQ260731C614</stp>
        <tr r="U61" s="2"/>
      </tp>
      <tp t="s">
        <v>N/A</v>
        <stp/>
        <stp>VOLUME</stp>
        <stp>.QQQ260731P615</stp>
        <tr r="U60" s="2"/>
      </tp>
      <tp t="s">
        <v>N/A</v>
        <stp/>
        <stp>VOLUME</stp>
        <stp>.QQQ260731C615</stp>
        <tr r="U60" s="2"/>
      </tp>
      <tp t="s">
        <v>N/A</v>
        <stp/>
        <stp>VOLUME</stp>
        <stp>.QQQ260731P612</stp>
        <tr r="U63" s="2"/>
      </tp>
      <tp t="s">
        <v>N/A</v>
        <stp/>
        <stp>VOLUME</stp>
        <stp>.QQQ260731C612</stp>
        <tr r="U63" s="2"/>
      </tp>
      <tp t="s">
        <v>N/A</v>
        <stp/>
        <stp>VOLUME</stp>
        <stp>.QQQ260731P613</stp>
        <tr r="U62" s="2"/>
      </tp>
      <tp t="s">
        <v>N/A</v>
        <stp/>
        <stp>VOLUME</stp>
        <stp>.QQQ260731C613</stp>
        <tr r="U62" s="2"/>
      </tp>
      <tp t="s">
        <v>N/A</v>
        <stp/>
        <stp>VOLUME</stp>
        <stp>.QQQ260731P610</stp>
        <tr r="U65" s="2"/>
      </tp>
      <tp t="s">
        <v>N/A</v>
        <stp/>
        <stp>VOLUME</stp>
        <stp>.QQQ260731C610</stp>
        <tr r="U65" s="2"/>
      </tp>
      <tp t="s">
        <v>N/A</v>
        <stp/>
        <stp>VOLUME</stp>
        <stp>.QQQ260731P611</stp>
        <tr r="U64" s="2"/>
      </tp>
      <tp t="s">
        <v>N/A</v>
        <stp/>
        <stp>VOLUME</stp>
        <stp>.QQQ260731C611</stp>
        <tr r="U64" s="2"/>
      </tp>
      <tp t="s">
        <v>N/A</v>
        <stp/>
        <stp>VOLUME</stp>
        <stp>.QQQ260731P618</stp>
        <tr r="U57" s="2"/>
      </tp>
      <tp t="s">
        <v>N/A</v>
        <stp/>
        <stp>VOLUME</stp>
        <stp>.QQQ260731C618</stp>
        <tr r="U57" s="2"/>
      </tp>
      <tp t="s">
        <v>N/A</v>
        <stp/>
        <stp>VOLUME</stp>
        <stp>.QQQ260731P619</stp>
        <tr r="U56" s="2"/>
      </tp>
      <tp t="s">
        <v>N/A</v>
        <stp/>
        <stp>VOLUME</stp>
        <stp>.QQQ260731C619</stp>
        <tr r="U56" s="2"/>
      </tp>
      <tp t="s">
        <v>N/A</v>
        <stp/>
        <stp>VOLUME</stp>
        <stp>.SPY260828P689</stp>
        <tr r="V5" s="2"/>
      </tp>
      <tp t="s">
        <v>N/A</v>
        <stp/>
        <stp>VOLUME</stp>
        <stp>.SPY260828C689</stp>
        <tr r="V5" s="2"/>
      </tp>
      <tp t="s">
        <v>N/A</v>
        <stp/>
        <stp>VOLUME</stp>
        <stp>.SPY260828P688</stp>
        <tr r="V6" s="2"/>
      </tp>
      <tp t="s">
        <v>N/A</v>
        <stp/>
        <stp>VOLUME</stp>
        <stp>.SPY260828C688</stp>
        <tr r="V6" s="2"/>
      </tp>
      <tp t="s">
        <v>N/A</v>
        <stp/>
        <stp>VOLUME</stp>
        <stp>.SPY260828P685</stp>
        <tr r="V9" s="2"/>
      </tp>
      <tp t="s">
        <v>N/A</v>
        <stp/>
        <stp>VOLUME</stp>
        <stp>.SPY260828C685</stp>
        <tr r="V9" s="2"/>
      </tp>
      <tp t="s">
        <v>N/A</v>
        <stp/>
        <stp>VOLUME</stp>
        <stp>.SPY260828P684</stp>
        <tr r="V10" s="2"/>
      </tp>
      <tp t="s">
        <v>N/A</v>
        <stp/>
        <stp>VOLUME</stp>
        <stp>.SPY260828C684</stp>
        <tr r="V10" s="2"/>
      </tp>
      <tp t="s">
        <v>N/A</v>
        <stp/>
        <stp>VOLUME</stp>
        <stp>.SPY260828P687</stp>
        <tr r="V7" s="2"/>
      </tp>
      <tp t="s">
        <v>N/A</v>
        <stp/>
        <stp>VOLUME</stp>
        <stp>.SPY260828C687</stp>
        <tr r="V7" s="2"/>
      </tp>
      <tp t="s">
        <v>N/A</v>
        <stp/>
        <stp>VOLUME</stp>
        <stp>.SPY260828P686</stp>
        <tr r="V8" s="2"/>
      </tp>
      <tp t="s">
        <v>N/A</v>
        <stp/>
        <stp>VOLUME</stp>
        <stp>.SPY260828C686</stp>
        <tr r="V8" s="2"/>
      </tp>
      <tp t="s">
        <v>N/A</v>
        <stp/>
        <stp>VOLUME</stp>
        <stp>.SPY260828P681</stp>
        <tr r="V13" s="2"/>
      </tp>
      <tp t="s">
        <v>N/A</v>
        <stp/>
        <stp>VOLUME</stp>
        <stp>.SPY260828C681</stp>
        <tr r="V13" s="2"/>
      </tp>
      <tp t="s">
        <v>N/A</v>
        <stp/>
        <stp>VOLUME</stp>
        <stp>.SPY260828P680</stp>
        <tr r="V14" s="2"/>
      </tp>
      <tp t="s">
        <v>N/A</v>
        <stp/>
        <stp>VOLUME</stp>
        <stp>.SPY260828C680</stp>
        <tr r="V14" s="2"/>
      </tp>
      <tp t="s">
        <v>N/A</v>
        <stp/>
        <stp>VOLUME</stp>
        <stp>.SPY260828P683</stp>
        <tr r="V11" s="2"/>
      </tp>
      <tp t="s">
        <v>N/A</v>
        <stp/>
        <stp>VOLUME</stp>
        <stp>.SPY260828C683</stp>
        <tr r="V11" s="2"/>
      </tp>
      <tp t="s">
        <v>N/A</v>
        <stp/>
        <stp>VOLUME</stp>
        <stp>.SPY260828P682</stp>
        <tr r="V12" s="2"/>
      </tp>
      <tp t="s">
        <v>N/A</v>
        <stp/>
        <stp>VOLUME</stp>
        <stp>.SPY260828C682</stp>
        <tr r="V12" s="2"/>
      </tp>
      <tp t="s">
        <v>N/A</v>
        <stp/>
        <stp>VOLUME</stp>
        <stp>.QQQ261002P615</stp>
        <tr r="W60" s="2"/>
      </tp>
      <tp t="s">
        <v>N/A</v>
        <stp/>
        <stp>VOLUME</stp>
        <stp>.QQQ261030P627</stp>
        <tr r="X48" s="2"/>
      </tp>
      <tp t="s">
        <v>N/A</v>
        <stp/>
        <stp>VOLUME</stp>
        <stp>.QQQ261002C615</stp>
        <tr r="W60" s="2"/>
      </tp>
      <tp t="s">
        <v>N/A</v>
        <stp/>
        <stp>VOLUME</stp>
        <stp>.QQQ261030C627</stp>
        <tr r="X48" s="2"/>
      </tp>
      <tp t="s">
        <v>N/A</v>
        <stp/>
        <stp>VOLUME</stp>
        <stp>.QQQ261002P614</stp>
        <tr r="W61" s="2"/>
      </tp>
      <tp t="s">
        <v>N/A</v>
        <stp/>
        <stp>VOLUME</stp>
        <stp>.QQQ261030P626</stp>
        <tr r="X49" s="2"/>
      </tp>
      <tp t="s">
        <v>N/A</v>
        <stp/>
        <stp>VOLUME</stp>
        <stp>.QQQ261002C614</stp>
        <tr r="W61" s="2"/>
      </tp>
      <tp t="s">
        <v>N/A</v>
        <stp/>
        <stp>VOLUME</stp>
        <stp>.QQQ261030C626</stp>
        <tr r="X49" s="2"/>
      </tp>
      <tp t="s">
        <v>N/A</v>
        <stp/>
        <stp>VOLUME</stp>
        <stp>.QQQ261002P617</stp>
        <tr r="W58" s="2"/>
      </tp>
      <tp t="s">
        <v>N/A</v>
        <stp/>
        <stp>VOLUME</stp>
        <stp>.QQQ261030P625</stp>
        <tr r="X50" s="2"/>
      </tp>
      <tp t="s">
        <v>N/A</v>
        <stp/>
        <stp>VOLUME</stp>
        <stp>.QQQ261002C617</stp>
        <tr r="W58" s="2"/>
      </tp>
      <tp t="s">
        <v>N/A</v>
        <stp/>
        <stp>VOLUME</stp>
        <stp>.QQQ261030C625</stp>
        <tr r="X50" s="2"/>
      </tp>
      <tp t="s">
        <v>N/A</v>
        <stp/>
        <stp>VOLUME</stp>
        <stp>.QQQ261002P616</stp>
        <tr r="W59" s="2"/>
      </tp>
      <tp t="s">
        <v>N/A</v>
        <stp/>
        <stp>VOLUME</stp>
        <stp>.QQQ261030P624</stp>
        <tr r="X51" s="2"/>
      </tp>
      <tp t="s">
        <v>N/A</v>
        <stp/>
        <stp>VOLUME</stp>
        <stp>.QQQ261002C616</stp>
        <tr r="W59" s="2"/>
      </tp>
      <tp t="s">
        <v>N/A</v>
        <stp/>
        <stp>VOLUME</stp>
        <stp>.QQQ261030C624</stp>
        <tr r="X51" s="2"/>
      </tp>
      <tp t="s">
        <v>N/A</v>
        <stp/>
        <stp>VOLUME</stp>
        <stp>.QQQ261002P611</stp>
        <tr r="W64" s="2"/>
      </tp>
      <tp t="s">
        <v>N/A</v>
        <stp/>
        <stp>VOLUME</stp>
        <stp>.QQQ261030P623</stp>
        <tr r="X52" s="2"/>
      </tp>
      <tp t="s">
        <v>N/A</v>
        <stp/>
        <stp>VOLUME</stp>
        <stp>.QQQ261002C611</stp>
        <tr r="W64" s="2"/>
      </tp>
      <tp t="s">
        <v>N/A</v>
        <stp/>
        <stp>VOLUME</stp>
        <stp>.QQQ261030C623</stp>
        <tr r="X52" s="2"/>
      </tp>
      <tp t="s">
        <v>N/A</v>
        <stp/>
        <stp>VOLUME</stp>
        <stp>.QQQ261002P610</stp>
        <tr r="W65" s="2"/>
      </tp>
      <tp t="s">
        <v>N/A</v>
        <stp/>
        <stp>VOLUME</stp>
        <stp>.QQQ261030P622</stp>
        <tr r="X53" s="2"/>
      </tp>
      <tp t="s">
        <v>N/A</v>
        <stp/>
        <stp>VOLUME</stp>
        <stp>.QQQ261002C610</stp>
        <tr r="W65" s="2"/>
      </tp>
      <tp t="s">
        <v>N/A</v>
        <stp/>
        <stp>VOLUME</stp>
        <stp>.QQQ261030C622</stp>
        <tr r="X53" s="2"/>
      </tp>
      <tp t="s">
        <v>N/A</v>
        <stp/>
        <stp>VOLUME</stp>
        <stp>.QQQ261002P613</stp>
        <tr r="W62" s="2"/>
      </tp>
      <tp t="s">
        <v>N/A</v>
        <stp/>
        <stp>VOLUME</stp>
        <stp>.QQQ261030P621</stp>
        <tr r="X54" s="2"/>
      </tp>
      <tp t="s">
        <v>N/A</v>
        <stp/>
        <stp>VOLUME</stp>
        <stp>.QQQ261002C613</stp>
        <tr r="W62" s="2"/>
      </tp>
      <tp t="s">
        <v>N/A</v>
        <stp/>
        <stp>VOLUME</stp>
        <stp>.QQQ261030C621</stp>
        <tr r="X54" s="2"/>
      </tp>
      <tp t="s">
        <v>N/A</v>
        <stp/>
        <stp>VOLUME</stp>
        <stp>.QQQ261002P612</stp>
        <tr r="W63" s="2"/>
      </tp>
      <tp t="s">
        <v>N/A</v>
        <stp/>
        <stp>VOLUME</stp>
        <stp>.QQQ261030P620</stp>
        <tr r="X55" s="2"/>
      </tp>
      <tp t="s">
        <v>N/A</v>
        <stp/>
        <stp>VOLUME</stp>
        <stp>.QQQ261002C612</stp>
        <tr r="W63" s="2"/>
      </tp>
      <tp t="s">
        <v>N/A</v>
        <stp/>
        <stp>VOLUME</stp>
        <stp>.QQQ261030C620</stp>
        <tr r="X55" s="2"/>
      </tp>
      <tp t="s">
        <v>N/A</v>
        <stp/>
        <stp>VOLUME</stp>
        <stp>.QQQ261002P619</stp>
        <tr r="W56" s="2"/>
      </tp>
      <tp t="s">
        <v>N/A</v>
        <stp/>
        <stp>VOLUME</stp>
        <stp>.QQQ261002C619</stp>
        <tr r="W56" s="2"/>
      </tp>
      <tp t="s">
        <v>N/A</v>
        <stp/>
        <stp>VOLUME</stp>
        <stp>.QQQ261002P618</stp>
        <tr r="W57" s="2"/>
      </tp>
      <tp t="s">
        <v>N/A</v>
        <stp/>
        <stp>VOLUME</stp>
        <stp>.QQQ261002C618</stp>
        <tr r="W57" s="2"/>
      </tp>
      <tp t="s">
        <v>N/A</v>
        <stp/>
        <stp>VOLUME</stp>
        <stp>.QQQ261030P629</stp>
        <tr r="X46" s="2"/>
      </tp>
      <tp t="s">
        <v>N/A</v>
        <stp/>
        <stp>VOLUME</stp>
        <stp>.QQQ261030C629</stp>
        <tr r="X46" s="2"/>
      </tp>
      <tp t="s">
        <v>N/A</v>
        <stp/>
        <stp>VOLUME</stp>
        <stp>.QQQ261030P628</stp>
        <tr r="X47" s="2"/>
      </tp>
      <tp t="s">
        <v>N/A</v>
        <stp/>
        <stp>VOLUME</stp>
        <stp>.QQQ261030C628</stp>
        <tr r="X47" s="2"/>
      </tp>
      <tp t="s">
        <v>N/A</v>
        <stp/>
        <stp>VOLUME</stp>
        <stp>.QQQ261002P605</stp>
        <tr r="W70" s="2"/>
      </tp>
      <tp t="s">
        <v>N/A</v>
        <stp/>
        <stp>VOLUME</stp>
        <stp>.QQQ261002C605</stp>
        <tr r="W70" s="2"/>
      </tp>
      <tp t="s">
        <v>N/A</v>
        <stp/>
        <stp>VOLUME</stp>
        <stp>.QQQ261002P604</stp>
        <tr r="W71" s="2"/>
      </tp>
      <tp t="s">
        <v>N/A</v>
        <stp/>
        <stp>VOLUME</stp>
        <stp>.QQQ261002C604</stp>
        <tr r="W71" s="2"/>
      </tp>
      <tp t="s">
        <v>N/A</v>
        <stp/>
        <stp>VOLUME</stp>
        <stp>.QQQ261002P607</stp>
        <tr r="W68" s="2"/>
      </tp>
      <tp t="s">
        <v>N/A</v>
        <stp/>
        <stp>VOLUME</stp>
        <stp>.QQQ261002C607</stp>
        <tr r="W68" s="2"/>
      </tp>
      <tp t="s">
        <v>N/A</v>
        <stp/>
        <stp>VOLUME</stp>
        <stp>.QQQ261002P606</stp>
        <tr r="W69" s="2"/>
      </tp>
      <tp t="s">
        <v>N/A</v>
        <stp/>
        <stp>VOLUME</stp>
        <stp>.QQQ261002C606</stp>
        <tr r="W69" s="2"/>
      </tp>
      <tp t="s">
        <v>N/A</v>
        <stp/>
        <stp>VOLUME</stp>
        <stp>.QQQ261002P601</stp>
        <tr r="W74" s="2"/>
      </tp>
      <tp t="s">
        <v>N/A</v>
        <stp/>
        <stp>VOLUME</stp>
        <stp>.QQQ261002C601</stp>
        <tr r="W74" s="2"/>
      </tp>
      <tp t="s">
        <v>N/A</v>
        <stp/>
        <stp>VOLUME</stp>
        <stp>.QQQ261002P600</stp>
        <tr r="W75" s="2"/>
      </tp>
      <tp t="s">
        <v>N/A</v>
        <stp/>
        <stp>VOLUME</stp>
        <stp>.QQQ261002C600</stp>
        <tr r="W75" s="2"/>
      </tp>
      <tp t="s">
        <v>N/A</v>
        <stp/>
        <stp>VOLUME</stp>
        <stp>.QQQ261002P603</stp>
        <tr r="W72" s="2"/>
      </tp>
      <tp t="s">
        <v>N/A</v>
        <stp/>
        <stp>VOLUME</stp>
        <stp>.QQQ261002C603</stp>
        <tr r="W72" s="2"/>
      </tp>
      <tp t="s">
        <v>N/A</v>
        <stp/>
        <stp>VOLUME</stp>
        <stp>.QQQ261002P602</stp>
        <tr r="W73" s="2"/>
      </tp>
      <tp t="s">
        <v>N/A</v>
        <stp/>
        <stp>VOLUME</stp>
        <stp>.QQQ261002C602</stp>
        <tr r="W73" s="2"/>
      </tp>
      <tp t="s">
        <v>N/A</v>
        <stp/>
        <stp>VOLUME</stp>
        <stp>.QQQ261002P609</stp>
        <tr r="W66" s="2"/>
      </tp>
      <tp t="s">
        <v>N/A</v>
        <stp/>
        <stp>VOLUME</stp>
        <stp>.QQQ261002C609</stp>
        <tr r="W66" s="2"/>
      </tp>
      <tp t="s">
        <v>N/A</v>
        <stp/>
        <stp>VOLUME</stp>
        <stp>.QQQ261002P608</stp>
        <tr r="W67" s="2"/>
      </tp>
      <tp t="s">
        <v>N/A</v>
        <stp/>
        <stp>VOLUME</stp>
        <stp>.QQQ261002C608</stp>
        <tr r="W67" s="2"/>
      </tp>
      <tp t="s">
        <v>N/A</v>
        <stp/>
        <stp>VOLUME</stp>
        <stp>.QQQ261030P607</stp>
        <tr r="X68" s="2"/>
      </tp>
      <tp t="s">
        <v>N/A</v>
        <stp/>
        <stp>VOLUME</stp>
        <stp>.QQQ261030C607</stp>
        <tr r="X68" s="2"/>
      </tp>
      <tp t="s">
        <v>N/A</v>
        <stp/>
        <stp>VOLUME</stp>
        <stp>.QQQ261030P606</stp>
        <tr r="X69" s="2"/>
      </tp>
      <tp t="s">
        <v>N/A</v>
        <stp/>
        <stp>VOLUME</stp>
        <stp>.QQQ261030C606</stp>
        <tr r="X69" s="2"/>
      </tp>
      <tp t="s">
        <v>N/A</v>
        <stp/>
        <stp>VOLUME</stp>
        <stp>.QQQ261030P605</stp>
        <tr r="X70" s="2"/>
      </tp>
      <tp t="s">
        <v>N/A</v>
        <stp/>
        <stp>VOLUME</stp>
        <stp>.QQQ261030C605</stp>
        <tr r="X70" s="2"/>
      </tp>
      <tp t="s">
        <v>N/A</v>
        <stp/>
        <stp>VOLUME</stp>
        <stp>.QQQ261030P604</stp>
        <tr r="X71" s="2"/>
      </tp>
      <tp t="s">
        <v>N/A</v>
        <stp/>
        <stp>VOLUME</stp>
        <stp>.QQQ261030C604</stp>
        <tr r="X71" s="2"/>
      </tp>
      <tp t="s">
        <v>N/A</v>
        <stp/>
        <stp>VOLUME</stp>
        <stp>.QQQ261030P603</stp>
        <tr r="X72" s="2"/>
      </tp>
      <tp t="s">
        <v>N/A</v>
        <stp/>
        <stp>VOLUME</stp>
        <stp>.QQQ261030C603</stp>
        <tr r="X72" s="2"/>
      </tp>
      <tp t="s">
        <v>N/A</v>
        <stp/>
        <stp>VOLUME</stp>
        <stp>.QQQ261030P602</stp>
        <tr r="X73" s="2"/>
      </tp>
      <tp t="s">
        <v>N/A</v>
        <stp/>
        <stp>VOLUME</stp>
        <stp>.QQQ261030C602</stp>
        <tr r="X73" s="2"/>
      </tp>
      <tp t="s">
        <v>N/A</v>
        <stp/>
        <stp>VOLUME</stp>
        <stp>.QQQ261030P601</stp>
        <tr r="X74" s="2"/>
      </tp>
      <tp t="s">
        <v>N/A</v>
        <stp/>
        <stp>VOLUME</stp>
        <stp>.QQQ261030C601</stp>
        <tr r="X74" s="2"/>
      </tp>
      <tp t="s">
        <v>N/A</v>
        <stp/>
        <stp>VOLUME</stp>
        <stp>.QQQ261030P600</stp>
        <tr r="X75" s="2"/>
      </tp>
      <tp t="s">
        <v>N/A</v>
        <stp/>
        <stp>VOLUME</stp>
        <stp>.QQQ261030C600</stp>
        <tr r="X75" s="2"/>
      </tp>
      <tp t="s">
        <v>N/A</v>
        <stp/>
        <stp>VOLUME</stp>
        <stp>.QQQ261030P609</stp>
        <tr r="X66" s="2"/>
      </tp>
      <tp t="s">
        <v>N/A</v>
        <stp/>
        <stp>VOLUME</stp>
        <stp>.QQQ261030C609</stp>
        <tr r="X66" s="2"/>
      </tp>
      <tp t="s">
        <v>N/A</v>
        <stp/>
        <stp>VOLUME</stp>
        <stp>.QQQ261030P608</stp>
        <tr r="X67" s="2"/>
      </tp>
      <tp t="s">
        <v>N/A</v>
        <stp/>
        <stp>VOLUME</stp>
        <stp>.QQQ261030C608</stp>
        <tr r="X67" s="2"/>
      </tp>
      <tp t="s">
        <v>N/A</v>
        <stp/>
        <stp>VOLUME</stp>
        <stp>.QQQ261002P625</stp>
        <tr r="W50" s="2"/>
      </tp>
      <tp t="s">
        <v>N/A</v>
        <stp/>
        <stp>VOLUME</stp>
        <stp>.QQQ261030P617</stp>
        <tr r="X58" s="2"/>
      </tp>
      <tp t="s">
        <v>N/A</v>
        <stp/>
        <stp>VOLUME</stp>
        <stp>.QQQ261002C625</stp>
        <tr r="W50" s="2"/>
      </tp>
      <tp t="s">
        <v>N/A</v>
        <stp/>
        <stp>VOLUME</stp>
        <stp>.QQQ261030C617</stp>
        <tr r="X58" s="2"/>
      </tp>
      <tp t="s">
        <v>N/A</v>
        <stp/>
        <stp>VOLUME</stp>
        <stp>.QQQ261002P624</stp>
        <tr r="W51" s="2"/>
      </tp>
      <tp t="s">
        <v>N/A</v>
        <stp/>
        <stp>VOLUME</stp>
        <stp>.QQQ261030P616</stp>
        <tr r="X59" s="2"/>
      </tp>
      <tp t="s">
        <v>N/A</v>
        <stp/>
        <stp>VOLUME</stp>
        <stp>.QQQ261002C624</stp>
        <tr r="W51" s="2"/>
      </tp>
      <tp t="s">
        <v>N/A</v>
        <stp/>
        <stp>VOLUME</stp>
        <stp>.QQQ261030C616</stp>
        <tr r="X59" s="2"/>
      </tp>
      <tp t="s">
        <v>N/A</v>
        <stp/>
        <stp>VOLUME</stp>
        <stp>.QQQ261002P627</stp>
        <tr r="W48" s="2"/>
      </tp>
      <tp t="s">
        <v>N/A</v>
        <stp/>
        <stp>VOLUME</stp>
        <stp>.QQQ261030P615</stp>
        <tr r="X60" s="2"/>
      </tp>
      <tp t="s">
        <v>N/A</v>
        <stp/>
        <stp>VOLUME</stp>
        <stp>.QQQ261002C627</stp>
        <tr r="W48" s="2"/>
      </tp>
      <tp t="s">
        <v>N/A</v>
        <stp/>
        <stp>VOLUME</stp>
        <stp>.QQQ261030C615</stp>
        <tr r="X60" s="2"/>
      </tp>
      <tp t="s">
        <v>N/A</v>
        <stp/>
        <stp>VOLUME</stp>
        <stp>.QQQ261002P626</stp>
        <tr r="W49" s="2"/>
      </tp>
      <tp t="s">
        <v>N/A</v>
        <stp/>
        <stp>VOLUME</stp>
        <stp>.QQQ261030P614</stp>
        <tr r="X61" s="2"/>
      </tp>
      <tp t="s">
        <v>N/A</v>
        <stp/>
        <stp>VOLUME</stp>
        <stp>.QQQ261002C626</stp>
        <tr r="W49" s="2"/>
      </tp>
      <tp t="s">
        <v>N/A</v>
        <stp/>
        <stp>VOLUME</stp>
        <stp>.QQQ261030C614</stp>
        <tr r="X61" s="2"/>
      </tp>
      <tp t="s">
        <v>N/A</v>
        <stp/>
        <stp>VOLUME</stp>
        <stp>.QQQ261002P621</stp>
        <tr r="W54" s="2"/>
      </tp>
      <tp t="s">
        <v>N/A</v>
        <stp/>
        <stp>VOLUME</stp>
        <stp>.QQQ261030P613</stp>
        <tr r="X62" s="2"/>
      </tp>
      <tp t="s">
        <v>N/A</v>
        <stp/>
        <stp>VOLUME</stp>
        <stp>.QQQ261002C621</stp>
        <tr r="W54" s="2"/>
      </tp>
      <tp t="s">
        <v>N/A</v>
        <stp/>
        <stp>VOLUME</stp>
        <stp>.QQQ261030C613</stp>
        <tr r="X62" s="2"/>
      </tp>
      <tp t="s">
        <v>N/A</v>
        <stp/>
        <stp>VOLUME</stp>
        <stp>.QQQ261002P620</stp>
        <tr r="W55" s="2"/>
      </tp>
      <tp t="s">
        <v>N/A</v>
        <stp/>
        <stp>VOLUME</stp>
        <stp>.QQQ261030P612</stp>
        <tr r="X63" s="2"/>
      </tp>
      <tp t="s">
        <v>N/A</v>
        <stp/>
        <stp>VOLUME</stp>
        <stp>.QQQ261002C620</stp>
        <tr r="W55" s="2"/>
      </tp>
      <tp t="s">
        <v>N/A</v>
        <stp/>
        <stp>VOLUME</stp>
        <stp>.QQQ261030C612</stp>
        <tr r="X63" s="2"/>
      </tp>
      <tp t="s">
        <v>N/A</v>
        <stp/>
        <stp>VOLUME</stp>
        <stp>.QQQ261002P623</stp>
        <tr r="W52" s="2"/>
      </tp>
      <tp t="s">
        <v>N/A</v>
        <stp/>
        <stp>VOLUME</stp>
        <stp>.QQQ261030P611</stp>
        <tr r="X64" s="2"/>
      </tp>
      <tp t="s">
        <v>N/A</v>
        <stp/>
        <stp>VOLUME</stp>
        <stp>.QQQ261002C623</stp>
        <tr r="W52" s="2"/>
      </tp>
      <tp t="s">
        <v>N/A</v>
        <stp/>
        <stp>VOLUME</stp>
        <stp>.QQQ261030C611</stp>
        <tr r="X64" s="2"/>
      </tp>
      <tp t="s">
        <v>N/A</v>
        <stp/>
        <stp>VOLUME</stp>
        <stp>.QQQ261002P622</stp>
        <tr r="W53" s="2"/>
      </tp>
      <tp t="s">
        <v>N/A</v>
        <stp/>
        <stp>VOLUME</stp>
        <stp>.QQQ261030P610</stp>
        <tr r="X65" s="2"/>
      </tp>
      <tp t="s">
        <v>N/A</v>
        <stp/>
        <stp>VOLUME</stp>
        <stp>.QQQ261002C622</stp>
        <tr r="W53" s="2"/>
      </tp>
      <tp t="s">
        <v>N/A</v>
        <stp/>
        <stp>VOLUME</stp>
        <stp>.QQQ261030C610</stp>
        <tr r="X65" s="2"/>
      </tp>
      <tp t="s">
        <v>N/A</v>
        <stp/>
        <stp>VOLUME</stp>
        <stp>.QQQ261002P629</stp>
        <tr r="W46" s="2"/>
      </tp>
      <tp t="s">
        <v>N/A</v>
        <stp/>
        <stp>VOLUME</stp>
        <stp>.QQQ261002C629</stp>
        <tr r="W46" s="2"/>
      </tp>
      <tp t="s">
        <v>N/A</v>
        <stp/>
        <stp>VOLUME</stp>
        <stp>.QQQ261002P628</stp>
        <tr r="W47" s="2"/>
      </tp>
      <tp t="s">
        <v>N/A</v>
        <stp/>
        <stp>VOLUME</stp>
        <stp>.QQQ261002C628</stp>
        <tr r="W47" s="2"/>
      </tp>
      <tp t="s">
        <v>N/A</v>
        <stp/>
        <stp>VOLUME</stp>
        <stp>.QQQ261030P619</stp>
        <tr r="X56" s="2"/>
      </tp>
      <tp t="s">
        <v>N/A</v>
        <stp/>
        <stp>VOLUME</stp>
        <stp>.QQQ261030C619</stp>
        <tr r="X56" s="2"/>
      </tp>
      <tp t="s">
        <v>N/A</v>
        <stp/>
        <stp>VOLUME</stp>
        <stp>.QQQ261030P618</stp>
        <tr r="X57" s="2"/>
      </tp>
      <tp t="s">
        <v>N/A</v>
        <stp/>
        <stp>VOLUME</stp>
        <stp>.QQQ261030C618</stp>
        <tr r="X57" s="2"/>
      </tp>
      <tp t="s">
        <v>N/A</v>
        <stp/>
        <stp>VOLUME</stp>
        <stp>.SPY260828P679</stp>
        <tr r="V15" s="2"/>
      </tp>
      <tp t="s">
        <v>N/A</v>
        <stp/>
        <stp>VOLUME</stp>
        <stp>.SPY260828C679</stp>
        <tr r="V15" s="2"/>
      </tp>
      <tp t="s">
        <v>N/A</v>
        <stp/>
        <stp>VOLUME</stp>
        <stp>.SPY260828P678</stp>
        <tr r="V16" s="2"/>
      </tp>
      <tp t="s">
        <v>N/A</v>
        <stp/>
        <stp>VOLUME</stp>
        <stp>.SPY260828C678</stp>
        <tr r="V16" s="2"/>
      </tp>
      <tp t="s">
        <v>N/A</v>
        <stp/>
        <stp>VOLUME</stp>
        <stp>.SPY260828P675</stp>
        <tr r="V19" s="2"/>
      </tp>
      <tp t="s">
        <v>N/A</v>
        <stp/>
        <stp>VOLUME</stp>
        <stp>.SPY260828C675</stp>
        <tr r="V19" s="2"/>
      </tp>
      <tp t="s">
        <v>N/A</v>
        <stp/>
        <stp>VOLUME</stp>
        <stp>.SPY260828P674</stp>
        <tr r="V20" s="2"/>
      </tp>
      <tp t="s">
        <v>N/A</v>
        <stp/>
        <stp>VOLUME</stp>
        <stp>.SPY260828C674</stp>
        <tr r="V20" s="2"/>
      </tp>
      <tp t="s">
        <v>N/A</v>
        <stp/>
        <stp>VOLUME</stp>
        <stp>.SPY260828P677</stp>
        <tr r="V17" s="2"/>
      </tp>
      <tp t="s">
        <v>N/A</v>
        <stp/>
        <stp>VOLUME</stp>
        <stp>.SPY260828C677</stp>
        <tr r="V17" s="2"/>
      </tp>
      <tp t="s">
        <v>N/A</v>
        <stp/>
        <stp>VOLUME</stp>
        <stp>.SPY260828P676</stp>
        <tr r="V18" s="2"/>
      </tp>
      <tp t="s">
        <v>N/A</v>
        <stp/>
        <stp>VOLUME</stp>
        <stp>.SPY260828C676</stp>
        <tr r="V18" s="2"/>
      </tp>
      <tp t="s">
        <v>N/A</v>
        <stp/>
        <stp>VOLUME</stp>
        <stp>.SPY260828P671</stp>
        <tr r="V23" s="2"/>
      </tp>
      <tp t="s">
        <v>N/A</v>
        <stp/>
        <stp>VOLUME</stp>
        <stp>.SPY260828C671</stp>
        <tr r="V23" s="2"/>
      </tp>
      <tp t="s">
        <v>N/A</v>
        <stp/>
        <stp>VOLUME</stp>
        <stp>.SPY260828P670</stp>
        <tr r="V24" s="2"/>
      </tp>
      <tp t="s">
        <v>N/A</v>
        <stp/>
        <stp>VOLUME</stp>
        <stp>.SPY260828C670</stp>
        <tr r="V24" s="2"/>
      </tp>
      <tp t="s">
        <v>N/A</v>
        <stp/>
        <stp>VOLUME</stp>
        <stp>.SPY260828P673</stp>
        <tr r="V21" s="2"/>
      </tp>
      <tp t="s">
        <v>N/A</v>
        <stp/>
        <stp>VOLUME</stp>
        <stp>.SPY260828C673</stp>
        <tr r="V21" s="2"/>
      </tp>
      <tp t="s">
        <v>N/A</v>
        <stp/>
        <stp>VOLUME</stp>
        <stp>.SPY260828P672</stp>
        <tr r="V22" s="2"/>
      </tp>
      <tp t="s">
        <v>N/A</v>
        <stp/>
        <stp>VOLUME</stp>
        <stp>.SPY260828C672</stp>
        <tr r="V22" s="2"/>
      </tp>
      <tp t="s">
        <v>N/A</v>
        <stp/>
        <stp>VOLUME</stp>
        <stp>.SPY260828P669</stp>
        <tr r="V25" s="2"/>
      </tp>
      <tp t="s">
        <v>N/A</v>
        <stp/>
        <stp>VOLUME</stp>
        <stp>.SPY260828C669</stp>
        <tr r="V25" s="2"/>
      </tp>
      <tp t="s">
        <v>N/A</v>
        <stp/>
        <stp>VOLUME</stp>
        <stp>.SPY260828P668</stp>
        <tr r="V26" s="2"/>
      </tp>
      <tp t="s">
        <v>N/A</v>
        <stp/>
        <stp>VOLUME</stp>
        <stp>.SPY260828C668</stp>
        <tr r="V26" s="2"/>
      </tp>
      <tp t="s">
        <v>N/A</v>
        <stp/>
        <stp>VOLUME</stp>
        <stp>.SPY260828P665</stp>
        <tr r="V29" s="2"/>
      </tp>
      <tp t="s">
        <v>N/A</v>
        <stp/>
        <stp>VOLUME</stp>
        <stp>.SPY260828C665</stp>
        <tr r="V29" s="2"/>
      </tp>
      <tp t="s">
        <v>N/A</v>
        <stp/>
        <stp>VOLUME</stp>
        <stp>.SPY260828P664</stp>
        <tr r="V30" s="2"/>
      </tp>
      <tp t="s">
        <v>N/A</v>
        <stp/>
        <stp>VOLUME</stp>
        <stp>.SPY260828C664</stp>
        <tr r="V30" s="2"/>
      </tp>
      <tp t="s">
        <v>N/A</v>
        <stp/>
        <stp>VOLUME</stp>
        <stp>.SPY260828P667</stp>
        <tr r="V27" s="2"/>
      </tp>
      <tp t="s">
        <v>N/A</v>
        <stp/>
        <stp>VOLUME</stp>
        <stp>.SPY260828C667</stp>
        <tr r="V27" s="2"/>
      </tp>
      <tp t="s">
        <v>N/A</v>
        <stp/>
        <stp>VOLUME</stp>
        <stp>.SPY260828P666</stp>
        <tr r="V28" s="2"/>
      </tp>
      <tp t="s">
        <v>N/A</v>
        <stp/>
        <stp>VOLUME</stp>
        <stp>.SPY260828C666</stp>
        <tr r="V28" s="2"/>
      </tp>
      <tp t="s">
        <v>N/A</v>
        <stp/>
        <stp>VOLUME</stp>
        <stp>.SPY260828P661</stp>
        <tr r="V33" s="2"/>
      </tp>
      <tp t="s">
        <v>N/A</v>
        <stp/>
        <stp>VOLUME</stp>
        <stp>.SPY260828C661</stp>
        <tr r="V33" s="2"/>
      </tp>
      <tp t="s">
        <v>N/A</v>
        <stp/>
        <stp>VOLUME</stp>
        <stp>.SPY260828P660</stp>
        <tr r="V34" s="2"/>
      </tp>
      <tp t="s">
        <v>N/A</v>
        <stp/>
        <stp>VOLUME</stp>
        <stp>.SPY260828C660</stp>
        <tr r="V34" s="2"/>
      </tp>
      <tp t="s">
        <v>N/A</v>
        <stp/>
        <stp>VOLUME</stp>
        <stp>.SPY260828P663</stp>
        <tr r="V31" s="2"/>
      </tp>
      <tp t="s">
        <v>N/A</v>
        <stp/>
        <stp>VOLUME</stp>
        <stp>.SPY260828C663</stp>
        <tr r="V31" s="2"/>
      </tp>
      <tp t="s">
        <v>N/A</v>
        <stp/>
        <stp>VOLUME</stp>
        <stp>.SPY260828P662</stp>
        <tr r="V32" s="2"/>
      </tp>
      <tp t="s">
        <v>N/A</v>
        <stp/>
        <stp>VOLUME</stp>
        <stp>.SPY260828C662</stp>
        <tr r="V32" s="2"/>
      </tp>
      <tp t="s">
        <v>N/A</v>
        <stp/>
        <stp>VOLUME</stp>
        <stp>.SPY260828P659</stp>
        <tr r="V35" s="2"/>
      </tp>
      <tp t="s">
        <v>N/A</v>
        <stp/>
        <stp>VOLUME</stp>
        <stp>.SPY260828C659</stp>
        <tr r="V35" s="2"/>
      </tp>
      <tp t="s">
        <v>N/A</v>
        <stp/>
        <stp>VOLUME</stp>
        <stp>.SPY260828P658</stp>
        <tr r="V36" s="2"/>
      </tp>
      <tp t="s">
        <v>N/A</v>
        <stp/>
        <stp>VOLUME</stp>
        <stp>.SPY260828C658</stp>
        <tr r="V36" s="2"/>
      </tp>
      <tp t="s">
        <v>N/A</v>
        <stp/>
        <stp>VOLUME</stp>
        <stp>.SPY260828P655</stp>
        <tr r="V39" s="2"/>
      </tp>
      <tp t="s">
        <v>N/A</v>
        <stp/>
        <stp>VOLUME</stp>
        <stp>.SPY260828C655</stp>
        <tr r="V39" s="2"/>
      </tp>
      <tp t="s">
        <v>N/A</v>
        <stp/>
        <stp>VOLUME</stp>
        <stp>.SPY260828P657</stp>
        <tr r="V37" s="2"/>
      </tp>
      <tp t="s">
        <v>N/A</v>
        <stp/>
        <stp>VOLUME</stp>
        <stp>.SPY260828C657</stp>
        <tr r="V37" s="2"/>
      </tp>
      <tp t="s">
        <v>N/A</v>
        <stp/>
        <stp>VOLUME</stp>
        <stp>.SPY260828P656</stp>
        <tr r="V38" s="2"/>
      </tp>
      <tp t="s">
        <v>N/A</v>
        <stp/>
        <stp>VOLUME</stp>
        <stp>.SPY260828C656</stp>
        <tr r="V38" s="2"/>
      </tp>
      <tp t="s">
        <v>N/A</v>
        <stp/>
        <stp>VOLUME</stp>
        <stp>.QQQ260206P595</stp>
        <tr r="N80" s="2"/>
      </tp>
      <tp>
        <v>158</v>
        <stp/>
        <stp>VOLUME</stp>
        <stp>.QQQ251205P595</stp>
        <tr r="I80" s="2"/>
        <tr r="I80" s="2"/>
      </tp>
      <tp>
        <v>150</v>
        <stp/>
        <stp>VOLUME</stp>
        <stp>.QQQ251205C595</stp>
        <tr r="I80" s="2"/>
        <tr r="I80" s="2"/>
      </tp>
      <tp t="s">
        <v>N/A</v>
        <stp/>
        <stp>VOLUME</stp>
        <stp>.QQQ260206C595</stp>
        <tr r="N80" s="2"/>
      </tp>
      <tp t="s">
        <v>N/A</v>
        <stp/>
        <stp>VOLUME</stp>
        <stp>.QQQ260206P597</stp>
        <tr r="N78" s="2"/>
      </tp>
      <tp>
        <v>68</v>
        <stp/>
        <stp>VOLUME</stp>
        <stp>.QQQ251205P597</stp>
        <tr r="I78" s="2"/>
        <tr r="I78" s="2"/>
      </tp>
      <tp>
        <v>31</v>
        <stp/>
        <stp>VOLUME</stp>
        <stp>.QQQ251205C597</stp>
        <tr r="I78" s="2"/>
        <tr r="I78" s="2"/>
      </tp>
      <tp t="s">
        <v>N/A</v>
        <stp/>
        <stp>VOLUME</stp>
        <stp>.QQQ260206C597</stp>
        <tr r="N78" s="2"/>
      </tp>
      <tp t="s">
        <v>N/A</v>
        <stp/>
        <stp>VOLUME</stp>
        <stp>.QQQ260206P596</stp>
        <tr r="N79" s="2"/>
      </tp>
      <tp>
        <v>127</v>
        <stp/>
        <stp>VOLUME</stp>
        <stp>.QQQ251205P596</stp>
        <tr r="I79" s="2"/>
        <tr r="I79" s="2"/>
      </tp>
      <tp>
        <v>86</v>
        <stp/>
        <stp>VOLUME</stp>
        <stp>.QQQ251205C596</stp>
        <tr r="I79" s="2"/>
        <tr r="I79" s="2"/>
      </tp>
      <tp t="s">
        <v>N/A</v>
        <stp/>
        <stp>VOLUME</stp>
        <stp>.QQQ260206C596</stp>
        <tr r="N79" s="2"/>
      </tp>
      <tp t="s">
        <v>N/A</v>
        <stp/>
        <stp>VOLUME</stp>
        <stp>.QQQ260206P599</stp>
        <tr r="N76" s="2"/>
      </tp>
      <tp>
        <v>66</v>
        <stp/>
        <stp>VOLUME</stp>
        <stp>.QQQ251205P599</stp>
        <tr r="I76" s="2"/>
        <tr r="I76" s="2"/>
      </tp>
      <tp>
        <v>72</v>
        <stp/>
        <stp>VOLUME</stp>
        <stp>.QQQ251205C599</stp>
        <tr r="I76" s="2"/>
        <tr r="I76" s="2"/>
      </tp>
      <tp t="s">
        <v>N/A</v>
        <stp/>
        <stp>VOLUME</stp>
        <stp>.QQQ260206C599</stp>
        <tr r="N76" s="2"/>
      </tp>
      <tp t="s">
        <v>N/A</v>
        <stp/>
        <stp>VOLUME</stp>
        <stp>.QQQ260206P598</stp>
        <tr r="N77" s="2"/>
      </tp>
      <tp>
        <v>36</v>
        <stp/>
        <stp>VOLUME</stp>
        <stp>.QQQ251205P598</stp>
        <tr r="I77" s="2"/>
        <tr r="I77" s="2"/>
      </tp>
      <tp>
        <v>118</v>
        <stp/>
        <stp>VOLUME</stp>
        <stp>.QQQ251205C598</stp>
        <tr r="I77" s="2"/>
        <tr r="I77" s="2"/>
      </tp>
      <tp t="s">
        <v>N/A</v>
        <stp/>
        <stp>VOLUME</stp>
        <stp>.QQQ260206C598</stp>
        <tr r="N77" s="2"/>
      </tp>
      <tp t="s">
        <v>N/A</v>
        <stp/>
        <stp>VOLUME</stp>
        <stp>.QQQ251212P596</stp>
        <tr r="J79" s="2"/>
      </tp>
      <tp t="s">
        <v>N/A</v>
        <stp/>
        <stp>VOLUME</stp>
        <stp>.QQQ251212C596</stp>
        <tr r="J79" s="2"/>
      </tp>
      <tp t="s">
        <v>N/A</v>
        <stp/>
        <stp>VOLUME</stp>
        <stp>.QQQ251212P597</stp>
        <tr r="J78" s="2"/>
      </tp>
      <tp t="s">
        <v>N/A</v>
        <stp/>
        <stp>VOLUME</stp>
        <stp>.QQQ251212C597</stp>
        <tr r="J78" s="2"/>
      </tp>
      <tp>
        <v>226</v>
        <stp/>
        <stp>VOLUME</stp>
        <stp>.QQQ251212P595</stp>
        <tr r="J80" s="2"/>
        <tr r="J80" s="2"/>
      </tp>
      <tp>
        <v>135</v>
        <stp/>
        <stp>VOLUME</stp>
        <stp>.QQQ251212C595</stp>
        <tr r="J80" s="2"/>
        <tr r="J80" s="2"/>
      </tp>
      <tp t="s">
        <v>N/A</v>
        <stp/>
        <stp>VOLUME</stp>
        <stp>.QQQ251219P599</stp>
        <tr r="K76" s="2"/>
      </tp>
      <tp t="s">
        <v>N/A</v>
        <stp/>
        <stp>VOLUME</stp>
        <stp>.QQQ251219C599</stp>
        <tr r="K76" s="2"/>
      </tp>
      <tp t="s">
        <v>N/A</v>
        <stp/>
        <stp>VOLUME</stp>
        <stp>.QQQ251219P598</stp>
        <tr r="K77" s="2"/>
      </tp>
      <tp t="s">
        <v>N/A</v>
        <stp/>
        <stp>VOLUME</stp>
        <stp>.QQQ251219C598</stp>
        <tr r="K77" s="2"/>
      </tp>
      <tp>
        <v>395</v>
        <stp/>
        <stp>VOLUME</stp>
        <stp>.QQQ251219P595</stp>
        <tr r="K80" s="2"/>
        <tr r="K80" s="2"/>
      </tp>
      <tp>
        <v>218</v>
        <stp/>
        <stp>VOLUME</stp>
        <stp>.QQQ251219C595</stp>
        <tr r="K80" s="2"/>
        <tr r="K80" s="2"/>
      </tp>
      <tp t="s">
        <v>N/A</v>
        <stp/>
        <stp>VOLUME</stp>
        <stp>.QQQ251219P597</stp>
        <tr r="K78" s="2"/>
      </tp>
      <tp t="s">
        <v>N/A</v>
        <stp/>
        <stp>VOLUME</stp>
        <stp>.QQQ251219C597</stp>
        <tr r="K78" s="2"/>
      </tp>
      <tp t="s">
        <v>N/A</v>
        <stp/>
        <stp>VOLUME</stp>
        <stp>.QQQ251219P596</stp>
        <tr r="K79" s="2"/>
      </tp>
      <tp t="s">
        <v>N/A</v>
        <stp/>
        <stp>VOLUME</stp>
        <stp>.QQQ251219C596</stp>
        <tr r="K79" s="2"/>
      </tp>
      <tp t="s">
        <v>N/A</v>
        <stp/>
        <stp>VOLUME</stp>
        <stp>.QQQ251212P598</stp>
        <tr r="J77" s="2"/>
      </tp>
      <tp t="s">
        <v>N/A</v>
        <stp/>
        <stp>VOLUME</stp>
        <stp>.QQQ251212C598</stp>
        <tr r="J77" s="2"/>
      </tp>
      <tp t="s">
        <v>N/A</v>
        <stp/>
        <stp>VOLUME</stp>
        <stp>.QQQ251212P599</stp>
        <tr r="J76" s="2"/>
      </tp>
      <tp t="s">
        <v>N/A</v>
        <stp/>
        <stp>VOLUME</stp>
        <stp>.QQQ251212C599</stp>
        <tr r="J76" s="2"/>
      </tp>
      <tp t="s">
        <v>N/A</v>
        <stp/>
        <stp>VOLUME</stp>
        <stp>.QQQ260227P595</stp>
        <tr r="P80" s="2"/>
      </tp>
      <tp t="s">
        <v>N/A</v>
        <stp/>
        <stp>VOLUME</stp>
        <stp>.QQQ260227C595</stp>
        <tr r="P80" s="2"/>
      </tp>
      <tp t="s">
        <v>N/A</v>
        <stp/>
        <stp>VOLUME</stp>
        <stp>.QQQ260227P596</stp>
        <tr r="P79" s="2"/>
      </tp>
      <tp t="s">
        <v>N/A</v>
        <stp/>
        <stp>VOLUME</stp>
        <stp>.QQQ260227C596</stp>
        <tr r="P79" s="2"/>
      </tp>
      <tp t="s">
        <v>N/A</v>
        <stp/>
        <stp>VOLUME</stp>
        <stp>.QQQ260227P597</stp>
        <tr r="P78" s="2"/>
      </tp>
      <tp t="s">
        <v>N/A</v>
        <stp/>
        <stp>VOLUME</stp>
        <stp>.QQQ260227C597</stp>
        <tr r="P78" s="2"/>
      </tp>
      <tp t="s">
        <v>N/A</v>
        <stp/>
        <stp>VOLUME</stp>
        <stp>.QQQ260227P598</stp>
        <tr r="P77" s="2"/>
      </tp>
      <tp t="s">
        <v>N/A</v>
        <stp/>
        <stp>VOLUME</stp>
        <stp>.QQQ260227C598</stp>
        <tr r="P77" s="2"/>
      </tp>
      <tp t="s">
        <v>N/A</v>
        <stp/>
        <stp>VOLUME</stp>
        <stp>.QQQ260227P599</stp>
        <tr r="P76" s="2"/>
      </tp>
      <tp t="s">
        <v>N/A</v>
        <stp/>
        <stp>VOLUME</stp>
        <stp>.QQQ260227C599</stp>
        <tr r="P76" s="2"/>
      </tp>
      <tp>
        <v>167</v>
        <stp/>
        <stp>VOLUME</stp>
        <stp>.QQQ251231P595</stp>
        <tr r="O80" s="2"/>
        <tr r="O80" s="2"/>
      </tp>
      <tp>
        <v>34</v>
        <stp/>
        <stp>VOLUME</stp>
        <stp>.QQQ251231C595</stp>
        <tr r="O80" s="2"/>
        <tr r="O80" s="2"/>
      </tp>
      <tp>
        <v>49</v>
        <stp/>
        <stp>VOLUME</stp>
        <stp>.QQQ251231P597</stp>
        <tr r="O78" s="2"/>
        <tr r="O78" s="2"/>
      </tp>
      <tp>
        <v>1</v>
        <stp/>
        <stp>VOLUME</stp>
        <stp>.QQQ251231C597</stp>
        <tr r="O78" s="2"/>
        <tr r="O78" s="2"/>
      </tp>
      <tp>
        <v>19</v>
        <stp/>
        <stp>VOLUME</stp>
        <stp>.QQQ251231P596</stp>
        <tr r="O79" s="2"/>
        <tr r="O79" s="2"/>
      </tp>
      <tp t="s">
        <v>N/A</v>
        <stp/>
        <stp>VOLUME</stp>
        <stp>.QQQ251231C596</stp>
        <tr r="O79" s="2"/>
      </tp>
      <tp>
        <v>22</v>
        <stp/>
        <stp>VOLUME</stp>
        <stp>.QQQ251231P599</stp>
        <tr r="O76" s="2"/>
        <tr r="O76" s="2"/>
      </tp>
      <tp>
        <v>15</v>
        <stp/>
        <stp>VOLUME</stp>
        <stp>.QQQ251231C599</stp>
        <tr r="O76" s="2"/>
        <tr r="O76" s="2"/>
      </tp>
      <tp>
        <v>34</v>
        <stp/>
        <stp>VOLUME</stp>
        <stp>.QQQ251231P598</stp>
        <tr r="O77" s="2"/>
        <tr r="O77" s="2"/>
      </tp>
      <tp>
        <v>11</v>
        <stp/>
        <stp>VOLUME</stp>
        <stp>.QQQ251231C598</stp>
        <tr r="O77" s="2"/>
        <tr r="O77" s="2"/>
      </tp>
      <tp>
        <v>1</v>
        <stp/>
        <stp>VOLUME</stp>
        <stp>.QQQ260130P627</stp>
        <tr r="M48" s="2"/>
        <tr r="M48" s="2"/>
      </tp>
      <tp>
        <v>26216</v>
        <stp/>
        <stp>VOLUME</stp>
        <stp>.QQQ251110P604</stp>
        <tr r="B71" s="2"/>
        <tr r="B71" s="2"/>
        <tr r="Q70" s="1"/>
        <tr r="Q70" s="1"/>
      </tp>
      <tp>
        <v>6117</v>
        <stp/>
        <stp>VOLUME</stp>
        <stp>.QQQ251111P605</stp>
        <tr r="C70" s="2"/>
        <tr r="C70" s="2"/>
      </tp>
      <tp>
        <v>1558</v>
        <stp/>
        <stp>VOLUME</stp>
        <stp>.QQQ251112P606</stp>
        <tr r="D69" s="2"/>
        <tr r="D69" s="2"/>
      </tp>
      <tp>
        <v>665</v>
        <stp/>
        <stp>VOLUME</stp>
        <stp>.QQQ251113P607</stp>
        <tr r="E68" s="2"/>
        <tr r="E68" s="2"/>
      </tp>
      <tp>
        <v>29960</v>
        <stp/>
        <stp>VOLUME</stp>
        <stp>.QQQ251114P600</stp>
        <tr r="S74" s="1"/>
        <tr r="S74" s="1"/>
      </tp>
      <tp>
        <v>25819</v>
        <stp/>
        <stp>VOLUME</stp>
        <stp>.QQQ251110C604</stp>
        <tr r="B71" s="2"/>
        <tr r="B71" s="2"/>
        <tr r="P70" s="1"/>
        <tr r="P70" s="1"/>
      </tp>
      <tp>
        <v>8947</v>
        <stp/>
        <stp>VOLUME</stp>
        <stp>.QQQ251111C605</stp>
        <tr r="C70" s="2"/>
        <tr r="C70" s="2"/>
      </tp>
      <tp>
        <v>2205</v>
        <stp/>
        <stp>VOLUME</stp>
        <stp>.QQQ251112C606</stp>
        <tr r="D69" s="2"/>
        <tr r="D69" s="2"/>
      </tp>
      <tp>
        <v>1485</v>
        <stp/>
        <stp>VOLUME</stp>
        <stp>.QQQ251113C607</stp>
        <tr r="E68" s="2"/>
        <tr r="E68" s="2"/>
      </tp>
      <tp>
        <v>6013</v>
        <stp/>
        <stp>VOLUME</stp>
        <stp>.QQQ251114C600</stp>
        <tr r="R74" s="1"/>
        <tr r="R74" s="1"/>
      </tp>
      <tp t="s">
        <v>N/A</v>
        <stp/>
        <stp>VOLUME</stp>
        <stp>.QQQ260130C627</stp>
        <tr r="M48" s="2"/>
      </tp>
      <tp>
        <v>40</v>
        <stp/>
        <stp>VOLUME</stp>
        <stp>.QQQ260130P626</stp>
        <tr r="M49" s="2"/>
        <tr r="M49" s="2"/>
      </tp>
      <tp>
        <v>27668</v>
        <stp/>
        <stp>VOLUME</stp>
        <stp>.QQQ251110P605</stp>
        <tr r="B70" s="2"/>
        <tr r="B70" s="2"/>
        <tr r="Q69" s="1"/>
        <tr r="Q69" s="1"/>
      </tp>
      <tp>
        <v>3001</v>
        <stp/>
        <stp>VOLUME</stp>
        <stp>.QQQ251111P604</stp>
        <tr r="C71" s="2"/>
        <tr r="C71" s="2"/>
      </tp>
      <tp>
        <v>1987</v>
        <stp/>
        <stp>VOLUME</stp>
        <stp>.QQQ251112P607</stp>
        <tr r="D68" s="2"/>
        <tr r="D68" s="2"/>
      </tp>
      <tp>
        <v>624</v>
        <stp/>
        <stp>VOLUME</stp>
        <stp>.QQQ251113P606</stp>
        <tr r="E69" s="2"/>
        <tr r="E69" s="2"/>
      </tp>
      <tp>
        <v>2246</v>
        <stp/>
        <stp>VOLUME</stp>
        <stp>.QQQ251114P601</stp>
        <tr r="S73" s="1"/>
        <tr r="S73" s="1"/>
      </tp>
      <tp>
        <v>50804</v>
        <stp/>
        <stp>VOLUME</stp>
        <stp>.QQQ251110C605</stp>
        <tr r="B70" s="2"/>
        <tr r="B70" s="2"/>
        <tr r="P69" s="1"/>
        <tr r="P69" s="1"/>
      </tp>
      <tp>
        <v>5954</v>
        <stp/>
        <stp>VOLUME</stp>
        <stp>.QQQ251111C604</stp>
        <tr r="C71" s="2"/>
        <tr r="C71" s="2"/>
      </tp>
      <tp>
        <v>2509</v>
        <stp/>
        <stp>VOLUME</stp>
        <stp>.QQQ251112C607</stp>
        <tr r="D68" s="2"/>
        <tr r="D68" s="2"/>
      </tp>
      <tp>
        <v>787</v>
        <stp/>
        <stp>VOLUME</stp>
        <stp>.QQQ251113C606</stp>
        <tr r="E69" s="2"/>
        <tr r="E69" s="2"/>
      </tp>
      <tp>
        <v>3278</v>
        <stp/>
        <stp>VOLUME</stp>
        <stp>.QQQ251114C601</stp>
        <tr r="R73" s="1"/>
        <tr r="R73" s="1"/>
      </tp>
      <tp>
        <v>2</v>
        <stp/>
        <stp>VOLUME</stp>
        <stp>.QQQ260130C626</stp>
        <tr r="M49" s="2"/>
        <tr r="M49" s="2"/>
      </tp>
      <tp t="s">
        <v>N/A</v>
        <stp/>
        <stp>VOLUME</stp>
        <stp>.QQQ260130P625</stp>
        <tr r="M50" s="2"/>
      </tp>
      <tp>
        <v>16782</v>
        <stp/>
        <stp>VOLUME</stp>
        <stp>.QQQ251110P606</stp>
        <tr r="B69" s="2"/>
        <tr r="B69" s="2"/>
        <tr r="Q68" s="1"/>
        <tr r="Q68" s="1"/>
      </tp>
      <tp>
        <v>2080</v>
        <stp/>
        <stp>VOLUME</stp>
        <stp>.QQQ251111P607</stp>
        <tr r="C68" s="2"/>
        <tr r="C68" s="2"/>
      </tp>
      <tp>
        <v>2908</v>
        <stp/>
        <stp>VOLUME</stp>
        <stp>.QQQ251112P604</stp>
        <tr r="D71" s="2"/>
        <tr r="D71" s="2"/>
      </tp>
      <tp>
        <v>1000</v>
        <stp/>
        <stp>VOLUME</stp>
        <stp>.QQQ251113P605</stp>
        <tr r="E70" s="2"/>
        <tr r="E70" s="2"/>
      </tp>
      <tp>
        <v>3508</v>
        <stp/>
        <stp>VOLUME</stp>
        <stp>.QQQ251114P602</stp>
        <tr r="S72" s="1"/>
        <tr r="S72" s="1"/>
      </tp>
      <tp>
        <v>26543</v>
        <stp/>
        <stp>VOLUME</stp>
        <stp>.QQQ251110C606</stp>
        <tr r="B69" s="2"/>
        <tr r="B69" s="2"/>
        <tr r="P68" s="1"/>
        <tr r="P68" s="1"/>
      </tp>
      <tp>
        <v>4319</v>
        <stp/>
        <stp>VOLUME</stp>
        <stp>.QQQ251111C607</stp>
        <tr r="C68" s="2"/>
        <tr r="C68" s="2"/>
      </tp>
      <tp>
        <v>2507</v>
        <stp/>
        <stp>VOLUME</stp>
        <stp>.QQQ251112C604</stp>
        <tr r="D71" s="2"/>
        <tr r="D71" s="2"/>
      </tp>
      <tp>
        <v>1224</v>
        <stp/>
        <stp>VOLUME</stp>
        <stp>.QQQ251113C605</stp>
        <tr r="E70" s="2"/>
        <tr r="E70" s="2"/>
      </tp>
      <tp>
        <v>2433</v>
        <stp/>
        <stp>VOLUME</stp>
        <stp>.QQQ251114C602</stp>
        <tr r="R72" s="1"/>
        <tr r="R72" s="1"/>
      </tp>
      <tp>
        <v>51</v>
        <stp/>
        <stp>VOLUME</stp>
        <stp>.QQQ260130C625</stp>
        <tr r="M50" s="2"/>
        <tr r="M50" s="2"/>
      </tp>
      <tp t="s">
        <v>N/A</v>
        <stp/>
        <stp>VOLUME</stp>
        <stp>.QQQ260130P624</stp>
        <tr r="M51" s="2"/>
      </tp>
      <tp>
        <v>22183</v>
        <stp/>
        <stp>VOLUME</stp>
        <stp>.QQQ251110P607</stp>
        <tr r="B68" s="2"/>
        <tr r="B68" s="2"/>
        <tr r="Q67" s="1"/>
        <tr r="Q67" s="1"/>
      </tp>
      <tp>
        <v>3769</v>
        <stp/>
        <stp>VOLUME</stp>
        <stp>.QQQ251111P606</stp>
        <tr r="C69" s="2"/>
        <tr r="C69" s="2"/>
      </tp>
      <tp>
        <v>2393</v>
        <stp/>
        <stp>VOLUME</stp>
        <stp>.QQQ251112P605</stp>
        <tr r="D70" s="2"/>
        <tr r="D70" s="2"/>
      </tp>
      <tp>
        <v>576</v>
        <stp/>
        <stp>VOLUME</stp>
        <stp>.QQQ251113P604</stp>
        <tr r="E71" s="2"/>
        <tr r="E71" s="2"/>
      </tp>
      <tp>
        <v>1941</v>
        <stp/>
        <stp>VOLUME</stp>
        <stp>.QQQ251114P603</stp>
        <tr r="S71" s="1"/>
        <tr r="S71" s="1"/>
      </tp>
      <tp>
        <v>23488</v>
        <stp/>
        <stp>VOLUME</stp>
        <stp>.QQQ251110C607</stp>
        <tr r="B68" s="2"/>
        <tr r="B68" s="2"/>
        <tr r="P67" s="1"/>
        <tr r="P67" s="1"/>
      </tp>
      <tp>
        <v>2526</v>
        <stp/>
        <stp>VOLUME</stp>
        <stp>.QQQ251111C606</stp>
        <tr r="C69" s="2"/>
        <tr r="C69" s="2"/>
      </tp>
      <tp>
        <v>3661</v>
        <stp/>
        <stp>VOLUME</stp>
        <stp>.QQQ251112C605</stp>
        <tr r="D70" s="2"/>
        <tr r="D70" s="2"/>
      </tp>
      <tp>
        <v>773</v>
        <stp/>
        <stp>VOLUME</stp>
        <stp>.QQQ251113C604</stp>
        <tr r="E71" s="2"/>
        <tr r="E71" s="2"/>
      </tp>
      <tp>
        <v>1754</v>
        <stp/>
        <stp>VOLUME</stp>
        <stp>.QQQ251114C603</stp>
        <tr r="R71" s="1"/>
        <tr r="R71" s="1"/>
      </tp>
      <tp>
        <v>11</v>
        <stp/>
        <stp>VOLUME</stp>
        <stp>.QQQ260130C624</stp>
        <tr r="M51" s="2"/>
        <tr r="M51" s="2"/>
      </tp>
      <tp>
        <v>1</v>
        <stp/>
        <stp>VOLUME</stp>
        <stp>.QQQ260130P623</stp>
        <tr r="M52" s="2"/>
        <tr r="M52" s="2"/>
      </tp>
      <tp>
        <v>67165</v>
        <stp/>
        <stp>VOLUME</stp>
        <stp>.QQQ251110P600</stp>
        <tr r="B75" s="2"/>
        <tr r="B75" s="2"/>
        <tr r="Q74" s="1"/>
        <tr r="Q74" s="1"/>
      </tp>
      <tp>
        <v>2460</v>
        <stp/>
        <stp>VOLUME</stp>
        <stp>.QQQ251111P601</stp>
        <tr r="C74" s="2"/>
        <tr r="C74" s="2"/>
      </tp>
      <tp>
        <v>2374</v>
        <stp/>
        <stp>VOLUME</stp>
        <stp>.QQQ251112P602</stp>
        <tr r="D73" s="2"/>
        <tr r="D73" s="2"/>
      </tp>
      <tp>
        <v>964</v>
        <stp/>
        <stp>VOLUME</stp>
        <stp>.QQQ251113P603</stp>
        <tr r="E72" s="2"/>
        <tr r="E72" s="2"/>
      </tp>
      <tp>
        <v>3216</v>
        <stp/>
        <stp>VOLUME</stp>
        <stp>.QQQ251114P604</stp>
        <tr r="S70" s="1"/>
        <tr r="S70" s="1"/>
      </tp>
      <tp>
        <v>20519</v>
        <stp/>
        <stp>VOLUME</stp>
        <stp>.QQQ251110C600</stp>
        <tr r="B75" s="2"/>
        <tr r="B75" s="2"/>
        <tr r="P74" s="1"/>
        <tr r="P74" s="1"/>
      </tp>
      <tp>
        <v>1753</v>
        <stp/>
        <stp>VOLUME</stp>
        <stp>.QQQ251111C601</stp>
        <tr r="C74" s="2"/>
        <tr r="C74" s="2"/>
      </tp>
      <tp>
        <v>1882</v>
        <stp/>
        <stp>VOLUME</stp>
        <stp>.QQQ251112C602</stp>
        <tr r="D73" s="2"/>
        <tr r="D73" s="2"/>
      </tp>
      <tp>
        <v>388</v>
        <stp/>
        <stp>VOLUME</stp>
        <stp>.QQQ251113C603</stp>
        <tr r="E72" s="2"/>
        <tr r="E72" s="2"/>
      </tp>
      <tp>
        <v>2609</v>
        <stp/>
        <stp>VOLUME</stp>
        <stp>.QQQ251114C604</stp>
        <tr r="R70" s="1"/>
        <tr r="R70" s="1"/>
      </tp>
      <tp>
        <v>36</v>
        <stp/>
        <stp>VOLUME</stp>
        <stp>.QQQ260130C623</stp>
        <tr r="M52" s="2"/>
        <tr r="M52" s="2"/>
      </tp>
      <tp>
        <v>12</v>
        <stp/>
        <stp>VOLUME</stp>
        <stp>.QQQ260130P622</stp>
        <tr r="M53" s="2"/>
        <tr r="M53" s="2"/>
      </tp>
      <tp>
        <v>25357</v>
        <stp/>
        <stp>VOLUME</stp>
        <stp>.QQQ251110P601</stp>
        <tr r="B74" s="2"/>
        <tr r="B74" s="2"/>
        <tr r="Q73" s="1"/>
        <tr r="Q73" s="1"/>
      </tp>
      <tp>
        <v>18386</v>
        <stp/>
        <stp>VOLUME</stp>
        <stp>.QQQ251111P600</stp>
        <tr r="C75" s="2"/>
        <tr r="C75" s="2"/>
      </tp>
      <tp>
        <v>2709</v>
        <stp/>
        <stp>VOLUME</stp>
        <stp>.QQQ251112P603</stp>
        <tr r="D72" s="2"/>
        <tr r="D72" s="2"/>
      </tp>
      <tp>
        <v>452</v>
        <stp/>
        <stp>VOLUME</stp>
        <stp>.QQQ251113P602</stp>
        <tr r="E73" s="2"/>
        <tr r="E73" s="2"/>
      </tp>
      <tp>
        <v>39168</v>
        <stp/>
        <stp>VOLUME</stp>
        <stp>.QQQ251114P605</stp>
        <tr r="S69" s="1"/>
        <tr r="S69" s="1"/>
      </tp>
      <tp>
        <v>14595</v>
        <stp/>
        <stp>VOLUME</stp>
        <stp>.QQQ251110C601</stp>
        <tr r="B74" s="2"/>
        <tr r="B74" s="2"/>
        <tr r="P73" s="1"/>
        <tr r="P73" s="1"/>
      </tp>
      <tp>
        <v>1692</v>
        <stp/>
        <stp>VOLUME</stp>
        <stp>.QQQ251111C600</stp>
        <tr r="C75" s="2"/>
        <tr r="C75" s="2"/>
      </tp>
      <tp>
        <v>1717</v>
        <stp/>
        <stp>VOLUME</stp>
        <stp>.QQQ251112C603</stp>
        <tr r="D72" s="2"/>
        <tr r="D72" s="2"/>
      </tp>
      <tp>
        <v>631</v>
        <stp/>
        <stp>VOLUME</stp>
        <stp>.QQQ251113C602</stp>
        <tr r="E73" s="2"/>
        <tr r="E73" s="2"/>
      </tp>
      <tp>
        <v>9850</v>
        <stp/>
        <stp>VOLUME</stp>
        <stp>.QQQ251114C605</stp>
        <tr r="R69" s="1"/>
        <tr r="R69" s="1"/>
      </tp>
      <tp>
        <v>1</v>
        <stp/>
        <stp>VOLUME</stp>
        <stp>.QQQ260130C622</stp>
        <tr r="M53" s="2"/>
        <tr r="M53" s="2"/>
      </tp>
      <tp t="s">
        <v>N/A</v>
        <stp/>
        <stp>VOLUME</stp>
        <stp>.QQQ260109P618</stp>
        <tr r="L57" s="2"/>
      </tp>
      <tp>
        <v>9</v>
        <stp/>
        <stp>VOLUME</stp>
        <stp>.QQQ260130P621</stp>
        <tr r="M54" s="2"/>
        <tr r="M54" s="2"/>
      </tp>
      <tp>
        <v>26344</v>
        <stp/>
        <stp>VOLUME</stp>
        <stp>.QQQ251110P602</stp>
        <tr r="B73" s="2"/>
        <tr r="B73" s="2"/>
        <tr r="Q72" s="1"/>
        <tr r="Q72" s="1"/>
      </tp>
      <tp>
        <v>1909</v>
        <stp/>
        <stp>VOLUME</stp>
        <stp>.QQQ251111P603</stp>
        <tr r="C72" s="2"/>
        <tr r="C72" s="2"/>
      </tp>
      <tp>
        <v>10712</v>
        <stp/>
        <stp>VOLUME</stp>
        <stp>.QQQ251112P600</stp>
        <tr r="D75" s="2"/>
        <tr r="D75" s="2"/>
      </tp>
      <tp>
        <v>619</v>
        <stp/>
        <stp>VOLUME</stp>
        <stp>.QQQ251113P601</stp>
        <tr r="E74" s="2"/>
        <tr r="E74" s="2"/>
      </tp>
      <tp>
        <v>2876</v>
        <stp/>
        <stp>VOLUME</stp>
        <stp>.QQQ251114P606</stp>
        <tr r="S68" s="1"/>
        <tr r="S68" s="1"/>
      </tp>
      <tp>
        <v>19459</v>
        <stp/>
        <stp>VOLUME</stp>
        <stp>.QQQ251110C602</stp>
        <tr r="B73" s="2"/>
        <tr r="B73" s="2"/>
        <tr r="P72" s="1"/>
        <tr r="P72" s="1"/>
      </tp>
      <tp>
        <v>2768</v>
        <stp/>
        <stp>VOLUME</stp>
        <stp>.QQQ251111C603</stp>
        <tr r="C72" s="2"/>
        <tr r="C72" s="2"/>
      </tp>
      <tp>
        <v>2325</v>
        <stp/>
        <stp>VOLUME</stp>
        <stp>.QQQ251112C600</stp>
        <tr r="D75" s="2"/>
        <tr r="D75" s="2"/>
      </tp>
      <tp>
        <v>273</v>
        <stp/>
        <stp>VOLUME</stp>
        <stp>.QQQ251113C601</stp>
        <tr r="E74" s="2"/>
        <tr r="E74" s="2"/>
      </tp>
      <tp>
        <v>2797</v>
        <stp/>
        <stp>VOLUME</stp>
        <stp>.QQQ251114C606</stp>
        <tr r="R68" s="1"/>
        <tr r="R68" s="1"/>
      </tp>
      <tp t="s">
        <v>N/A</v>
        <stp/>
        <stp>VOLUME</stp>
        <stp>.QQQ260109C618</stp>
        <tr r="L57" s="2"/>
      </tp>
      <tp>
        <v>1</v>
        <stp/>
        <stp>VOLUME</stp>
        <stp>.QQQ260130C621</stp>
        <tr r="M54" s="2"/>
        <tr r="M54" s="2"/>
      </tp>
      <tp t="s">
        <v>N/A</v>
        <stp/>
        <stp>VOLUME</stp>
        <stp>.QQQ260109P619</stp>
        <tr r="L56" s="2"/>
      </tp>
      <tp>
        <v>13</v>
        <stp/>
        <stp>VOLUME</stp>
        <stp>.QQQ260130P620</stp>
        <tr r="M55" s="2"/>
        <tr r="M55" s="2"/>
      </tp>
      <tp>
        <v>21121</v>
        <stp/>
        <stp>VOLUME</stp>
        <stp>.QQQ251110P603</stp>
        <tr r="B72" s="2"/>
        <tr r="B72" s="2"/>
        <tr r="Q71" s="1"/>
        <tr r="Q71" s="1"/>
      </tp>
      <tp>
        <v>4886</v>
        <stp/>
        <stp>VOLUME</stp>
        <stp>.QQQ251111P602</stp>
        <tr r="C73" s="2"/>
        <tr r="C73" s="2"/>
      </tp>
      <tp>
        <v>2677</v>
        <stp/>
        <stp>VOLUME</stp>
        <stp>.QQQ251112P601</stp>
        <tr r="D74" s="2"/>
        <tr r="D74" s="2"/>
      </tp>
      <tp>
        <v>1452</v>
        <stp/>
        <stp>VOLUME</stp>
        <stp>.QQQ251113P600</stp>
        <tr r="E75" s="2"/>
        <tr r="E75" s="2"/>
      </tp>
      <tp>
        <v>2019</v>
        <stp/>
        <stp>VOLUME</stp>
        <stp>.QQQ251114P607</stp>
        <tr r="S67" s="1"/>
        <tr r="S67" s="1"/>
      </tp>
      <tp>
        <v>23745</v>
        <stp/>
        <stp>VOLUME</stp>
        <stp>.QQQ251110C603</stp>
        <tr r="B72" s="2"/>
        <tr r="B72" s="2"/>
        <tr r="P71" s="1"/>
        <tr r="P71" s="1"/>
      </tp>
      <tp>
        <v>1941</v>
        <stp/>
        <stp>VOLUME</stp>
        <stp>.QQQ251111C602</stp>
        <tr r="C73" s="2"/>
        <tr r="C73" s="2"/>
      </tp>
      <tp>
        <v>2809</v>
        <stp/>
        <stp>VOLUME</stp>
        <stp>.QQQ251112C601</stp>
        <tr r="D74" s="2"/>
        <tr r="D74" s="2"/>
      </tp>
      <tp>
        <v>1489</v>
        <stp/>
        <stp>VOLUME</stp>
        <stp>.QQQ251113C600</stp>
        <tr r="E75" s="2"/>
        <tr r="E75" s="2"/>
      </tp>
      <tp>
        <v>4619</v>
        <stp/>
        <stp>VOLUME</stp>
        <stp>.QQQ251114C607</stp>
        <tr r="R67" s="1"/>
        <tr r="R67" s="1"/>
      </tp>
      <tp t="s">
        <v>N/A</v>
        <stp/>
        <stp>VOLUME</stp>
        <stp>.QQQ260109C619</stp>
        <tr r="L56" s="2"/>
      </tp>
      <tp>
        <v>59</v>
        <stp/>
        <stp>VOLUME</stp>
        <stp>.QQQ260130C620</stp>
        <tr r="M55" s="2"/>
        <tr r="M55" s="2"/>
      </tp>
      <tp t="s">
        <v>N/A</v>
        <stp/>
        <stp>VOLUME</stp>
        <stp>.QQQ260109P616</stp>
        <tr r="L59" s="2"/>
      </tp>
      <tp>
        <v>3224</v>
        <stp/>
        <stp>VOLUME</stp>
        <stp>.QQQ251114P608</stp>
        <tr r="S66" s="1"/>
        <tr r="S66" s="1"/>
      </tp>
      <tp>
        <v>4950</v>
        <stp/>
        <stp>VOLUME</stp>
        <stp>.QQQ251114C608</stp>
        <tr r="R66" s="1"/>
        <tr r="R66" s="1"/>
      </tp>
      <tp t="s">
        <v>N/A</v>
        <stp/>
        <stp>VOLUME</stp>
        <stp>.QQQ260109C616</stp>
        <tr r="L59" s="2"/>
      </tp>
      <tp t="s">
        <v>N/A</v>
        <stp/>
        <stp>VOLUME</stp>
        <stp>.QQQ260109P617</stp>
        <tr r="L58" s="2"/>
      </tp>
      <tp>
        <v>709</v>
        <stp/>
        <stp>VOLUME</stp>
        <stp>.QQQ251114P609</stp>
        <tr r="S65" s="1"/>
        <tr r="S65" s="1"/>
      </tp>
      <tp>
        <v>4255</v>
        <stp/>
        <stp>VOLUME</stp>
        <stp>.QQQ251114C609</stp>
        <tr r="R65" s="1"/>
        <tr r="R65" s="1"/>
      </tp>
      <tp t="s">
        <v>N/A</v>
        <stp/>
        <stp>VOLUME</stp>
        <stp>.QQQ260109C617</stp>
        <tr r="L58" s="2"/>
      </tp>
      <tp t="s">
        <v>N/A</v>
        <stp/>
        <stp>VOLUME</stp>
        <stp>.QQQ260109P614</stp>
        <tr r="L61" s="2"/>
      </tp>
      <tp t="s">
        <v>N/A</v>
        <stp/>
        <stp>VOLUME</stp>
        <stp>.QQQ260109C614</stp>
        <tr r="L61" s="2"/>
      </tp>
      <tp t="s">
        <v>N/A</v>
        <stp/>
        <stp>VOLUME</stp>
        <stp>.QQQ260109P615</stp>
        <tr r="L60" s="2"/>
      </tp>
      <tp t="s">
        <v>N/A</v>
        <stp/>
        <stp>VOLUME</stp>
        <stp>.QQQ260109C615</stp>
        <tr r="L60" s="2"/>
      </tp>
      <tp t="s">
        <v>N/A</v>
        <stp/>
        <stp>VOLUME</stp>
        <stp>.QQQ260109P612</stp>
        <tr r="L63" s="2"/>
      </tp>
      <tp>
        <v>21641</v>
        <stp/>
        <stp>VOLUME</stp>
        <stp>.QQQ251110P608</stp>
        <tr r="B67" s="2"/>
        <tr r="B67" s="2"/>
        <tr r="Q66" s="1"/>
        <tr r="Q66" s="1"/>
      </tp>
      <tp>
        <v>853</v>
        <stp/>
        <stp>VOLUME</stp>
        <stp>.QQQ251111P609</stp>
        <tr r="C66" s="2"/>
        <tr r="C66" s="2"/>
      </tp>
      <tp>
        <v>32463</v>
        <stp/>
        <stp>VOLUME</stp>
        <stp>.QQQ251110C608</stp>
        <tr r="B67" s="2"/>
        <tr r="B67" s="2"/>
        <tr r="P66" s="1"/>
        <tr r="P66" s="1"/>
      </tp>
      <tp>
        <v>1964</v>
        <stp/>
        <stp>VOLUME</stp>
        <stp>.QQQ251111C609</stp>
        <tr r="C66" s="2"/>
        <tr r="C66" s="2"/>
      </tp>
      <tp t="s">
        <v>N/A</v>
        <stp/>
        <stp>VOLUME</stp>
        <stp>.QQQ260109C612</stp>
        <tr r="L63" s="2"/>
      </tp>
      <tp t="s">
        <v>N/A</v>
        <stp/>
        <stp>VOLUME</stp>
        <stp>.QQQ260109P613</stp>
        <tr r="L62" s="2"/>
      </tp>
      <tp>
        <v>11865</v>
        <stp/>
        <stp>VOLUME</stp>
        <stp>.QQQ251110P609</stp>
        <tr r="B66" s="2"/>
        <tr r="B66" s="2"/>
        <tr r="Q65" s="1"/>
        <tr r="Q65" s="1"/>
      </tp>
      <tp>
        <v>1547</v>
        <stp/>
        <stp>VOLUME</stp>
        <stp>.QQQ251111P608</stp>
        <tr r="C67" s="2"/>
        <tr r="C67" s="2"/>
      </tp>
      <tp>
        <v>23977</v>
        <stp/>
        <stp>VOLUME</stp>
        <stp>.QQQ251110C609</stp>
        <tr r="B66" s="2"/>
        <tr r="B66" s="2"/>
        <tr r="P65" s="1"/>
        <tr r="P65" s="1"/>
      </tp>
      <tp>
        <v>5202</v>
        <stp/>
        <stp>VOLUME</stp>
        <stp>.QQQ251111C608</stp>
        <tr r="C67" s="2"/>
        <tr r="C67" s="2"/>
      </tp>
      <tp t="s">
        <v>N/A</v>
        <stp/>
        <stp>VOLUME</stp>
        <stp>.QQQ260109C613</stp>
        <tr r="L62" s="2"/>
      </tp>
      <tp t="s">
        <v>N/A</v>
        <stp/>
        <stp>VOLUME</stp>
        <stp>.QQQ260109P610</stp>
        <tr r="L65" s="2"/>
      </tp>
      <tp>
        <v>2</v>
        <stp/>
        <stp>VOLUME</stp>
        <stp>.QQQ260130P629</stp>
        <tr r="M46" s="2"/>
        <tr r="M46" s="2"/>
      </tp>
      <tp>
        <v>1946</v>
        <stp/>
        <stp>VOLUME</stp>
        <stp>.QQQ251112P608</stp>
        <tr r="D67" s="2"/>
        <tr r="D67" s="2"/>
      </tp>
      <tp>
        <v>159</v>
        <stp/>
        <stp>VOLUME</stp>
        <stp>.QQQ251113P609</stp>
        <tr r="E66" s="2"/>
        <tr r="E66" s="2"/>
      </tp>
      <tp>
        <v>3018</v>
        <stp/>
        <stp>VOLUME</stp>
        <stp>.QQQ251112C608</stp>
        <tr r="D67" s="2"/>
        <tr r="D67" s="2"/>
      </tp>
      <tp>
        <v>328</v>
        <stp/>
        <stp>VOLUME</stp>
        <stp>.QQQ251113C609</stp>
        <tr r="E66" s="2"/>
        <tr r="E66" s="2"/>
      </tp>
      <tp t="s">
        <v>N/A</v>
        <stp/>
        <stp>VOLUME</stp>
        <stp>.QQQ260109C610</stp>
        <tr r="L65" s="2"/>
      </tp>
      <tp>
        <v>1</v>
        <stp/>
        <stp>VOLUME</stp>
        <stp>.QQQ260130C629</stp>
        <tr r="M46" s="2"/>
        <tr r="M46" s="2"/>
      </tp>
      <tp t="s">
        <v>N/A</v>
        <stp/>
        <stp>VOLUME</stp>
        <stp>.QQQ260109P611</stp>
        <tr r="L64" s="2"/>
      </tp>
      <tp>
        <v>2</v>
        <stp/>
        <stp>VOLUME</stp>
        <stp>.QQQ260130P628</stp>
        <tr r="M47" s="2"/>
        <tr r="M47" s="2"/>
      </tp>
      <tp>
        <v>979</v>
        <stp/>
        <stp>VOLUME</stp>
        <stp>.QQQ251112P609</stp>
        <tr r="D66" s="2"/>
        <tr r="D66" s="2"/>
      </tp>
      <tp>
        <v>374</v>
        <stp/>
        <stp>VOLUME</stp>
        <stp>.QQQ251113P608</stp>
        <tr r="E67" s="2"/>
        <tr r="E67" s="2"/>
      </tp>
      <tp>
        <v>2946</v>
        <stp/>
        <stp>VOLUME</stp>
        <stp>.QQQ251112C609</stp>
        <tr r="D66" s="2"/>
        <tr r="D66" s="2"/>
      </tp>
      <tp>
        <v>540</v>
        <stp/>
        <stp>VOLUME</stp>
        <stp>.QQQ251113C608</stp>
        <tr r="E67" s="2"/>
        <tr r="E67" s="2"/>
      </tp>
      <tp t="s">
        <v>N/A</v>
        <stp/>
        <stp>VOLUME</stp>
        <stp>.QQQ260109C611</stp>
        <tr r="L64" s="2"/>
      </tp>
      <tp>
        <v>3</v>
        <stp/>
        <stp>VOLUME</stp>
        <stp>.QQQ260130C628</stp>
        <tr r="M47" s="2"/>
        <tr r="M47" s="2"/>
      </tp>
      <tp>
        <v>1183</v>
        <stp/>
        <stp>VOLUME</stp>
        <stp>.QQQ251110P614</stp>
        <tr r="B61" s="2"/>
        <tr r="B61" s="2"/>
        <tr r="Q60" s="1"/>
        <tr r="Q60" s="1"/>
      </tp>
      <tp>
        <v>356</v>
        <stp/>
        <stp>VOLUME</stp>
        <stp>.QQQ251111P615</stp>
        <tr r="C60" s="2"/>
        <tr r="C60" s="2"/>
      </tp>
      <tp>
        <v>213</v>
        <stp/>
        <stp>VOLUME</stp>
        <stp>.QQQ251112P616</stp>
        <tr r="D59" s="2"/>
        <tr r="D59" s="2"/>
      </tp>
      <tp>
        <v>30</v>
        <stp/>
        <stp>VOLUME</stp>
        <stp>.QQQ251113P617</stp>
        <tr r="E58" s="2"/>
        <tr r="E58" s="2"/>
      </tp>
      <tp>
        <v>33995</v>
        <stp/>
        <stp>VOLUME</stp>
        <stp>.QQQ251114P610</stp>
        <tr r="S64" s="1"/>
        <tr r="S64" s="1"/>
      </tp>
      <tp>
        <v>817</v>
        <stp/>
        <stp>VOLUME</stp>
        <stp>.QQQ251121P625</stp>
        <tr r="U49" s="1"/>
        <tr r="U49" s="1"/>
      </tp>
      <tp>
        <v>29389</v>
        <stp/>
        <stp>VOLUME</stp>
        <stp>.QQQ251110C614</stp>
        <tr r="B61" s="2"/>
        <tr r="B61" s="2"/>
        <tr r="P60" s="1"/>
        <tr r="P60" s="1"/>
      </tp>
      <tp>
        <v>3104</v>
        <stp/>
        <stp>VOLUME</stp>
        <stp>.QQQ251111C615</stp>
        <tr r="C60" s="2"/>
        <tr r="C60" s="2"/>
      </tp>
      <tp>
        <v>1198</v>
        <stp/>
        <stp>VOLUME</stp>
        <stp>.QQQ251112C616</stp>
        <tr r="D59" s="2"/>
        <tr r="D59" s="2"/>
      </tp>
      <tp>
        <v>613</v>
        <stp/>
        <stp>VOLUME</stp>
        <stp>.QQQ251113C617</stp>
        <tr r="E58" s="2"/>
        <tr r="E58" s="2"/>
      </tp>
      <tp>
        <v>11323</v>
        <stp/>
        <stp>VOLUME</stp>
        <stp>.QQQ251114C610</stp>
        <tr r="R64" s="1"/>
        <tr r="R64" s="1"/>
      </tp>
      <tp>
        <v>8539</v>
        <stp/>
        <stp>VOLUME</stp>
        <stp>.QQQ251121C625</stp>
        <tr r="T49" s="1"/>
        <tr r="T49" s="1"/>
      </tp>
      <tp>
        <v>1690</v>
        <stp/>
        <stp>VOLUME</stp>
        <stp>.QQQ251110P615</stp>
        <tr r="B60" s="2"/>
        <tr r="B60" s="2"/>
        <tr r="Q59" s="1"/>
        <tr r="Q59" s="1"/>
      </tp>
      <tp>
        <v>558</v>
        <stp/>
        <stp>VOLUME</stp>
        <stp>.QQQ251111P614</stp>
        <tr r="C61" s="2"/>
        <tr r="C61" s="2"/>
      </tp>
      <tp>
        <v>601</v>
        <stp/>
        <stp>VOLUME</stp>
        <stp>.QQQ251112P617</stp>
        <tr r="D58" s="2"/>
        <tr r="D58" s="2"/>
      </tp>
      <tp>
        <v>55</v>
        <stp/>
        <stp>VOLUME</stp>
        <stp>.QQQ251113P616</stp>
        <tr r="E59" s="2"/>
        <tr r="E59" s="2"/>
      </tp>
      <tp>
        <v>385</v>
        <stp/>
        <stp>VOLUME</stp>
        <stp>.QQQ251114P611</stp>
        <tr r="S63" s="1"/>
        <tr r="S63" s="1"/>
      </tp>
      <tp>
        <v>1087</v>
        <stp/>
        <stp>VOLUME</stp>
        <stp>.QQQ251121P624</stp>
        <tr r="U50" s="1"/>
        <tr r="U50" s="1"/>
      </tp>
      <tp>
        <v>31315</v>
        <stp/>
        <stp>VOLUME</stp>
        <stp>.QQQ251110C615</stp>
        <tr r="B60" s="2"/>
        <tr r="B60" s="2"/>
        <tr r="P59" s="1"/>
        <tr r="P59" s="1"/>
      </tp>
      <tp>
        <v>1528</v>
        <stp/>
        <stp>VOLUME</stp>
        <stp>.QQQ251111C614</stp>
        <tr r="C61" s="2"/>
        <tr r="C61" s="2"/>
      </tp>
      <tp>
        <v>821</v>
        <stp/>
        <stp>VOLUME</stp>
        <stp>.QQQ251112C617</stp>
        <tr r="D58" s="2"/>
        <tr r="D58" s="2"/>
      </tp>
      <tp>
        <v>152</v>
        <stp/>
        <stp>VOLUME</stp>
        <stp>.QQQ251113C616</stp>
        <tr r="E59" s="2"/>
        <tr r="E59" s="2"/>
      </tp>
      <tp>
        <v>3287</v>
        <stp/>
        <stp>VOLUME</stp>
        <stp>.QQQ251114C611</stp>
        <tr r="R63" s="1"/>
        <tr r="R63" s="1"/>
      </tp>
      <tp>
        <v>892</v>
        <stp/>
        <stp>VOLUME</stp>
        <stp>.QQQ251121C624</stp>
        <tr r="T50" s="1"/>
        <tr r="T50" s="1"/>
      </tp>
      <tp>
        <v>734</v>
        <stp/>
        <stp>VOLUME</stp>
        <stp>.QQQ251110P616</stp>
        <tr r="B59" s="2"/>
        <tr r="B59" s="2"/>
        <tr r="Q58" s="1"/>
        <tr r="Q58" s="1"/>
      </tp>
      <tp>
        <v>89</v>
        <stp/>
        <stp>VOLUME</stp>
        <stp>.QQQ251111P617</stp>
        <tr r="C58" s="2"/>
        <tr r="C58" s="2"/>
      </tp>
      <tp>
        <v>130</v>
        <stp/>
        <stp>VOLUME</stp>
        <stp>.QQQ251112P614</stp>
        <tr r="D61" s="2"/>
        <tr r="D61" s="2"/>
      </tp>
      <tp>
        <v>139</v>
        <stp/>
        <stp>VOLUME</stp>
        <stp>.QQQ251113P615</stp>
        <tr r="E60" s="2"/>
        <tr r="E60" s="2"/>
      </tp>
      <tp>
        <v>750</v>
        <stp/>
        <stp>VOLUME</stp>
        <stp>.QQQ251114P612</stp>
        <tr r="S62" s="1"/>
        <tr r="S62" s="1"/>
      </tp>
      <tp>
        <v>129</v>
        <stp/>
        <stp>VOLUME</stp>
        <stp>.QQQ251121P627</stp>
        <tr r="U47" s="1"/>
        <tr r="U47" s="1"/>
      </tp>
      <tp>
        <v>6588</v>
        <stp/>
        <stp>VOLUME</stp>
        <stp>.QQQ251110C616</stp>
        <tr r="B59" s="2"/>
        <tr r="B59" s="2"/>
        <tr r="P58" s="1"/>
        <tr r="P58" s="1"/>
      </tp>
      <tp>
        <v>1606</v>
        <stp/>
        <stp>VOLUME</stp>
        <stp>.QQQ251111C617</stp>
        <tr r="C58" s="2"/>
        <tr r="C58" s="2"/>
      </tp>
      <tp>
        <v>1438</v>
        <stp/>
        <stp>VOLUME</stp>
        <stp>.QQQ251112C614</stp>
        <tr r="D61" s="2"/>
        <tr r="D61" s="2"/>
      </tp>
      <tp>
        <v>1253</v>
        <stp/>
        <stp>VOLUME</stp>
        <stp>.QQQ251113C615</stp>
        <tr r="E60" s="2"/>
        <tr r="E60" s="2"/>
      </tp>
      <tp>
        <v>2899</v>
        <stp/>
        <stp>VOLUME</stp>
        <stp>.QQQ251114C612</stp>
        <tr r="R62" s="1"/>
        <tr r="R62" s="1"/>
      </tp>
      <tp>
        <v>378</v>
        <stp/>
        <stp>VOLUME</stp>
        <stp>.QQQ251121C627</stp>
        <tr r="T47" s="1"/>
        <tr r="T47" s="1"/>
      </tp>
      <tp>
        <v>265</v>
        <stp/>
        <stp>VOLUME</stp>
        <stp>.QQQ251110P617</stp>
        <tr r="B58" s="2"/>
        <tr r="B58" s="2"/>
        <tr r="Q57" s="1"/>
        <tr r="Q57" s="1"/>
      </tp>
      <tp>
        <v>504</v>
        <stp/>
        <stp>VOLUME</stp>
        <stp>.QQQ251111P616</stp>
        <tr r="C59" s="2"/>
        <tr r="C59" s="2"/>
      </tp>
      <tp>
        <v>719</v>
        <stp/>
        <stp>VOLUME</stp>
        <stp>.QQQ251112P615</stp>
        <tr r="D60" s="2"/>
        <tr r="D60" s="2"/>
      </tp>
      <tp>
        <v>164</v>
        <stp/>
        <stp>VOLUME</stp>
        <stp>.QQQ251113P614</stp>
        <tr r="E61" s="2"/>
        <tr r="E61" s="2"/>
      </tp>
      <tp>
        <v>1743</v>
        <stp/>
        <stp>VOLUME</stp>
        <stp>.QQQ251114P613</stp>
        <tr r="S61" s="1"/>
        <tr r="S61" s="1"/>
      </tp>
      <tp>
        <v>104</v>
        <stp/>
        <stp>VOLUME</stp>
        <stp>.QQQ251121P626</stp>
        <tr r="U48" s="1"/>
        <tr r="U48" s="1"/>
      </tp>
      <tp>
        <v>7060</v>
        <stp/>
        <stp>VOLUME</stp>
        <stp>.QQQ251110C617</stp>
        <tr r="B58" s="2"/>
        <tr r="B58" s="2"/>
        <tr r="P57" s="1"/>
        <tr r="P57" s="1"/>
      </tp>
      <tp>
        <v>2008</v>
        <stp/>
        <stp>VOLUME</stp>
        <stp>.QQQ251111C616</stp>
        <tr r="C59" s="2"/>
        <tr r="C59" s="2"/>
      </tp>
      <tp>
        <v>12828</v>
        <stp/>
        <stp>VOLUME</stp>
        <stp>.QQQ251112C615</stp>
        <tr r="D60" s="2"/>
        <tr r="D60" s="2"/>
      </tp>
      <tp>
        <v>270</v>
        <stp/>
        <stp>VOLUME</stp>
        <stp>.QQQ251113C614</stp>
        <tr r="E61" s="2"/>
        <tr r="E61" s="2"/>
      </tp>
      <tp>
        <v>5373</v>
        <stp/>
        <stp>VOLUME</stp>
        <stp>.QQQ251114C613</stp>
        <tr r="R61" s="1"/>
        <tr r="R61" s="1"/>
      </tp>
      <tp>
        <v>601</v>
        <stp/>
        <stp>VOLUME</stp>
        <stp>.QQQ251121C626</stp>
        <tr r="T48" s="1"/>
        <tr r="T48" s="1"/>
      </tp>
      <tp>
        <v>11384</v>
        <stp/>
        <stp>VOLUME</stp>
        <stp>.QQQ251110P610</stp>
        <tr r="B65" s="2"/>
        <tr r="B65" s="2"/>
        <tr r="Q64" s="1"/>
        <tr r="Q64" s="1"/>
      </tp>
      <tp>
        <v>333</v>
        <stp/>
        <stp>VOLUME</stp>
        <stp>.QQQ251111P611</stp>
        <tr r="C64" s="2"/>
        <tr r="C64" s="2"/>
      </tp>
      <tp>
        <v>462</v>
        <stp/>
        <stp>VOLUME</stp>
        <stp>.QQQ251112P612</stp>
        <tr r="D63" s="2"/>
        <tr r="D63" s="2"/>
      </tp>
      <tp>
        <v>345</v>
        <stp/>
        <stp>VOLUME</stp>
        <stp>.QQQ251113P613</stp>
        <tr r="E62" s="2"/>
        <tr r="E62" s="2"/>
      </tp>
      <tp>
        <v>386</v>
        <stp/>
        <stp>VOLUME</stp>
        <stp>.QQQ251114P614</stp>
        <tr r="S60" s="1"/>
        <tr r="S60" s="1"/>
      </tp>
      <tp>
        <v>104</v>
        <stp/>
        <stp>VOLUME</stp>
        <stp>.QQQ251121P621</stp>
        <tr r="U53" s="1"/>
        <tr r="U53" s="1"/>
      </tp>
      <tp>
        <v>147</v>
        <stp/>
        <stp>VOLUME</stp>
        <stp>.QQQ251128P628</stp>
        <tr r="H47" s="2"/>
        <tr r="H47" s="2"/>
      </tp>
      <tp>
        <v>63612</v>
        <stp/>
        <stp>VOLUME</stp>
        <stp>.QQQ251110C610</stp>
        <tr r="B65" s="2"/>
        <tr r="B65" s="2"/>
        <tr r="P64" s="1"/>
        <tr r="P64" s="1"/>
      </tp>
      <tp>
        <v>2378</v>
        <stp/>
        <stp>VOLUME</stp>
        <stp>.QQQ251111C611</stp>
        <tr r="C64" s="2"/>
        <tr r="C64" s="2"/>
      </tp>
      <tp>
        <v>3441</v>
        <stp/>
        <stp>VOLUME</stp>
        <stp>.QQQ251112C612</stp>
        <tr r="D63" s="2"/>
        <tr r="D63" s="2"/>
      </tp>
      <tp>
        <v>429</v>
        <stp/>
        <stp>VOLUME</stp>
        <stp>.QQQ251113C613</stp>
        <tr r="E62" s="2"/>
        <tr r="E62" s="2"/>
      </tp>
      <tp>
        <v>1796</v>
        <stp/>
        <stp>VOLUME</stp>
        <stp>.QQQ251114C614</stp>
        <tr r="R60" s="1"/>
        <tr r="R60" s="1"/>
      </tp>
      <tp>
        <v>1145</v>
        <stp/>
        <stp>VOLUME</stp>
        <stp>.QQQ251121C621</stp>
        <tr r="T53" s="1"/>
        <tr r="T53" s="1"/>
      </tp>
      <tp>
        <v>183</v>
        <stp/>
        <stp>VOLUME</stp>
        <stp>.QQQ251128C628</stp>
        <tr r="H47" s="2"/>
        <tr r="H47" s="2"/>
      </tp>
      <tp>
        <v>3043</v>
        <stp/>
        <stp>VOLUME</stp>
        <stp>.QQQ251110P611</stp>
        <tr r="B64" s="2"/>
        <tr r="B64" s="2"/>
        <tr r="Q63" s="1"/>
        <tr r="Q63" s="1"/>
      </tp>
      <tp>
        <v>2084</v>
        <stp/>
        <stp>VOLUME</stp>
        <stp>.QQQ251111P610</stp>
        <tr r="C65" s="2"/>
        <tr r="C65" s="2"/>
      </tp>
      <tp>
        <v>486</v>
        <stp/>
        <stp>VOLUME</stp>
        <stp>.QQQ251112P613</stp>
        <tr r="D62" s="2"/>
        <tr r="D62" s="2"/>
      </tp>
      <tp>
        <v>343</v>
        <stp/>
        <stp>VOLUME</stp>
        <stp>.QQQ251113P612</stp>
        <tr r="E63" s="2"/>
        <tr r="E63" s="2"/>
      </tp>
      <tp>
        <v>3913</v>
        <stp/>
        <stp>VOLUME</stp>
        <stp>.QQQ251114P615</stp>
        <tr r="S59" s="1"/>
        <tr r="S59" s="1"/>
      </tp>
      <tp>
        <v>2026</v>
        <stp/>
        <stp>VOLUME</stp>
        <stp>.QQQ251121P620</stp>
        <tr r="U54" s="1"/>
        <tr r="U54" s="1"/>
      </tp>
      <tp>
        <v>4</v>
        <stp/>
        <stp>VOLUME</stp>
        <stp>.QQQ251128P629</stp>
        <tr r="H46" s="2"/>
        <tr r="H46" s="2"/>
      </tp>
      <tp>
        <v>12427</v>
        <stp/>
        <stp>VOLUME</stp>
        <stp>.QQQ251110C611</stp>
        <tr r="B64" s="2"/>
        <tr r="B64" s="2"/>
        <tr r="P63" s="1"/>
        <tr r="P63" s="1"/>
      </tp>
      <tp>
        <v>10867</v>
        <stp/>
        <stp>VOLUME</stp>
        <stp>.QQQ251111C610</stp>
        <tr r="C65" s="2"/>
        <tr r="C65" s="2"/>
      </tp>
      <tp>
        <v>5913</v>
        <stp/>
        <stp>VOLUME</stp>
        <stp>.QQQ251112C613</stp>
        <tr r="D62" s="2"/>
        <tr r="D62" s="2"/>
      </tp>
      <tp>
        <v>379</v>
        <stp/>
        <stp>VOLUME</stp>
        <stp>.QQQ251113C612</stp>
        <tr r="E63" s="2"/>
        <tr r="E63" s="2"/>
      </tp>
      <tp>
        <v>13405</v>
        <stp/>
        <stp>VOLUME</stp>
        <stp>.QQQ251114C615</stp>
        <tr r="R59" s="1"/>
        <tr r="R59" s="1"/>
      </tp>
      <tp>
        <v>11767</v>
        <stp/>
        <stp>VOLUME</stp>
        <stp>.QQQ251121C620</stp>
        <tr r="T54" s="1"/>
        <tr r="T54" s="1"/>
      </tp>
      <tp>
        <v>149</v>
        <stp/>
        <stp>VOLUME</stp>
        <stp>.QQQ251128C629</stp>
        <tr r="H46" s="2"/>
        <tr r="H46" s="2"/>
      </tp>
      <tp t="s">
        <v>N/A</v>
        <stp/>
        <stp>VOLUME</stp>
        <stp>.QQQ260109P608</stp>
        <tr r="L67" s="2"/>
      </tp>
      <tp>
        <v>2844</v>
        <stp/>
        <stp>VOLUME</stp>
        <stp>.QQQ251110P612</stp>
        <tr r="B63" s="2"/>
        <tr r="B63" s="2"/>
        <tr r="Q62" s="1"/>
        <tr r="Q62" s="1"/>
      </tp>
      <tp>
        <v>258</v>
        <stp/>
        <stp>VOLUME</stp>
        <stp>.QQQ251111P613</stp>
        <tr r="C62" s="2"/>
        <tr r="C62" s="2"/>
      </tp>
      <tp>
        <v>3370</v>
        <stp/>
        <stp>VOLUME</stp>
        <stp>.QQQ251112P610</stp>
        <tr r="D65" s="2"/>
        <tr r="D65" s="2"/>
      </tp>
      <tp>
        <v>639</v>
        <stp/>
        <stp>VOLUME</stp>
        <stp>.QQQ251113P611</stp>
        <tr r="E64" s="2"/>
        <tr r="E64" s="2"/>
      </tp>
      <tp>
        <v>801</v>
        <stp/>
        <stp>VOLUME</stp>
        <stp>.QQQ251114P616</stp>
        <tr r="S58" s="1"/>
        <tr r="S58" s="1"/>
      </tp>
      <tp>
        <v>536</v>
        <stp/>
        <stp>VOLUME</stp>
        <stp>.QQQ251121P623</stp>
        <tr r="U51" s="1"/>
        <tr r="U51" s="1"/>
      </tp>
      <tp>
        <v>19483</v>
        <stp/>
        <stp>VOLUME</stp>
        <stp>.QQQ251110C612</stp>
        <tr r="B63" s="2"/>
        <tr r="B63" s="2"/>
        <tr r="P62" s="1"/>
        <tr r="P62" s="1"/>
      </tp>
      <tp>
        <v>1614</v>
        <stp/>
        <stp>VOLUME</stp>
        <stp>.QQQ251111C613</stp>
        <tr r="C62" s="2"/>
        <tr r="C62" s="2"/>
      </tp>
      <tp>
        <v>24196</v>
        <stp/>
        <stp>VOLUME</stp>
        <stp>.QQQ251112C610</stp>
        <tr r="D65" s="2"/>
        <tr r="D65" s="2"/>
      </tp>
      <tp>
        <v>445</v>
        <stp/>
        <stp>VOLUME</stp>
        <stp>.QQQ251113C611</stp>
        <tr r="E64" s="2"/>
        <tr r="E64" s="2"/>
      </tp>
      <tp>
        <v>1876</v>
        <stp/>
        <stp>VOLUME</stp>
        <stp>.QQQ251114C616</stp>
        <tr r="R58" s="1"/>
        <tr r="R58" s="1"/>
      </tp>
      <tp>
        <v>690</v>
        <stp/>
        <stp>VOLUME</stp>
        <stp>.QQQ251121C623</stp>
        <tr r="T51" s="1"/>
        <tr r="T51" s="1"/>
      </tp>
      <tp t="s">
        <v>N/A</v>
        <stp/>
        <stp>VOLUME</stp>
        <stp>.QQQ260109C608</stp>
        <tr r="L67" s="2"/>
      </tp>
      <tp t="s">
        <v>N/A</v>
        <stp/>
        <stp>VOLUME</stp>
        <stp>.QQQ260109P609</stp>
        <tr r="L66" s="2"/>
      </tp>
      <tp>
        <v>843</v>
        <stp/>
        <stp>VOLUME</stp>
        <stp>.QQQ251110P613</stp>
        <tr r="B62" s="2"/>
        <tr r="B62" s="2"/>
        <tr r="Q61" s="1"/>
        <tr r="Q61" s="1"/>
      </tp>
      <tp>
        <v>627</v>
        <stp/>
        <stp>VOLUME</stp>
        <stp>.QQQ251111P612</stp>
        <tr r="C63" s="2"/>
        <tr r="C63" s="2"/>
      </tp>
      <tp>
        <v>781</v>
        <stp/>
        <stp>VOLUME</stp>
        <stp>.QQQ251112P611</stp>
        <tr r="D64" s="2"/>
        <tr r="D64" s="2"/>
      </tp>
      <tp>
        <v>330</v>
        <stp/>
        <stp>VOLUME</stp>
        <stp>.QQQ251113P610</stp>
        <tr r="E65" s="2"/>
        <tr r="E65" s="2"/>
      </tp>
      <tp>
        <v>734</v>
        <stp/>
        <stp>VOLUME</stp>
        <stp>.QQQ251114P617</stp>
        <tr r="S57" s="1"/>
        <tr r="S57" s="1"/>
      </tp>
      <tp>
        <v>161</v>
        <stp/>
        <stp>VOLUME</stp>
        <stp>.QQQ251121P622</stp>
        <tr r="U52" s="1"/>
        <tr r="U52" s="1"/>
      </tp>
      <tp>
        <v>9578</v>
        <stp/>
        <stp>VOLUME</stp>
        <stp>.QQQ251110C613</stp>
        <tr r="B62" s="2"/>
        <tr r="B62" s="2"/>
        <tr r="P61" s="1"/>
        <tr r="P61" s="1"/>
      </tp>
      <tp>
        <v>1873</v>
        <stp/>
        <stp>VOLUME</stp>
        <stp>.QQQ251111C612</stp>
        <tr r="C63" s="2"/>
        <tr r="C63" s="2"/>
      </tp>
      <tp>
        <v>1739</v>
        <stp/>
        <stp>VOLUME</stp>
        <stp>.QQQ251112C611</stp>
        <tr r="D64" s="2"/>
        <tr r="D64" s="2"/>
      </tp>
      <tp>
        <v>1276</v>
        <stp/>
        <stp>VOLUME</stp>
        <stp>.QQQ251113C610</stp>
        <tr r="E65" s="2"/>
        <tr r="E65" s="2"/>
      </tp>
      <tp>
        <v>1749</v>
        <stp/>
        <stp>VOLUME</stp>
        <stp>.QQQ251114C617</stp>
        <tr r="R57" s="1"/>
        <tr r="R57" s="1"/>
      </tp>
      <tp>
        <v>385</v>
        <stp/>
        <stp>VOLUME</stp>
        <stp>.QQQ251121C622</stp>
        <tr r="T52" s="1"/>
        <tr r="T52" s="1"/>
      </tp>
      <tp t="s">
        <v>N/A</v>
        <stp/>
        <stp>VOLUME</stp>
        <stp>.QQQ260109C609</stp>
        <tr r="L66" s="2"/>
      </tp>
      <tp t="s">
        <v>N/A</v>
        <stp/>
        <stp>VOLUME</stp>
        <stp>.QQQ260109P606</stp>
        <tr r="L69" s="2"/>
      </tp>
      <tp>
        <v>494</v>
        <stp/>
        <stp>VOLUME</stp>
        <stp>.QQQ251114P618</stp>
        <tr r="S56" s="1"/>
        <tr r="S56" s="1"/>
      </tp>
      <tp>
        <v>132</v>
        <stp/>
        <stp>VOLUME</stp>
        <stp>.QQQ251128P624</stp>
        <tr r="H51" s="2"/>
        <tr r="H51" s="2"/>
      </tp>
      <tp>
        <v>2218</v>
        <stp/>
        <stp>VOLUME</stp>
        <stp>.QQQ251114C618</stp>
        <tr r="R56" s="1"/>
        <tr r="R56" s="1"/>
      </tp>
      <tp>
        <v>211</v>
        <stp/>
        <stp>VOLUME</stp>
        <stp>.QQQ251128C624</stp>
        <tr r="H51" s="2"/>
        <tr r="H51" s="2"/>
      </tp>
      <tp t="s">
        <v>N/A</v>
        <stp/>
        <stp>VOLUME</stp>
        <stp>.QQQ260109C606</stp>
        <tr r="L69" s="2"/>
      </tp>
      <tp t="s">
        <v>N/A</v>
        <stp/>
        <stp>VOLUME</stp>
        <stp>.QQQ260109P607</stp>
        <tr r="L68" s="2"/>
      </tp>
      <tp>
        <v>388</v>
        <stp/>
        <stp>VOLUME</stp>
        <stp>.QQQ251114P619</stp>
        <tr r="S55" s="1"/>
        <tr r="S55" s="1"/>
      </tp>
      <tp>
        <v>301</v>
        <stp/>
        <stp>VOLUME</stp>
        <stp>.QQQ251128P625</stp>
        <tr r="H50" s="2"/>
        <tr r="H50" s="2"/>
      </tp>
      <tp>
        <v>1447</v>
        <stp/>
        <stp>VOLUME</stp>
        <stp>.QQQ251114C619</stp>
        <tr r="R55" s="1"/>
        <tr r="R55" s="1"/>
      </tp>
      <tp>
        <v>636</v>
        <stp/>
        <stp>VOLUME</stp>
        <stp>.QQQ251128C625</stp>
        <tr r="H50" s="2"/>
        <tr r="H50" s="2"/>
      </tp>
      <tp t="s">
        <v>N/A</v>
        <stp/>
        <stp>VOLUME</stp>
        <stp>.QQQ260109C607</stp>
        <tr r="L68" s="2"/>
      </tp>
      <tp t="s">
        <v>N/A</v>
        <stp/>
        <stp>VOLUME</stp>
        <stp>.QQQ260109P604</stp>
        <tr r="L71" s="2"/>
      </tp>
      <tp>
        <v>78</v>
        <stp/>
        <stp>VOLUME</stp>
        <stp>.QQQ251128P626</stp>
        <tr r="H49" s="2"/>
        <tr r="H49" s="2"/>
      </tp>
      <tp>
        <v>902</v>
        <stp/>
        <stp>VOLUME</stp>
        <stp>.QQQ251128C626</stp>
        <tr r="H49" s="2"/>
        <tr r="H49" s="2"/>
      </tp>
      <tp t="s">
        <v>N/A</v>
        <stp/>
        <stp>VOLUME</stp>
        <stp>.QQQ260109C604</stp>
        <tr r="L71" s="2"/>
      </tp>
      <tp t="s">
        <v>N/A</v>
        <stp/>
        <stp>VOLUME</stp>
        <stp>.QQQ260109P605</stp>
        <tr r="L70" s="2"/>
      </tp>
      <tp>
        <v>29</v>
        <stp/>
        <stp>VOLUME</stp>
        <stp>.QQQ251128P627</stp>
        <tr r="H48" s="2"/>
        <tr r="H48" s="2"/>
      </tp>
      <tp>
        <v>213</v>
        <stp/>
        <stp>VOLUME</stp>
        <stp>.QQQ251128C627</stp>
        <tr r="H48" s="2"/>
        <tr r="H48" s="2"/>
      </tp>
      <tp t="s">
        <v>N/A</v>
        <stp/>
        <stp>VOLUME</stp>
        <stp>.QQQ260109C605</stp>
        <tr r="L70" s="2"/>
      </tp>
      <tp t="s">
        <v>N/A</v>
        <stp/>
        <stp>VOLUME</stp>
        <stp>.QQQ260109P602</stp>
        <tr r="L73" s="2"/>
      </tp>
      <tp>
        <v>1026</v>
        <stp/>
        <stp>VOLUME</stp>
        <stp>.QQQ251110P618</stp>
        <tr r="B57" s="2"/>
        <tr r="B57" s="2"/>
        <tr r="Q56" s="1"/>
        <tr r="Q56" s="1"/>
      </tp>
      <tp>
        <v>143</v>
        <stp/>
        <stp>VOLUME</stp>
        <stp>.QQQ251111P619</stp>
        <tr r="C56" s="2"/>
        <tr r="C56" s="2"/>
      </tp>
      <tp>
        <v>16</v>
        <stp/>
        <stp>VOLUME</stp>
        <stp>.QQQ251121P629</stp>
        <tr r="U45" s="1"/>
        <tr r="U45" s="1"/>
      </tp>
      <tp>
        <v>1509</v>
        <stp/>
        <stp>VOLUME</stp>
        <stp>.QQQ251128P620</stp>
        <tr r="H55" s="2"/>
        <tr r="H55" s="2"/>
      </tp>
      <tp>
        <v>11416</v>
        <stp/>
        <stp>VOLUME</stp>
        <stp>.QQQ251110C618</stp>
        <tr r="B57" s="2"/>
        <tr r="B57" s="2"/>
        <tr r="P56" s="1"/>
        <tr r="P56" s="1"/>
      </tp>
      <tp>
        <v>989</v>
        <stp/>
        <stp>VOLUME</stp>
        <stp>.QQQ251111C619</stp>
        <tr r="C56" s="2"/>
        <tr r="C56" s="2"/>
      </tp>
      <tp>
        <v>2460</v>
        <stp/>
        <stp>VOLUME</stp>
        <stp>.QQQ251121C629</stp>
        <tr r="T45" s="1"/>
        <tr r="T45" s="1"/>
      </tp>
      <tp>
        <v>2152</v>
        <stp/>
        <stp>VOLUME</stp>
        <stp>.QQQ251128C620</stp>
        <tr r="H55" s="2"/>
        <tr r="H55" s="2"/>
      </tp>
      <tp t="s">
        <v>N/A</v>
        <stp/>
        <stp>VOLUME</stp>
        <stp>.QQQ260109C602</stp>
        <tr r="L73" s="2"/>
      </tp>
      <tp t="s">
        <v>N/A</v>
        <stp/>
        <stp>VOLUME</stp>
        <stp>.QQQ260109P603</stp>
        <tr r="L72" s="2"/>
      </tp>
      <tp>
        <v>390</v>
        <stp/>
        <stp>VOLUME</stp>
        <stp>.QQQ251110P619</stp>
        <tr r="B56" s="2"/>
        <tr r="B56" s="2"/>
        <tr r="Q55" s="1"/>
        <tr r="Q55" s="1"/>
      </tp>
      <tp>
        <v>89</v>
        <stp/>
        <stp>VOLUME</stp>
        <stp>.QQQ251111P618</stp>
        <tr r="C57" s="2"/>
        <tr r="C57" s="2"/>
      </tp>
      <tp>
        <v>142</v>
        <stp/>
        <stp>VOLUME</stp>
        <stp>.QQQ251121P628</stp>
        <tr r="U46" s="1"/>
        <tr r="U46" s="1"/>
      </tp>
      <tp>
        <v>78</v>
        <stp/>
        <stp>VOLUME</stp>
        <stp>.QQQ251128P621</stp>
        <tr r="H54" s="2"/>
        <tr r="H54" s="2"/>
      </tp>
      <tp>
        <v>5020</v>
        <stp/>
        <stp>VOLUME</stp>
        <stp>.QQQ251110C619</stp>
        <tr r="B56" s="2"/>
        <tr r="B56" s="2"/>
        <tr r="P55" s="1"/>
        <tr r="P55" s="1"/>
      </tp>
      <tp>
        <v>5862</v>
        <stp/>
        <stp>VOLUME</stp>
        <stp>.QQQ251111C618</stp>
        <tr r="C57" s="2"/>
        <tr r="C57" s="2"/>
      </tp>
      <tp>
        <v>453</v>
        <stp/>
        <stp>VOLUME</stp>
        <stp>.QQQ251121C628</stp>
        <tr r="T46" s="1"/>
        <tr r="T46" s="1"/>
      </tp>
      <tp>
        <v>136</v>
        <stp/>
        <stp>VOLUME</stp>
        <stp>.QQQ251128C621</stp>
        <tr r="H54" s="2"/>
        <tr r="H54" s="2"/>
      </tp>
      <tp t="s">
        <v>N/A</v>
        <stp/>
        <stp>VOLUME</stp>
        <stp>.QQQ260109C603</stp>
        <tr r="L72" s="2"/>
      </tp>
      <tp t="s">
        <v>N/A</v>
        <stp/>
        <stp>VOLUME</stp>
        <stp>.QQQ260109P600</stp>
        <tr r="L75" s="2"/>
      </tp>
      <tp>
        <v>112</v>
        <stp/>
        <stp>VOLUME</stp>
        <stp>.QQQ251112P618</stp>
        <tr r="D57" s="2"/>
        <tr r="D57" s="2"/>
      </tp>
      <tp>
        <v>69</v>
        <stp/>
        <stp>VOLUME</stp>
        <stp>.QQQ251113P619</stp>
        <tr r="E56" s="2"/>
        <tr r="E56" s="2"/>
      </tp>
      <tp>
        <v>339</v>
        <stp/>
        <stp>VOLUME</stp>
        <stp>.QQQ251128P622</stp>
        <tr r="H53" s="2"/>
        <tr r="H53" s="2"/>
      </tp>
      <tp>
        <v>1231</v>
        <stp/>
        <stp>VOLUME</stp>
        <stp>.QQQ251112C618</stp>
        <tr r="D57" s="2"/>
        <tr r="D57" s="2"/>
      </tp>
      <tp>
        <v>342</v>
        <stp/>
        <stp>VOLUME</stp>
        <stp>.QQQ251113C619</stp>
        <tr r="E56" s="2"/>
        <tr r="E56" s="2"/>
      </tp>
      <tp>
        <v>189</v>
        <stp/>
        <stp>VOLUME</stp>
        <stp>.QQQ251128C622</stp>
        <tr r="H53" s="2"/>
        <tr r="H53" s="2"/>
      </tp>
      <tp t="s">
        <v>N/A</v>
        <stp/>
        <stp>VOLUME</stp>
        <stp>.QQQ260109C600</stp>
        <tr r="L75" s="2"/>
      </tp>
      <tp t="s">
        <v>N/A</v>
        <stp/>
        <stp>VOLUME</stp>
        <stp>.QQQ260109P601</stp>
        <tr r="L74" s="2"/>
      </tp>
      <tp>
        <v>68</v>
        <stp/>
        <stp>VOLUME</stp>
        <stp>.QQQ251112P619</stp>
        <tr r="D56" s="2"/>
        <tr r="D56" s="2"/>
      </tp>
      <tp>
        <v>389</v>
        <stp/>
        <stp>VOLUME</stp>
        <stp>.QQQ251113P618</stp>
        <tr r="E57" s="2"/>
        <tr r="E57" s="2"/>
      </tp>
      <tp>
        <v>44</v>
        <stp/>
        <stp>VOLUME</stp>
        <stp>.QQQ251128P623</stp>
        <tr r="H52" s="2"/>
        <tr r="H52" s="2"/>
      </tp>
      <tp>
        <v>791</v>
        <stp/>
        <stp>VOLUME</stp>
        <stp>.QQQ251112C619</stp>
        <tr r="D56" s="2"/>
        <tr r="D56" s="2"/>
      </tp>
      <tp>
        <v>386</v>
        <stp/>
        <stp>VOLUME</stp>
        <stp>.QQQ251113C618</stp>
        <tr r="E57" s="2"/>
        <tr r="E57" s="2"/>
      </tp>
      <tp>
        <v>69</v>
        <stp/>
        <stp>VOLUME</stp>
        <stp>.QQQ251128C623</stp>
        <tr r="H52" s="2"/>
        <tr r="H52" s="2"/>
      </tp>
      <tp t="s">
        <v>N/A</v>
        <stp/>
        <stp>VOLUME</stp>
        <stp>.QQQ260109C601</stp>
        <tr r="L74" s="2"/>
      </tp>
      <tp>
        <v>25</v>
        <stp/>
        <stp>VOLUME</stp>
        <stp>.QQQ260130P607</stp>
        <tr r="M68" s="2"/>
        <tr r="M68" s="2"/>
      </tp>
      <tp>
        <v>180</v>
        <stp/>
        <stp>VOLUME</stp>
        <stp>.QQQ251110P624</stp>
        <tr r="B51" s="2"/>
        <tr r="B51" s="2"/>
        <tr r="Q50" s="1"/>
        <tr r="Q50" s="1"/>
      </tp>
      <tp>
        <v>184</v>
        <stp/>
        <stp>VOLUME</stp>
        <stp>.QQQ251111P625</stp>
        <tr r="C50" s="2"/>
        <tr r="C50" s="2"/>
      </tp>
      <tp>
        <v>109</v>
        <stp/>
        <stp>VOLUME</stp>
        <stp>.QQQ251112P626</stp>
        <tr r="D49" s="2"/>
        <tr r="D49" s="2"/>
      </tp>
      <tp>
        <v>34</v>
        <stp/>
        <stp>VOLUME</stp>
        <stp>.QQQ251113P627</stp>
        <tr r="E48" s="2"/>
        <tr r="E48" s="2"/>
      </tp>
      <tp>
        <v>1489</v>
        <stp/>
        <stp>VOLUME</stp>
        <stp>.QQQ251114P620</stp>
        <tr r="S54" s="1"/>
        <tr r="S54" s="1"/>
      </tp>
      <tp>
        <v>14440</v>
        <stp/>
        <stp>VOLUME</stp>
        <stp>.QQQ251121P615</stp>
        <tr r="U59" s="1"/>
        <tr r="U59" s="1"/>
      </tp>
      <tp>
        <v>2005</v>
        <stp/>
        <stp>VOLUME</stp>
        <stp>.QQQ251110C624</stp>
        <tr r="B51" s="2"/>
        <tr r="B51" s="2"/>
        <tr r="P50" s="1"/>
        <tr r="P50" s="1"/>
      </tp>
      <tp>
        <v>1453</v>
        <stp/>
        <stp>VOLUME</stp>
        <stp>.QQQ251111C625</stp>
        <tr r="C50" s="2"/>
        <tr r="C50" s="2"/>
      </tp>
      <tp>
        <v>652</v>
        <stp/>
        <stp>VOLUME</stp>
        <stp>.QQQ251112C626</stp>
        <tr r="D49" s="2"/>
        <tr r="D49" s="2"/>
      </tp>
      <tp>
        <v>217</v>
        <stp/>
        <stp>VOLUME</stp>
        <stp>.QQQ251113C627</stp>
        <tr r="E48" s="2"/>
        <tr r="E48" s="2"/>
      </tp>
      <tp>
        <v>14756</v>
        <stp/>
        <stp>VOLUME</stp>
        <stp>.QQQ251114C620</stp>
        <tr r="R54" s="1"/>
        <tr r="R54" s="1"/>
      </tp>
      <tp>
        <v>3208</v>
        <stp/>
        <stp>VOLUME</stp>
        <stp>.QQQ251121C615</stp>
        <tr r="T59" s="1"/>
        <tr r="T59" s="1"/>
      </tp>
      <tp>
        <v>33</v>
        <stp/>
        <stp>VOLUME</stp>
        <stp>.QQQ260130C607</stp>
        <tr r="M68" s="2"/>
        <tr r="M68" s="2"/>
      </tp>
      <tp>
        <v>4</v>
        <stp/>
        <stp>VOLUME</stp>
        <stp>.QQQ260130P606</stp>
        <tr r="M69" s="2"/>
        <tr r="M69" s="2"/>
      </tp>
      <tp>
        <v>258</v>
        <stp/>
        <stp>VOLUME</stp>
        <stp>.QQQ251110P625</stp>
        <tr r="B50" s="2"/>
        <tr r="B50" s="2"/>
        <tr r="Q49" s="1"/>
        <tr r="Q49" s="1"/>
      </tp>
      <tp>
        <v>152</v>
        <stp/>
        <stp>VOLUME</stp>
        <stp>.QQQ251111P624</stp>
        <tr r="C51" s="2"/>
        <tr r="C51" s="2"/>
      </tp>
      <tp>
        <v>87</v>
        <stp/>
        <stp>VOLUME</stp>
        <stp>.QQQ251112P627</stp>
        <tr r="D48" s="2"/>
        <tr r="D48" s="2"/>
      </tp>
      <tp>
        <v>44</v>
        <stp/>
        <stp>VOLUME</stp>
        <stp>.QQQ251113P626</stp>
        <tr r="E49" s="2"/>
        <tr r="E49" s="2"/>
      </tp>
      <tp>
        <v>98</v>
        <stp/>
        <stp>VOLUME</stp>
        <stp>.QQQ251114P621</stp>
        <tr r="S53" s="1"/>
        <tr r="S53" s="1"/>
      </tp>
      <tp>
        <v>288</v>
        <stp/>
        <stp>VOLUME</stp>
        <stp>.QQQ251121P614</stp>
        <tr r="U60" s="1"/>
        <tr r="U60" s="1"/>
      </tp>
      <tp>
        <v>6604</v>
        <stp/>
        <stp>VOLUME</stp>
        <stp>.QQQ251110C625</stp>
        <tr r="B50" s="2"/>
        <tr r="B50" s="2"/>
        <tr r="P49" s="1"/>
        <tr r="P49" s="1"/>
      </tp>
      <tp>
        <v>555</v>
        <stp/>
        <stp>VOLUME</stp>
        <stp>.QQQ251111C624</stp>
        <tr r="C51" s="2"/>
        <tr r="C51" s="2"/>
      </tp>
      <tp>
        <v>267</v>
        <stp/>
        <stp>VOLUME</stp>
        <stp>.QQQ251112C627</stp>
        <tr r="D48" s="2"/>
        <tr r="D48" s="2"/>
      </tp>
      <tp>
        <v>242</v>
        <stp/>
        <stp>VOLUME</stp>
        <stp>.QQQ251113C626</stp>
        <tr r="E49" s="2"/>
        <tr r="E49" s="2"/>
      </tp>
      <tp>
        <v>1413</v>
        <stp/>
        <stp>VOLUME</stp>
        <stp>.QQQ251114C621</stp>
        <tr r="R53" s="1"/>
        <tr r="R53" s="1"/>
      </tp>
      <tp>
        <v>320</v>
        <stp/>
        <stp>VOLUME</stp>
        <stp>.QQQ251121C614</stp>
        <tr r="T60" s="1"/>
        <tr r="T60" s="1"/>
      </tp>
      <tp>
        <v>18</v>
        <stp/>
        <stp>VOLUME</stp>
        <stp>.QQQ260130C606</stp>
        <tr r="M69" s="2"/>
        <tr r="M69" s="2"/>
      </tp>
      <tp>
        <v>81</v>
        <stp/>
        <stp>VOLUME</stp>
        <stp>.QQQ260130P605</stp>
        <tr r="M70" s="2"/>
        <tr r="M70" s="2"/>
      </tp>
      <tp>
        <v>155</v>
        <stp/>
        <stp>VOLUME</stp>
        <stp>.QQQ251110P626</stp>
        <tr r="B49" s="2"/>
        <tr r="B49" s="2"/>
        <tr r="Q48" s="1"/>
        <tr r="Q48" s="1"/>
      </tp>
      <tp>
        <v>62</v>
        <stp/>
        <stp>VOLUME</stp>
        <stp>.QQQ251111P627</stp>
        <tr r="C48" s="2"/>
        <tr r="C48" s="2"/>
      </tp>
      <tp>
        <v>48</v>
        <stp/>
        <stp>VOLUME</stp>
        <stp>.QQQ251112P624</stp>
        <tr r="D51" s="2"/>
        <tr r="D51" s="2"/>
      </tp>
      <tp>
        <v>62</v>
        <stp/>
        <stp>VOLUME</stp>
        <stp>.QQQ251113P625</stp>
        <tr r="E50" s="2"/>
        <tr r="E50" s="2"/>
      </tp>
      <tp>
        <v>233</v>
        <stp/>
        <stp>VOLUME</stp>
        <stp>.QQQ251114P622</stp>
        <tr r="S52" s="1"/>
        <tr r="S52" s="1"/>
      </tp>
      <tp>
        <v>4490</v>
        <stp/>
        <stp>VOLUME</stp>
        <stp>.QQQ251121P617</stp>
        <tr r="U57" s="1"/>
        <tr r="U57" s="1"/>
      </tp>
      <tp>
        <v>2298</v>
        <stp/>
        <stp>VOLUME</stp>
        <stp>.QQQ251110C626</stp>
        <tr r="B49" s="2"/>
        <tr r="B49" s="2"/>
        <tr r="P48" s="1"/>
        <tr r="P48" s="1"/>
      </tp>
      <tp>
        <v>990</v>
        <stp/>
        <stp>VOLUME</stp>
        <stp>.QQQ251111C627</stp>
        <tr r="C48" s="2"/>
        <tr r="C48" s="2"/>
      </tp>
      <tp>
        <v>11965</v>
        <stp/>
        <stp>VOLUME</stp>
        <stp>.QQQ251112C624</stp>
        <tr r="D51" s="2"/>
        <tr r="D51" s="2"/>
      </tp>
      <tp>
        <v>678</v>
        <stp/>
        <stp>VOLUME</stp>
        <stp>.QQQ251113C625</stp>
        <tr r="E50" s="2"/>
        <tr r="E50" s="2"/>
      </tp>
      <tp>
        <v>3302</v>
        <stp/>
        <stp>VOLUME</stp>
        <stp>.QQQ251114C622</stp>
        <tr r="R52" s="1"/>
        <tr r="R52" s="1"/>
      </tp>
      <tp>
        <v>349</v>
        <stp/>
        <stp>VOLUME</stp>
        <stp>.QQQ251121C617</stp>
        <tr r="T57" s="1"/>
        <tr r="T57" s="1"/>
      </tp>
      <tp>
        <v>83</v>
        <stp/>
        <stp>VOLUME</stp>
        <stp>.QQQ260130C605</stp>
        <tr r="M70" s="2"/>
        <tr r="M70" s="2"/>
      </tp>
      <tp>
        <v>24</v>
        <stp/>
        <stp>VOLUME</stp>
        <stp>.QQQ260130P604</stp>
        <tr r="M71" s="2"/>
        <tr r="M71" s="2"/>
      </tp>
      <tp>
        <v>221</v>
        <stp/>
        <stp>VOLUME</stp>
        <stp>.QQQ251110P627</stp>
        <tr r="B48" s="2"/>
        <tr r="B48" s="2"/>
        <tr r="Q47" s="1"/>
        <tr r="Q47" s="1"/>
      </tp>
      <tp>
        <v>119</v>
        <stp/>
        <stp>VOLUME</stp>
        <stp>.QQQ251111P626</stp>
        <tr r="C49" s="2"/>
        <tr r="C49" s="2"/>
      </tp>
      <tp>
        <v>35</v>
        <stp/>
        <stp>VOLUME</stp>
        <stp>.QQQ251112P625</stp>
        <tr r="D50" s="2"/>
        <tr r="D50" s="2"/>
      </tp>
      <tp>
        <v>24</v>
        <stp/>
        <stp>VOLUME</stp>
        <stp>.QQQ251113P624</stp>
        <tr r="E51" s="2"/>
        <tr r="E51" s="2"/>
      </tp>
      <tp>
        <v>101</v>
        <stp/>
        <stp>VOLUME</stp>
        <stp>.QQQ251114P623</stp>
        <tr r="S51" s="1"/>
        <tr r="S51" s="1"/>
      </tp>
      <tp>
        <v>129</v>
        <stp/>
        <stp>VOLUME</stp>
        <stp>.QQQ251121P616</stp>
        <tr r="U58" s="1"/>
        <tr r="U58" s="1"/>
      </tp>
      <tp>
        <v>956</v>
        <stp/>
        <stp>VOLUME</stp>
        <stp>.QQQ251110C627</stp>
        <tr r="B48" s="2"/>
        <tr r="B48" s="2"/>
        <tr r="P47" s="1"/>
        <tr r="P47" s="1"/>
      </tp>
      <tp>
        <v>813</v>
        <stp/>
        <stp>VOLUME</stp>
        <stp>.QQQ251111C626</stp>
        <tr r="C49" s="2"/>
        <tr r="C49" s="2"/>
      </tp>
      <tp>
        <v>11219</v>
        <stp/>
        <stp>VOLUME</stp>
        <stp>.QQQ251112C625</stp>
        <tr r="D50" s="2"/>
        <tr r="D50" s="2"/>
      </tp>
      <tp>
        <v>82</v>
        <stp/>
        <stp>VOLUME</stp>
        <stp>.QQQ251113C624</stp>
        <tr r="E51" s="2"/>
        <tr r="E51" s="2"/>
      </tp>
      <tp>
        <v>1616</v>
        <stp/>
        <stp>VOLUME</stp>
        <stp>.QQQ251114C623</stp>
        <tr r="R51" s="1"/>
        <tr r="R51" s="1"/>
      </tp>
      <tp>
        <v>336</v>
        <stp/>
        <stp>VOLUME</stp>
        <stp>.QQQ251121C616</stp>
        <tr r="T58" s="1"/>
        <tr r="T58" s="1"/>
      </tp>
      <tp>
        <v>19</v>
        <stp/>
        <stp>VOLUME</stp>
        <stp>.QQQ260130C604</stp>
        <tr r="M71" s="2"/>
        <tr r="M71" s="2"/>
      </tp>
      <tp>
        <v>11</v>
        <stp/>
        <stp>VOLUME</stp>
        <stp>.QQQ260130P603</stp>
        <tr r="M72" s="2"/>
        <tr r="M72" s="2"/>
      </tp>
      <tp>
        <v>904</v>
        <stp/>
        <stp>VOLUME</stp>
        <stp>.QQQ251110P620</stp>
        <tr r="B55" s="2"/>
        <tr r="B55" s="2"/>
        <tr r="Q54" s="1"/>
        <tr r="Q54" s="1"/>
      </tp>
      <tp>
        <v>68</v>
        <stp/>
        <stp>VOLUME</stp>
        <stp>.QQQ251111P621</stp>
        <tr r="C54" s="2"/>
        <tr r="C54" s="2"/>
      </tp>
      <tp>
        <v>247</v>
        <stp/>
        <stp>VOLUME</stp>
        <stp>.QQQ251112P622</stp>
        <tr r="D53" s="2"/>
        <tr r="D53" s="2"/>
      </tp>
      <tp>
        <v>80</v>
        <stp/>
        <stp>VOLUME</stp>
        <stp>.QQQ251113P623</stp>
        <tr r="E52" s="2"/>
        <tr r="E52" s="2"/>
      </tp>
      <tp>
        <v>60</v>
        <stp/>
        <stp>VOLUME</stp>
        <stp>.QQQ251114P624</stp>
        <tr r="S50" s="1"/>
        <tr r="S50" s="1"/>
      </tp>
      <tp>
        <v>473</v>
        <stp/>
        <stp>VOLUME</stp>
        <stp>.QQQ251121P611</stp>
        <tr r="U63" s="1"/>
        <tr r="U63" s="1"/>
      </tp>
      <tp>
        <v>188</v>
        <stp/>
        <stp>VOLUME</stp>
        <stp>.QQQ251128P618</stp>
        <tr r="H57" s="2"/>
        <tr r="H57" s="2"/>
      </tp>
      <tp>
        <v>12117</v>
        <stp/>
        <stp>VOLUME</stp>
        <stp>.QQQ251110C620</stp>
        <tr r="B55" s="2"/>
        <tr r="B55" s="2"/>
        <tr r="P54" s="1"/>
        <tr r="P54" s="1"/>
      </tp>
      <tp>
        <v>1158</v>
        <stp/>
        <stp>VOLUME</stp>
        <stp>.QQQ251111C621</stp>
        <tr r="C54" s="2"/>
        <tr r="C54" s="2"/>
      </tp>
      <tp>
        <v>622</v>
        <stp/>
        <stp>VOLUME</stp>
        <stp>.QQQ251112C622</stp>
        <tr r="D53" s="2"/>
        <tr r="D53" s="2"/>
      </tp>
      <tp>
        <v>83</v>
        <stp/>
        <stp>VOLUME</stp>
        <stp>.QQQ251113C623</stp>
        <tr r="E52" s="2"/>
        <tr r="E52" s="2"/>
      </tp>
      <tp>
        <v>1023</v>
        <stp/>
        <stp>VOLUME</stp>
        <stp>.QQQ251114C624</stp>
        <tr r="R50" s="1"/>
        <tr r="R50" s="1"/>
      </tp>
      <tp>
        <v>1414</v>
        <stp/>
        <stp>VOLUME</stp>
        <stp>.QQQ251121C611</stp>
        <tr r="T63" s="1"/>
        <tr r="T63" s="1"/>
      </tp>
      <tp>
        <v>90</v>
        <stp/>
        <stp>VOLUME</stp>
        <stp>.QQQ251128C618</stp>
        <tr r="H57" s="2"/>
        <tr r="H57" s="2"/>
      </tp>
      <tp>
        <v>15</v>
        <stp/>
        <stp>VOLUME</stp>
        <stp>.QQQ260130C603</stp>
        <tr r="M72" s="2"/>
        <tr r="M72" s="2"/>
      </tp>
      <tp>
        <v>28</v>
        <stp/>
        <stp>VOLUME</stp>
        <stp>.QQQ260130P602</stp>
        <tr r="M73" s="2"/>
        <tr r="M73" s="2"/>
      </tp>
      <tp>
        <v>392</v>
        <stp/>
        <stp>VOLUME</stp>
        <stp>.QQQ251110P621</stp>
        <tr r="B54" s="2"/>
        <tr r="B54" s="2"/>
        <tr r="Q53" s="1"/>
        <tr r="Q53" s="1"/>
      </tp>
      <tp>
        <v>296</v>
        <stp/>
        <stp>VOLUME</stp>
        <stp>.QQQ251111P620</stp>
        <tr r="C55" s="2"/>
        <tr r="C55" s="2"/>
      </tp>
      <tp>
        <v>55</v>
        <stp/>
        <stp>VOLUME</stp>
        <stp>.QQQ251112P623</stp>
        <tr r="D52" s="2"/>
        <tr r="D52" s="2"/>
      </tp>
      <tp>
        <v>28</v>
        <stp/>
        <stp>VOLUME</stp>
        <stp>.QQQ251113P622</stp>
        <tr r="E53" s="2"/>
        <tr r="E53" s="2"/>
      </tp>
      <tp>
        <v>1607</v>
        <stp/>
        <stp>VOLUME</stp>
        <stp>.QQQ251114P625</stp>
        <tr r="S49" s="1"/>
        <tr r="S49" s="1"/>
      </tp>
      <tp>
        <v>6955</v>
        <stp/>
        <stp>VOLUME</stp>
        <stp>.QQQ251121P610</stp>
        <tr r="U64" s="1"/>
        <tr r="U64" s="1"/>
      </tp>
      <tp>
        <v>68</v>
        <stp/>
        <stp>VOLUME</stp>
        <stp>.QQQ251128P619</stp>
        <tr r="H56" s="2"/>
        <tr r="H56" s="2"/>
      </tp>
      <tp>
        <v>5012</v>
        <stp/>
        <stp>VOLUME</stp>
        <stp>.QQQ251110C621</stp>
        <tr r="B54" s="2"/>
        <tr r="B54" s="2"/>
        <tr r="P53" s="1"/>
        <tr r="P53" s="1"/>
      </tp>
      <tp>
        <v>3746</v>
        <stp/>
        <stp>VOLUME</stp>
        <stp>.QQQ251111C620</stp>
        <tr r="C55" s="2"/>
        <tr r="C55" s="2"/>
      </tp>
      <tp>
        <v>604</v>
        <stp/>
        <stp>VOLUME</stp>
        <stp>.QQQ251112C623</stp>
        <tr r="D52" s="2"/>
        <tr r="D52" s="2"/>
      </tp>
      <tp>
        <v>612</v>
        <stp/>
        <stp>VOLUME</stp>
        <stp>.QQQ251113C622</stp>
        <tr r="E53" s="2"/>
        <tr r="E53" s="2"/>
      </tp>
      <tp>
        <v>6311</v>
        <stp/>
        <stp>VOLUME</stp>
        <stp>.QQQ251114C625</stp>
        <tr r="R49" s="1"/>
        <tr r="R49" s="1"/>
      </tp>
      <tp>
        <v>8481</v>
        <stp/>
        <stp>VOLUME</stp>
        <stp>.QQQ251121C610</stp>
        <tr r="T64" s="1"/>
        <tr r="T64" s="1"/>
      </tp>
      <tp>
        <v>194</v>
        <stp/>
        <stp>VOLUME</stp>
        <stp>.QQQ251128C619</stp>
        <tr r="H56" s="2"/>
        <tr r="H56" s="2"/>
      </tp>
      <tp>
        <v>73</v>
        <stp/>
        <stp>VOLUME</stp>
        <stp>.QQQ260130C602</stp>
        <tr r="M73" s="2"/>
        <tr r="M73" s="2"/>
      </tp>
      <tp>
        <v>12</v>
        <stp/>
        <stp>VOLUME</stp>
        <stp>.QQQ260130P601</stp>
        <tr r="M74" s="2"/>
        <tr r="M74" s="2"/>
      </tp>
      <tp>
        <v>317</v>
        <stp/>
        <stp>VOLUME</stp>
        <stp>.QQQ251110P622</stp>
        <tr r="B53" s="2"/>
        <tr r="B53" s="2"/>
        <tr r="Q52" s="1"/>
        <tr r="Q52" s="1"/>
      </tp>
      <tp>
        <v>103</v>
        <stp/>
        <stp>VOLUME</stp>
        <stp>.QQQ251111P623</stp>
        <tr r="C52" s="2"/>
        <tr r="C52" s="2"/>
      </tp>
      <tp>
        <v>169</v>
        <stp/>
        <stp>VOLUME</stp>
        <stp>.QQQ251112P620</stp>
        <tr r="D55" s="2"/>
        <tr r="D55" s="2"/>
      </tp>
      <tp>
        <v>15</v>
        <stp/>
        <stp>VOLUME</stp>
        <stp>.QQQ251113P621</stp>
        <tr r="E54" s="2"/>
        <tr r="E54" s="2"/>
      </tp>
      <tp>
        <v>132</v>
        <stp/>
        <stp>VOLUME</stp>
        <stp>.QQQ251114P626</stp>
        <tr r="S48" s="1"/>
        <tr r="S48" s="1"/>
      </tp>
      <tp>
        <v>233</v>
        <stp/>
        <stp>VOLUME</stp>
        <stp>.QQQ251121P613</stp>
        <tr r="U61" s="1"/>
        <tr r="U61" s="1"/>
      </tp>
      <tp>
        <v>3190</v>
        <stp/>
        <stp>VOLUME</stp>
        <stp>.QQQ251110C622</stp>
        <tr r="B53" s="2"/>
        <tr r="B53" s="2"/>
        <tr r="P52" s="1"/>
        <tr r="P52" s="1"/>
      </tp>
      <tp>
        <v>764</v>
        <stp/>
        <stp>VOLUME</stp>
        <stp>.QQQ251111C623</stp>
        <tr r="C52" s="2"/>
        <tr r="C52" s="2"/>
      </tp>
      <tp>
        <v>2298</v>
        <stp/>
        <stp>VOLUME</stp>
        <stp>.QQQ251112C620</stp>
        <tr r="D55" s="2"/>
        <tr r="D55" s="2"/>
      </tp>
      <tp>
        <v>234</v>
        <stp/>
        <stp>VOLUME</stp>
        <stp>.QQQ251113C621</stp>
        <tr r="E54" s="2"/>
        <tr r="E54" s="2"/>
      </tp>
      <tp>
        <v>943</v>
        <stp/>
        <stp>VOLUME</stp>
        <stp>.QQQ251114C626</stp>
        <tr r="R48" s="1"/>
        <tr r="R48" s="1"/>
      </tp>
      <tp>
        <v>439</v>
        <stp/>
        <stp>VOLUME</stp>
        <stp>.QQQ251121C613</stp>
        <tr r="T61" s="1"/>
        <tr r="T61" s="1"/>
      </tp>
      <tp>
        <v>14</v>
        <stp/>
        <stp>VOLUME</stp>
        <stp>.QQQ260130C601</stp>
        <tr r="M74" s="2"/>
        <tr r="M74" s="2"/>
      </tp>
      <tp>
        <v>197</v>
        <stp/>
        <stp>VOLUME</stp>
        <stp>.QQQ260130P600</stp>
        <tr r="M75" s="2"/>
        <tr r="M75" s="2"/>
      </tp>
      <tp>
        <v>471</v>
        <stp/>
        <stp>VOLUME</stp>
        <stp>.QQQ251110P623</stp>
        <tr r="B52" s="2"/>
        <tr r="B52" s="2"/>
        <tr r="Q51" s="1"/>
        <tr r="Q51" s="1"/>
      </tp>
      <tp>
        <v>115</v>
        <stp/>
        <stp>VOLUME</stp>
        <stp>.QQQ251111P622</stp>
        <tr r="C53" s="2"/>
        <tr r="C53" s="2"/>
      </tp>
      <tp>
        <v>109</v>
        <stp/>
        <stp>VOLUME</stp>
        <stp>.QQQ251112P621</stp>
        <tr r="D54" s="2"/>
        <tr r="D54" s="2"/>
      </tp>
      <tp>
        <v>164</v>
        <stp/>
        <stp>VOLUME</stp>
        <stp>.QQQ251113P620</stp>
        <tr r="E55" s="2"/>
        <tr r="E55" s="2"/>
      </tp>
      <tp>
        <v>251</v>
        <stp/>
        <stp>VOLUME</stp>
        <stp>.QQQ251114P627</stp>
        <tr r="S47" s="1"/>
        <tr r="S47" s="1"/>
      </tp>
      <tp>
        <v>1458</v>
        <stp/>
        <stp>VOLUME</stp>
        <stp>.QQQ251121P612</stp>
        <tr r="U62" s="1"/>
        <tr r="U62" s="1"/>
      </tp>
      <tp>
        <v>3333</v>
        <stp/>
        <stp>VOLUME</stp>
        <stp>.QQQ251110C623</stp>
        <tr r="B52" s="2"/>
        <tr r="B52" s="2"/>
        <tr r="P51" s="1"/>
        <tr r="P51" s="1"/>
      </tp>
      <tp>
        <v>676</v>
        <stp/>
        <stp>VOLUME</stp>
        <stp>.QQQ251111C622</stp>
        <tr r="C53" s="2"/>
        <tr r="C53" s="2"/>
      </tp>
      <tp>
        <v>567</v>
        <stp/>
        <stp>VOLUME</stp>
        <stp>.QQQ251112C621</stp>
        <tr r="D54" s="2"/>
        <tr r="D54" s="2"/>
      </tp>
      <tp>
        <v>1480</v>
        <stp/>
        <stp>VOLUME</stp>
        <stp>.QQQ251113C620</stp>
        <tr r="E55" s="2"/>
        <tr r="E55" s="2"/>
      </tp>
      <tp>
        <v>1725</v>
        <stp/>
        <stp>VOLUME</stp>
        <stp>.QQQ251114C627</stp>
        <tr r="R47" s="1"/>
        <tr r="R47" s="1"/>
      </tp>
      <tp>
        <v>1329</v>
        <stp/>
        <stp>VOLUME</stp>
        <stp>.QQQ251121C612</stp>
        <tr r="T62" s="1"/>
        <tr r="T62" s="1"/>
      </tp>
      <tp>
        <v>119</v>
        <stp/>
        <stp>VOLUME</stp>
        <stp>.QQQ260130C600</stp>
        <tr r="M75" s="2"/>
        <tr r="M75" s="2"/>
      </tp>
      <tp>
        <v>109</v>
        <stp/>
        <stp>VOLUME</stp>
        <stp>.QQQ251114P628</stp>
        <tr r="S46" s="1"/>
        <tr r="S46" s="1"/>
      </tp>
      <tp>
        <v>93</v>
        <stp/>
        <stp>VOLUME</stp>
        <stp>.QQQ251128P614</stp>
        <tr r="H61" s="2"/>
        <tr r="H61" s="2"/>
      </tp>
      <tp>
        <v>866</v>
        <stp/>
        <stp>VOLUME</stp>
        <stp>.QQQ251114C628</stp>
        <tr r="R46" s="1"/>
        <tr r="R46" s="1"/>
      </tp>
      <tp>
        <v>102</v>
        <stp/>
        <stp>VOLUME</stp>
        <stp>.QQQ251128C614</stp>
        <tr r="H61" s="2"/>
        <tr r="H61" s="2"/>
      </tp>
      <tp>
        <v>60</v>
        <stp/>
        <stp>VOLUME</stp>
        <stp>.QQQ251114P629</stp>
        <tr r="S45" s="1"/>
        <tr r="S45" s="1"/>
      </tp>
      <tp>
        <v>1039</v>
        <stp/>
        <stp>VOLUME</stp>
        <stp>.QQQ251128P615</stp>
        <tr r="H60" s="2"/>
        <tr r="H60" s="2"/>
      </tp>
      <tp>
        <v>793</v>
        <stp/>
        <stp>VOLUME</stp>
        <stp>.QQQ251114C629</stp>
        <tr r="R45" s="1"/>
        <tr r="R45" s="1"/>
      </tp>
      <tp>
        <v>4893</v>
        <stp/>
        <stp>VOLUME</stp>
        <stp>.QQQ251128C615</stp>
        <tr r="H60" s="2"/>
        <tr r="H60" s="2"/>
      </tp>
      <tp>
        <v>72</v>
        <stp/>
        <stp>VOLUME</stp>
        <stp>.QQQ251128P616</stp>
        <tr r="H59" s="2"/>
        <tr r="H59" s="2"/>
      </tp>
      <tp>
        <v>72</v>
        <stp/>
        <stp>VOLUME</stp>
        <stp>.QQQ251128C616</stp>
        <tr r="H59" s="2"/>
        <tr r="H59" s="2"/>
      </tp>
      <tp>
        <v>532</v>
        <stp/>
        <stp>VOLUME</stp>
        <stp>.QQQ251128P617</stp>
        <tr r="H58" s="2"/>
        <tr r="H58" s="2"/>
      </tp>
      <tp>
        <v>124</v>
        <stp/>
        <stp>VOLUME</stp>
        <stp>.QQQ251128C617</stp>
        <tr r="H58" s="2"/>
        <tr r="H58" s="2"/>
      </tp>
      <tp>
        <v>110</v>
        <stp/>
        <stp>VOLUME</stp>
        <stp>.QQQ251110P628</stp>
        <tr r="B47" s="2"/>
        <tr r="B47" s="2"/>
        <tr r="Q46" s="1"/>
        <tr r="Q46" s="1"/>
      </tp>
      <tp>
        <v>8</v>
        <stp/>
        <stp>VOLUME</stp>
        <stp>.QQQ251111P629</stp>
        <tr r="C46" s="2"/>
        <tr r="C46" s="2"/>
      </tp>
      <tp>
        <v>90</v>
        <stp/>
        <stp>VOLUME</stp>
        <stp>.QQQ251121P619</stp>
        <tr r="U55" s="1"/>
        <tr r="U55" s="1"/>
      </tp>
      <tp>
        <v>1061</v>
        <stp/>
        <stp>VOLUME</stp>
        <stp>.QQQ251128P610</stp>
        <tr r="H65" s="2"/>
        <tr r="H65" s="2"/>
      </tp>
      <tp>
        <v>1090</v>
        <stp/>
        <stp>VOLUME</stp>
        <stp>.QQQ251110C628</stp>
        <tr r="B47" s="2"/>
        <tr r="B47" s="2"/>
        <tr r="P46" s="1"/>
        <tr r="P46" s="1"/>
      </tp>
      <tp>
        <v>327</v>
        <stp/>
        <stp>VOLUME</stp>
        <stp>.QQQ251111C629</stp>
        <tr r="C46" s="2"/>
        <tr r="C46" s="2"/>
      </tp>
      <tp>
        <v>456</v>
        <stp/>
        <stp>VOLUME</stp>
        <stp>.QQQ251121C619</stp>
        <tr r="T55" s="1"/>
        <tr r="T55" s="1"/>
      </tp>
      <tp>
        <v>2811</v>
        <stp/>
        <stp>VOLUME</stp>
        <stp>.QQQ251128C610</stp>
        <tr r="H65" s="2"/>
        <tr r="H65" s="2"/>
      </tp>
      <tp>
        <v>7</v>
        <stp/>
        <stp>VOLUME</stp>
        <stp>.QQQ251110P629</stp>
        <tr r="B46" s="2"/>
        <tr r="B46" s="2"/>
        <tr r="Q45" s="1"/>
        <tr r="Q45" s="1"/>
      </tp>
      <tp>
        <v>82</v>
        <stp/>
        <stp>VOLUME</stp>
        <stp>.QQQ251111P628</stp>
        <tr r="C47" s="2"/>
        <tr r="C47" s="2"/>
      </tp>
      <tp>
        <v>2311</v>
        <stp/>
        <stp>VOLUME</stp>
        <stp>.QQQ251121P618</stp>
        <tr r="U56" s="1"/>
        <tr r="U56" s="1"/>
      </tp>
      <tp>
        <v>160</v>
        <stp/>
        <stp>VOLUME</stp>
        <stp>.QQQ251128P611</stp>
        <tr r="H64" s="2"/>
        <tr r="H64" s="2"/>
      </tp>
      <tp>
        <v>1380</v>
        <stp/>
        <stp>VOLUME</stp>
        <stp>.QQQ251110C629</stp>
        <tr r="B46" s="2"/>
        <tr r="B46" s="2"/>
        <tr r="P45" s="1"/>
        <tr r="P45" s="1"/>
      </tp>
      <tp>
        <v>310</v>
        <stp/>
        <stp>VOLUME</stp>
        <stp>.QQQ251111C628</stp>
        <tr r="C47" s="2"/>
        <tr r="C47" s="2"/>
      </tp>
      <tp>
        <v>831</v>
        <stp/>
        <stp>VOLUME</stp>
        <stp>.QQQ251121C618</stp>
        <tr r="T56" s="1"/>
        <tr r="T56" s="1"/>
      </tp>
      <tp>
        <v>117</v>
        <stp/>
        <stp>VOLUME</stp>
        <stp>.QQQ251128C611</stp>
        <tr r="H64" s="2"/>
        <tr r="H64" s="2"/>
      </tp>
      <tp>
        <v>4</v>
        <stp/>
        <stp>VOLUME</stp>
        <stp>.QQQ260130P609</stp>
        <tr r="M66" s="2"/>
        <tr r="M66" s="2"/>
      </tp>
      <tp>
        <v>120</v>
        <stp/>
        <stp>VOLUME</stp>
        <stp>.QQQ251112P628</stp>
        <tr r="D47" s="2"/>
        <tr r="D47" s="2"/>
      </tp>
      <tp>
        <v>15</v>
        <stp/>
        <stp>VOLUME</stp>
        <stp>.QQQ251113P629</stp>
        <tr r="E46" s="2"/>
        <tr r="E46" s="2"/>
      </tp>
      <tp>
        <v>83</v>
        <stp/>
        <stp>VOLUME</stp>
        <stp>.QQQ251128P612</stp>
        <tr r="H63" s="2"/>
        <tr r="H63" s="2"/>
      </tp>
      <tp>
        <v>471</v>
        <stp/>
        <stp>VOLUME</stp>
        <stp>.QQQ251112C628</stp>
        <tr r="D47" s="2"/>
        <tr r="D47" s="2"/>
      </tp>
      <tp>
        <v>216</v>
        <stp/>
        <stp>VOLUME</stp>
        <stp>.QQQ251113C629</stp>
        <tr r="E46" s="2"/>
        <tr r="E46" s="2"/>
      </tp>
      <tp>
        <v>343</v>
        <stp/>
        <stp>VOLUME</stp>
        <stp>.QQQ251128C612</stp>
        <tr r="H63" s="2"/>
        <tr r="H63" s="2"/>
      </tp>
      <tp>
        <v>18</v>
        <stp/>
        <stp>VOLUME</stp>
        <stp>.QQQ260130C609</stp>
        <tr r="M66" s="2"/>
        <tr r="M66" s="2"/>
      </tp>
      <tp>
        <v>41</v>
        <stp/>
        <stp>VOLUME</stp>
        <stp>.QQQ260130P608</stp>
        <tr r="M67" s="2"/>
        <tr r="M67" s="2"/>
      </tp>
      <tp>
        <v>23</v>
        <stp/>
        <stp>VOLUME</stp>
        <stp>.QQQ251112P629</stp>
        <tr r="D46" s="2"/>
        <tr r="D46" s="2"/>
      </tp>
      <tp>
        <v>143</v>
        <stp/>
        <stp>VOLUME</stp>
        <stp>.QQQ251113P628</stp>
        <tr r="E47" s="2"/>
        <tr r="E47" s="2"/>
      </tp>
      <tp>
        <v>449</v>
        <stp/>
        <stp>VOLUME</stp>
        <stp>.QQQ251128P613</stp>
        <tr r="H62" s="2"/>
        <tr r="H62" s="2"/>
      </tp>
      <tp>
        <v>465</v>
        <stp/>
        <stp>VOLUME</stp>
        <stp>.QQQ251112C629</stp>
        <tr r="D46" s="2"/>
        <tr r="D46" s="2"/>
      </tp>
      <tp>
        <v>360</v>
        <stp/>
        <stp>VOLUME</stp>
        <stp>.QQQ251113C628</stp>
        <tr r="E47" s="2"/>
        <tr r="E47" s="2"/>
      </tp>
      <tp>
        <v>106</v>
        <stp/>
        <stp>VOLUME</stp>
        <stp>.QQQ251128C613</stp>
        <tr r="H62" s="2"/>
        <tr r="H62" s="2"/>
      </tp>
      <tp>
        <v>34</v>
        <stp/>
        <stp>VOLUME</stp>
        <stp>.QQQ260130C608</stp>
        <tr r="M67" s="2"/>
        <tr r="M67" s="2"/>
      </tp>
      <tp t="s">
        <v>N/A</v>
        <stp/>
        <stp>VOLUME</stp>
        <stp>.QQQ260130P617</stp>
        <tr r="M58" s="2"/>
      </tp>
      <tp>
        <v>7954</v>
        <stp/>
        <stp>VOLUME</stp>
        <stp>.QQQ251121P605</stp>
        <tr r="U69" s="1"/>
        <tr r="U69" s="1"/>
      </tp>
      <tp>
        <v>6072</v>
        <stp/>
        <stp>VOLUME</stp>
        <stp>.QQQ251121C605</stp>
        <tr r="T69" s="1"/>
        <tr r="T69" s="1"/>
      </tp>
      <tp>
        <v>5</v>
        <stp/>
        <stp>VOLUME</stp>
        <stp>.QQQ260130C617</stp>
        <tr r="M58" s="2"/>
        <tr r="M58" s="2"/>
      </tp>
      <tp>
        <v>77</v>
        <stp/>
        <stp>VOLUME</stp>
        <stp>.QQQ260130P616</stp>
        <tr r="M59" s="2"/>
        <tr r="M59" s="2"/>
      </tp>
      <tp>
        <v>2350</v>
        <stp/>
        <stp>VOLUME</stp>
        <stp>.QQQ251121P604</stp>
        <tr r="U70" s="1"/>
        <tr r="U70" s="1"/>
      </tp>
      <tp>
        <v>629</v>
        <stp/>
        <stp>VOLUME</stp>
        <stp>.QQQ251121C604</stp>
        <tr r="T70" s="1"/>
        <tr r="T70" s="1"/>
      </tp>
      <tp>
        <v>67</v>
        <stp/>
        <stp>VOLUME</stp>
        <stp>.QQQ260130C616</stp>
        <tr r="M59" s="2"/>
        <tr r="M59" s="2"/>
      </tp>
      <tp>
        <v>88</v>
        <stp/>
        <stp>VOLUME</stp>
        <stp>.QQQ260130P615</stp>
        <tr r="M60" s="2"/>
        <tr r="M60" s="2"/>
      </tp>
      <tp>
        <v>984</v>
        <stp/>
        <stp>VOLUME</stp>
        <stp>.QQQ251121P607</stp>
        <tr r="U67" s="1"/>
        <tr r="U67" s="1"/>
      </tp>
      <tp>
        <v>1189</v>
        <stp/>
        <stp>VOLUME</stp>
        <stp>.QQQ251121C607</stp>
        <tr r="T67" s="1"/>
        <tr r="T67" s="1"/>
      </tp>
      <tp>
        <v>174</v>
        <stp/>
        <stp>VOLUME</stp>
        <stp>.QQQ260130C615</stp>
        <tr r="M60" s="2"/>
        <tr r="M60" s="2"/>
      </tp>
      <tp t="s">
        <v>N/A</v>
        <stp/>
        <stp>VOLUME</stp>
        <stp>.QQQ260130P614</stp>
        <tr r="M61" s="2"/>
      </tp>
      <tp>
        <v>1762</v>
        <stp/>
        <stp>VOLUME</stp>
        <stp>.QQQ251121P606</stp>
        <tr r="U68" s="1"/>
        <tr r="U68" s="1"/>
      </tp>
      <tp>
        <v>810</v>
        <stp/>
        <stp>VOLUME</stp>
        <stp>.QQQ251121C606</stp>
        <tr r="T68" s="1"/>
        <tr r="T68" s="1"/>
      </tp>
      <tp>
        <v>67</v>
        <stp/>
        <stp>VOLUME</stp>
        <stp>.QQQ260130C614</stp>
        <tr r="M61" s="2"/>
        <tr r="M61" s="2"/>
      </tp>
      <tp>
        <v>1</v>
        <stp/>
        <stp>VOLUME</stp>
        <stp>.QQQ260130P613</stp>
        <tr r="M62" s="2"/>
        <tr r="M62" s="2"/>
      </tp>
      <tp>
        <v>5413</v>
        <stp/>
        <stp>VOLUME</stp>
        <stp>.QQQ251121P601</stp>
        <tr r="U73" s="1"/>
        <tr r="U73" s="1"/>
      </tp>
      <tp>
        <v>216</v>
        <stp/>
        <stp>VOLUME</stp>
        <stp>.QQQ251128P608</stp>
        <tr r="H67" s="2"/>
        <tr r="H67" s="2"/>
      </tp>
      <tp>
        <v>2527</v>
        <stp/>
        <stp>VOLUME</stp>
        <stp>.QQQ251121C601</stp>
        <tr r="T73" s="1"/>
        <tr r="T73" s="1"/>
      </tp>
      <tp>
        <v>386</v>
        <stp/>
        <stp>VOLUME</stp>
        <stp>.QQQ251128C608</stp>
        <tr r="H67" s="2"/>
        <tr r="H67" s="2"/>
      </tp>
      <tp>
        <v>12</v>
        <stp/>
        <stp>VOLUME</stp>
        <stp>.QQQ260130C613</stp>
        <tr r="M62" s="2"/>
        <tr r="M62" s="2"/>
      </tp>
      <tp>
        <v>7</v>
        <stp/>
        <stp>VOLUME</stp>
        <stp>.QQQ260130P612</stp>
        <tr r="M63" s="2"/>
        <tr r="M63" s="2"/>
      </tp>
      <tp>
        <v>22375</v>
        <stp/>
        <stp>VOLUME</stp>
        <stp>.QQQ251121P600</stp>
        <tr r="U74" s="1"/>
        <tr r="U74" s="1"/>
      </tp>
      <tp>
        <v>159</v>
        <stp/>
        <stp>VOLUME</stp>
        <stp>.QQQ251128P609</stp>
        <tr r="H66" s="2"/>
        <tr r="H66" s="2"/>
      </tp>
      <tp>
        <v>2695</v>
        <stp/>
        <stp>VOLUME</stp>
        <stp>.QQQ251121C600</stp>
        <tr r="T74" s="1"/>
        <tr r="T74" s="1"/>
      </tp>
      <tp>
        <v>197</v>
        <stp/>
        <stp>VOLUME</stp>
        <stp>.QQQ251128C609</stp>
        <tr r="H66" s="2"/>
        <tr r="H66" s="2"/>
      </tp>
      <tp>
        <v>33</v>
        <stp/>
        <stp>VOLUME</stp>
        <stp>.QQQ260130C612</stp>
        <tr r="M63" s="2"/>
        <tr r="M63" s="2"/>
      </tp>
      <tp t="s">
        <v>N/A</v>
        <stp/>
        <stp>VOLUME</stp>
        <stp>.QQQ260109P628</stp>
        <tr r="L47" s="2"/>
      </tp>
      <tp>
        <v>62</v>
        <stp/>
        <stp>VOLUME</stp>
        <stp>.QQQ260130P611</stp>
        <tr r="M64" s="2"/>
        <tr r="M64" s="2"/>
      </tp>
      <tp>
        <v>4527</v>
        <stp/>
        <stp>VOLUME</stp>
        <stp>.QQQ251121P603</stp>
        <tr r="U71" s="1"/>
        <tr r="U71" s="1"/>
      </tp>
      <tp>
        <v>1003</v>
        <stp/>
        <stp>VOLUME</stp>
        <stp>.QQQ251121C603</stp>
        <tr r="T71" s="1"/>
        <tr r="T71" s="1"/>
      </tp>
      <tp t="s">
        <v>N/A</v>
        <stp/>
        <stp>VOLUME</stp>
        <stp>.QQQ260109C628</stp>
        <tr r="L47" s="2"/>
      </tp>
      <tp>
        <v>104</v>
        <stp/>
        <stp>VOLUME</stp>
        <stp>.QQQ260130C611</stp>
        <tr r="M64" s="2"/>
        <tr r="M64" s="2"/>
      </tp>
      <tp t="s">
        <v>N/A</v>
        <stp/>
        <stp>VOLUME</stp>
        <stp>.QQQ260109P629</stp>
        <tr r="L46" s="2"/>
      </tp>
      <tp>
        <v>22</v>
        <stp/>
        <stp>VOLUME</stp>
        <stp>.QQQ260130P610</stp>
        <tr r="M65" s="2"/>
        <tr r="M65" s="2"/>
      </tp>
      <tp>
        <v>3117</v>
        <stp/>
        <stp>VOLUME</stp>
        <stp>.QQQ251121P602</stp>
        <tr r="U72" s="1"/>
        <tr r="U72" s="1"/>
      </tp>
      <tp>
        <v>1301</v>
        <stp/>
        <stp>VOLUME</stp>
        <stp>.QQQ251121C602</stp>
        <tr r="T72" s="1"/>
        <tr r="T72" s="1"/>
      </tp>
      <tp t="s">
        <v>N/A</v>
        <stp/>
        <stp>VOLUME</stp>
        <stp>.QQQ260109C629</stp>
        <tr r="L46" s="2"/>
      </tp>
      <tp>
        <v>114</v>
        <stp/>
        <stp>VOLUME</stp>
        <stp>.QQQ260130C610</stp>
        <tr r="M65" s="2"/>
        <tr r="M65" s="2"/>
      </tp>
      <tp t="s">
        <v>N/A</v>
        <stp/>
        <stp>VOLUME</stp>
        <stp>.QQQ260109P626</stp>
        <tr r="L49" s="2"/>
      </tp>
      <tp>
        <v>2189</v>
        <stp/>
        <stp>VOLUME</stp>
        <stp>.QQQ251128P604</stp>
        <tr r="H71" s="2"/>
        <tr r="H71" s="2"/>
      </tp>
      <tp>
        <v>779</v>
        <stp/>
        <stp>VOLUME</stp>
        <stp>.QQQ251128C604</stp>
        <tr r="H71" s="2"/>
        <tr r="H71" s="2"/>
      </tp>
      <tp t="s">
        <v>N/A</v>
        <stp/>
        <stp>VOLUME</stp>
        <stp>.QQQ260109C626</stp>
        <tr r="L49" s="2"/>
      </tp>
      <tp t="s">
        <v>N/A</v>
        <stp/>
        <stp>VOLUME</stp>
        <stp>.QQQ260109P627</stp>
        <tr r="L48" s="2"/>
      </tp>
      <tp>
        <v>1126</v>
        <stp/>
        <stp>VOLUME</stp>
        <stp>.QQQ251128P605</stp>
        <tr r="H70" s="2"/>
        <tr r="H70" s="2"/>
      </tp>
      <tp>
        <v>889</v>
        <stp/>
        <stp>VOLUME</stp>
        <stp>.QQQ251128C605</stp>
        <tr r="H70" s="2"/>
        <tr r="H70" s="2"/>
      </tp>
      <tp t="s">
        <v>N/A</v>
        <stp/>
        <stp>VOLUME</stp>
        <stp>.QQQ260109C627</stp>
        <tr r="L48" s="2"/>
      </tp>
      <tp t="s">
        <v>N/A</v>
        <stp/>
        <stp>VOLUME</stp>
        <stp>.QQQ260109P624</stp>
        <tr r="L51" s="2"/>
      </tp>
      <tp>
        <v>110</v>
        <stp/>
        <stp>VOLUME</stp>
        <stp>.QQQ251128P606</stp>
        <tr r="H69" s="2"/>
        <tr r="H69" s="2"/>
      </tp>
      <tp>
        <v>243</v>
        <stp/>
        <stp>VOLUME</stp>
        <stp>.QQQ251128C606</stp>
        <tr r="H69" s="2"/>
        <tr r="H69" s="2"/>
      </tp>
      <tp t="s">
        <v>N/A</v>
        <stp/>
        <stp>VOLUME</stp>
        <stp>.QQQ260109C624</stp>
        <tr r="L51" s="2"/>
      </tp>
      <tp t="s">
        <v>N/A</v>
        <stp/>
        <stp>VOLUME</stp>
        <stp>.QQQ260109P625</stp>
        <tr r="L50" s="2"/>
      </tp>
      <tp>
        <v>605</v>
        <stp/>
        <stp>VOLUME</stp>
        <stp>.QQQ251128P607</stp>
        <tr r="H68" s="2"/>
        <tr r="H68" s="2"/>
      </tp>
      <tp>
        <v>227</v>
        <stp/>
        <stp>VOLUME</stp>
        <stp>.QQQ251128C607</stp>
        <tr r="H68" s="2"/>
        <tr r="H68" s="2"/>
      </tp>
      <tp t="s">
        <v>N/A</v>
        <stp/>
        <stp>VOLUME</stp>
        <stp>.QQQ260109C625</stp>
        <tr r="L50" s="2"/>
      </tp>
      <tp t="s">
        <v>N/A</v>
        <stp/>
        <stp>VOLUME</stp>
        <stp>.QQQ260109P622</stp>
        <tr r="L53" s="2"/>
      </tp>
      <tp>
        <v>287</v>
        <stp/>
        <stp>VOLUME</stp>
        <stp>.QQQ251121P609</stp>
        <tr r="U65" s="1"/>
        <tr r="U65" s="1"/>
      </tp>
      <tp>
        <v>10414</v>
        <stp/>
        <stp>VOLUME</stp>
        <stp>.QQQ251128P600</stp>
        <tr r="H75" s="2"/>
        <tr r="H75" s="2"/>
      </tp>
      <tp>
        <v>516</v>
        <stp/>
        <stp>VOLUME</stp>
        <stp>.QQQ251121C609</stp>
        <tr r="T65" s="1"/>
        <tr r="T65" s="1"/>
      </tp>
      <tp>
        <v>1031</v>
        <stp/>
        <stp>VOLUME</stp>
        <stp>.QQQ251128C600</stp>
        <tr r="H75" s="2"/>
        <tr r="H75" s="2"/>
      </tp>
      <tp t="s">
        <v>N/A</v>
        <stp/>
        <stp>VOLUME</stp>
        <stp>.QQQ260109C622</stp>
        <tr r="L53" s="2"/>
      </tp>
      <tp t="s">
        <v>N/A</v>
        <stp/>
        <stp>VOLUME</stp>
        <stp>.QQQ260109P623</stp>
        <tr r="L52" s="2"/>
      </tp>
      <tp>
        <v>5499</v>
        <stp/>
        <stp>VOLUME</stp>
        <stp>.QQQ251121P608</stp>
        <tr r="U66" s="1"/>
        <tr r="U66" s="1"/>
      </tp>
      <tp>
        <v>268</v>
        <stp/>
        <stp>VOLUME</stp>
        <stp>.QQQ251128P601</stp>
        <tr r="H74" s="2"/>
        <tr r="H74" s="2"/>
      </tp>
      <tp>
        <v>1964</v>
        <stp/>
        <stp>VOLUME</stp>
        <stp>.QQQ251121C608</stp>
        <tr r="T66" s="1"/>
        <tr r="T66" s="1"/>
      </tp>
      <tp>
        <v>354</v>
        <stp/>
        <stp>VOLUME</stp>
        <stp>.QQQ251128C601</stp>
        <tr r="H74" s="2"/>
        <tr r="H74" s="2"/>
      </tp>
      <tp t="s">
        <v>N/A</v>
        <stp/>
        <stp>VOLUME</stp>
        <stp>.QQQ260109C623</stp>
        <tr r="L52" s="2"/>
      </tp>
      <tp t="s">
        <v>N/A</v>
        <stp/>
        <stp>VOLUME</stp>
        <stp>.QQQ260109P620</stp>
        <tr r="L55" s="2"/>
      </tp>
      <tp>
        <v>61</v>
        <stp/>
        <stp>VOLUME</stp>
        <stp>.QQQ260130P619</stp>
        <tr r="M56" s="2"/>
        <tr r="M56" s="2"/>
      </tp>
      <tp>
        <v>492</v>
        <stp/>
        <stp>VOLUME</stp>
        <stp>.QQQ251128P602</stp>
        <tr r="H73" s="2"/>
        <tr r="H73" s="2"/>
      </tp>
      <tp>
        <v>489</v>
        <stp/>
        <stp>VOLUME</stp>
        <stp>.QQQ251128C602</stp>
        <tr r="H73" s="2"/>
        <tr r="H73" s="2"/>
      </tp>
      <tp t="s">
        <v>N/A</v>
        <stp/>
        <stp>VOLUME</stp>
        <stp>.QQQ260109C620</stp>
        <tr r="L55" s="2"/>
      </tp>
      <tp>
        <v>62</v>
        <stp/>
        <stp>VOLUME</stp>
        <stp>.QQQ260130C619</stp>
        <tr r="M56" s="2"/>
        <tr r="M56" s="2"/>
      </tp>
      <tp t="s">
        <v>N/A</v>
        <stp/>
        <stp>VOLUME</stp>
        <stp>.QQQ260109P621</stp>
        <tr r="L54" s="2"/>
      </tp>
      <tp t="s">
        <v>N/A</v>
        <stp/>
        <stp>VOLUME</stp>
        <stp>.QQQ260130P618</stp>
        <tr r="M57" s="2"/>
      </tp>
      <tp>
        <v>176</v>
        <stp/>
        <stp>VOLUME</stp>
        <stp>.QQQ251128P603</stp>
        <tr r="H72" s="2"/>
        <tr r="H72" s="2"/>
      </tp>
      <tp>
        <v>266</v>
        <stp/>
        <stp>VOLUME</stp>
        <stp>.QQQ251128C603</stp>
        <tr r="H72" s="2"/>
        <tr r="H72" s="2"/>
      </tp>
      <tp t="s">
        <v>N/A</v>
        <stp/>
        <stp>VOLUME</stp>
        <stp>.QQQ260109C621</stp>
        <tr r="L54" s="2"/>
      </tp>
      <tp>
        <v>1</v>
        <stp/>
        <stp>VOLUME</stp>
        <stp>.QQQ260130C618</stp>
        <tr r="M57" s="2"/>
        <tr r="M57" s="2"/>
      </tp>
      <tp t="s">
        <v>N/A</v>
        <stp/>
        <stp>VOLUME</stp>
        <stp>.QQQ260109P598</stp>
        <tr r="L77" s="2"/>
      </tp>
      <tp t="s">
        <v>N/A</v>
        <stp/>
        <stp>VOLUME</stp>
        <stp>.QQQ260109C598</stp>
        <tr r="L77" s="2"/>
      </tp>
      <tp t="s">
        <v>N/A</v>
        <stp/>
        <stp>VOLUME</stp>
        <stp>.QQQ260109P599</stp>
        <tr r="L76" s="2"/>
      </tp>
      <tp t="s">
        <v>N/A</v>
        <stp/>
        <stp>VOLUME</stp>
        <stp>.QQQ260109C599</stp>
        <tr r="L76" s="2"/>
      </tp>
      <tp t="s">
        <v>N/A</v>
        <stp/>
        <stp>VOLUME</stp>
        <stp>.QQQ260109P596</stp>
        <tr r="L79" s="2"/>
      </tp>
      <tp t="s">
        <v>N/A</v>
        <stp/>
        <stp>VOLUME</stp>
        <stp>.QQQ260109C596</stp>
        <tr r="L79" s="2"/>
      </tp>
      <tp t="s">
        <v>N/A</v>
        <stp/>
        <stp>VOLUME</stp>
        <stp>.QQQ260109P597</stp>
        <tr r="L78" s="2"/>
      </tp>
      <tp t="s">
        <v>N/A</v>
        <stp/>
        <stp>VOLUME</stp>
        <stp>.QQQ260109C597</stp>
        <tr r="L78" s="2"/>
      </tp>
      <tp t="s">
        <v>N/A</v>
        <stp/>
        <stp>VOLUME</stp>
        <stp>.QQQ260109P595</stp>
        <tr r="L80" s="2"/>
      </tp>
      <tp t="s">
        <v>N/A</v>
        <stp/>
        <stp>VOLUME</stp>
        <stp>.QQQ260109C595</stp>
        <tr r="L80" s="2"/>
      </tp>
      <tp>
        <v>7152</v>
        <stp/>
        <stp>VOLUME</stp>
        <stp>.QQQ251111P595</stp>
        <tr r="C80" s="2"/>
        <tr r="C80" s="2"/>
      </tp>
      <tp>
        <v>3212</v>
        <stp/>
        <stp>VOLUME</stp>
        <stp>.QQQ251112P596</stp>
        <tr r="D79" s="2"/>
        <tr r="D79" s="2"/>
      </tp>
      <tp t="s">
        <v>N/A</v>
        <stp/>
        <stp>VOLUME</stp>
        <stp>.QQQ251113P597</stp>
        <tr r="E78" s="2"/>
      </tp>
      <tp>
        <v>139</v>
        <stp/>
        <stp>VOLUME</stp>
        <stp>.QQQ251111C595</stp>
        <tr r="C80" s="2"/>
        <tr r="C80" s="2"/>
      </tp>
      <tp>
        <v>367</v>
        <stp/>
        <stp>VOLUME</stp>
        <stp>.QQQ251112C596</stp>
        <tr r="D79" s="2"/>
        <tr r="D79" s="2"/>
      </tp>
      <tp t="s">
        <v>N/A</v>
        <stp/>
        <stp>VOLUME</stp>
        <stp>.QQQ251113C597</stp>
        <tr r="E78" s="2"/>
      </tp>
      <tp>
        <v>25235</v>
        <stp/>
        <stp>VOLUME</stp>
        <stp>.QQQ251110P595</stp>
        <tr r="B80" s="2"/>
        <tr r="B80" s="2"/>
        <tr r="Q79" s="1"/>
        <tr r="Q79" s="1"/>
      </tp>
      <tp>
        <v>1377</v>
        <stp/>
        <stp>VOLUME</stp>
        <stp>.QQQ251112P597</stp>
        <tr r="D78" s="2"/>
        <tr r="D78" s="2"/>
      </tp>
      <tp t="s">
        <v>N/A</v>
        <stp/>
        <stp>VOLUME</stp>
        <stp>.QQQ251113P596</stp>
        <tr r="E79" s="2"/>
      </tp>
      <tp>
        <v>2175</v>
        <stp/>
        <stp>VOLUME</stp>
        <stp>.QQQ251110C595</stp>
        <tr r="B80" s="2"/>
        <tr r="B80" s="2"/>
        <tr r="P79" s="1"/>
        <tr r="P79" s="1"/>
      </tp>
      <tp>
        <v>456</v>
        <stp/>
        <stp>VOLUME</stp>
        <stp>.QQQ251112C597</stp>
        <tr r="D78" s="2"/>
        <tr r="D78" s="2"/>
      </tp>
      <tp t="s">
        <v>N/A</v>
        <stp/>
        <stp>VOLUME</stp>
        <stp>.QQQ251113C596</stp>
        <tr r="E79" s="2"/>
      </tp>
      <tp>
        <v>13992</v>
        <stp/>
        <stp>VOLUME</stp>
        <stp>.QQQ251110P596</stp>
        <tr r="B79" s="2"/>
        <tr r="B79" s="2"/>
        <tr r="Q78" s="1"/>
        <tr r="Q78" s="1"/>
      </tp>
      <tp>
        <v>1696</v>
        <stp/>
        <stp>VOLUME</stp>
        <stp>.QQQ251111P597</stp>
        <tr r="C78" s="2"/>
        <tr r="C78" s="2"/>
      </tp>
      <tp>
        <v>1042</v>
        <stp/>
        <stp>VOLUME</stp>
        <stp>.QQQ251113P595</stp>
        <tr r="E80" s="2"/>
        <tr r="E80" s="2"/>
      </tp>
      <tp>
        <v>606</v>
        <stp/>
        <stp>VOLUME</stp>
        <stp>.QQQ251110C596</stp>
        <tr r="B79" s="2"/>
        <tr r="B79" s="2"/>
        <tr r="P78" s="1"/>
        <tr r="P78" s="1"/>
      </tp>
      <tp>
        <v>75</v>
        <stp/>
        <stp>VOLUME</stp>
        <stp>.QQQ251111C597</stp>
        <tr r="C78" s="2"/>
        <tr r="C78" s="2"/>
      </tp>
      <tp>
        <v>94</v>
        <stp/>
        <stp>VOLUME</stp>
        <stp>.QQQ251113C595</stp>
        <tr r="E80" s="2"/>
        <tr r="E80" s="2"/>
      </tp>
      <tp>
        <v>10843</v>
        <stp/>
        <stp>VOLUME</stp>
        <stp>.QQQ251110P597</stp>
        <tr r="B78" s="2"/>
        <tr r="B78" s="2"/>
        <tr r="Q77" s="1"/>
        <tr r="Q77" s="1"/>
      </tp>
      <tp>
        <v>1934</v>
        <stp/>
        <stp>VOLUME</stp>
        <stp>.QQQ251111P596</stp>
        <tr r="C79" s="2"/>
        <tr r="C79" s="2"/>
      </tp>
      <tp>
        <v>7465</v>
        <stp/>
        <stp>VOLUME</stp>
        <stp>.QQQ251112P595</stp>
        <tr r="D80" s="2"/>
        <tr r="D80" s="2"/>
      </tp>
      <tp>
        <v>1262</v>
        <stp/>
        <stp>VOLUME</stp>
        <stp>.QQQ251110C597</stp>
        <tr r="B78" s="2"/>
        <tr r="B78" s="2"/>
        <tr r="P77" s="1"/>
        <tr r="P77" s="1"/>
      </tp>
      <tp>
        <v>101</v>
        <stp/>
        <stp>VOLUME</stp>
        <stp>.QQQ251111C596</stp>
        <tr r="C79" s="2"/>
        <tr r="C79" s="2"/>
      </tp>
      <tp>
        <v>361</v>
        <stp/>
        <stp>VOLUME</stp>
        <stp>.QQQ251112C595</stp>
        <tr r="D80" s="2"/>
        <tr r="D80" s="2"/>
      </tp>
      <tp>
        <v>15816</v>
        <stp/>
        <stp>VOLUME</stp>
        <stp>.QQQ251114P595</stp>
        <tr r="S79" s="1"/>
        <tr r="S79" s="1"/>
      </tp>
      <tp>
        <v>742</v>
        <stp/>
        <stp>VOLUME</stp>
        <stp>.QQQ251114C595</stp>
        <tr r="R79" s="1"/>
        <tr r="R79" s="1"/>
      </tp>
      <tp>
        <v>1463</v>
        <stp/>
        <stp>VOLUME</stp>
        <stp>.QQQ251114P596</stp>
        <tr r="S78" s="1"/>
        <tr r="S78" s="1"/>
      </tp>
      <tp>
        <v>86</v>
        <stp/>
        <stp>VOLUME</stp>
        <stp>.QQQ251114C596</stp>
        <tr r="R78" s="1"/>
        <tr r="R78" s="1"/>
      </tp>
      <tp>
        <v>1143</v>
        <stp/>
        <stp>VOLUME</stp>
        <stp>.QQQ251114P597</stp>
        <tr r="S77" s="1"/>
        <tr r="S77" s="1"/>
      </tp>
      <tp>
        <v>117</v>
        <stp/>
        <stp>VOLUME</stp>
        <stp>.QQQ251114C597</stp>
        <tr r="R77" s="1"/>
        <tr r="R77" s="1"/>
      </tp>
      <tp>
        <v>1711</v>
        <stp/>
        <stp>VOLUME</stp>
        <stp>.QQQ251114P598</stp>
        <tr r="S76" s="1"/>
        <tr r="S76" s="1"/>
      </tp>
      <tp>
        <v>193</v>
        <stp/>
        <stp>VOLUME</stp>
        <stp>.QQQ251114C598</stp>
        <tr r="R76" s="1"/>
        <tr r="R76" s="1"/>
      </tp>
      <tp>
        <v>1369</v>
        <stp/>
        <stp>VOLUME</stp>
        <stp>.QQQ251114P599</stp>
        <tr r="S75" s="1"/>
        <tr r="S75" s="1"/>
      </tp>
      <tp>
        <v>412</v>
        <stp/>
        <stp>VOLUME</stp>
        <stp>.QQQ251114C599</stp>
        <tr r="R75" s="1"/>
        <tr r="R75" s="1"/>
      </tp>
      <tp>
        <v>14170</v>
        <stp/>
        <stp>VOLUME</stp>
        <stp>.QQQ251110P598</stp>
        <tr r="B77" s="2"/>
        <tr r="B77" s="2"/>
        <tr r="Q76" s="1"/>
        <tr r="Q76" s="1"/>
      </tp>
      <tp>
        <v>1798</v>
        <stp/>
        <stp>VOLUME</stp>
        <stp>.QQQ251111P599</stp>
        <tr r="C76" s="2"/>
        <tr r="C76" s="2"/>
      </tp>
      <tp>
        <v>2471</v>
        <stp/>
        <stp>VOLUME</stp>
        <stp>.QQQ251110C598</stp>
        <tr r="B77" s="2"/>
        <tr r="B77" s="2"/>
        <tr r="P76" s="1"/>
        <tr r="P76" s="1"/>
      </tp>
      <tp>
        <v>533</v>
        <stp/>
        <stp>VOLUME</stp>
        <stp>.QQQ251111C599</stp>
        <tr r="C76" s="2"/>
        <tr r="C76" s="2"/>
      </tp>
      <tp>
        <v>17272</v>
        <stp/>
        <stp>VOLUME</stp>
        <stp>.QQQ251110P599</stp>
        <tr r="B76" s="2"/>
        <tr r="B76" s="2"/>
        <tr r="Q75" s="1"/>
        <tr r="Q75" s="1"/>
      </tp>
      <tp>
        <v>1258</v>
        <stp/>
        <stp>VOLUME</stp>
        <stp>.QQQ251111P598</stp>
        <tr r="C77" s="2"/>
        <tr r="C77" s="2"/>
      </tp>
      <tp>
        <v>4706</v>
        <stp/>
        <stp>VOLUME</stp>
        <stp>.QQQ251110C599</stp>
        <tr r="B76" s="2"/>
        <tr r="B76" s="2"/>
        <tr r="P75" s="1"/>
        <tr r="P75" s="1"/>
      </tp>
      <tp>
        <v>120</v>
        <stp/>
        <stp>VOLUME</stp>
        <stp>.QQQ251111C598</stp>
        <tr r="C77" s="2"/>
        <tr r="C77" s="2"/>
      </tp>
      <tp>
        <v>1536</v>
        <stp/>
        <stp>VOLUME</stp>
        <stp>.QQQ251112P598</stp>
        <tr r="D77" s="2"/>
        <tr r="D77" s="2"/>
      </tp>
      <tp t="s">
        <v>N/A</v>
        <stp/>
        <stp>VOLUME</stp>
        <stp>.QQQ251113P599</stp>
        <tr r="E76" s="2"/>
      </tp>
      <tp>
        <v>662</v>
        <stp/>
        <stp>VOLUME</stp>
        <stp>.QQQ251112C598</stp>
        <tr r="D77" s="2"/>
        <tr r="D77" s="2"/>
      </tp>
      <tp t="s">
        <v>N/A</v>
        <stp/>
        <stp>VOLUME</stp>
        <stp>.QQQ251113C599</stp>
        <tr r="E76" s="2"/>
      </tp>
      <tp>
        <v>1841</v>
        <stp/>
        <stp>VOLUME</stp>
        <stp>.QQQ251112P599</stp>
        <tr r="D76" s="2"/>
        <tr r="D76" s="2"/>
      </tp>
      <tp t="s">
        <v>N/A</v>
        <stp/>
        <stp>VOLUME</stp>
        <stp>.QQQ251113P598</stp>
        <tr r="E77" s="2"/>
      </tp>
      <tp>
        <v>721</v>
        <stp/>
        <stp>VOLUME</stp>
        <stp>.QQQ251112C599</stp>
        <tr r="D76" s="2"/>
        <tr r="D76" s="2"/>
      </tp>
      <tp t="s">
        <v>N/A</v>
        <stp/>
        <stp>VOLUME</stp>
        <stp>.QQQ251113C598</stp>
        <tr r="E77" s="2"/>
      </tp>
      <tp>
        <v>15997</v>
        <stp/>
        <stp>VOLUME</stp>
        <stp>.QQQ251121P595</stp>
        <tr r="U79" s="1"/>
        <tr r="U79" s="1"/>
      </tp>
      <tp>
        <v>202</v>
        <stp/>
        <stp>VOLUME</stp>
        <stp>.QQQ251121C595</stp>
        <tr r="T79" s="1"/>
        <tr r="T79" s="1"/>
      </tp>
      <tp>
        <v>2492</v>
        <stp/>
        <stp>VOLUME</stp>
        <stp>.QQQ251121P597</stp>
        <tr r="U77" s="1"/>
        <tr r="U77" s="1"/>
      </tp>
      <tp>
        <v>91</v>
        <stp/>
        <stp>VOLUME</stp>
        <stp>.QQQ251121C597</stp>
        <tr r="T77" s="1"/>
        <tr r="T77" s="1"/>
      </tp>
      <tp>
        <v>477</v>
        <stp/>
        <stp>VOLUME</stp>
        <stp>.QQQ251121P596</stp>
        <tr r="U78" s="1"/>
        <tr r="U78" s="1"/>
      </tp>
      <tp>
        <v>47</v>
        <stp/>
        <stp>VOLUME</stp>
        <stp>.QQQ251121C596</stp>
        <tr r="T78" s="1"/>
        <tr r="T78" s="1"/>
      </tp>
      <tp>
        <v>441</v>
        <stp/>
        <stp>VOLUME</stp>
        <stp>.QQQ251128P598</stp>
        <tr r="H77" s="2"/>
        <tr r="H77" s="2"/>
      </tp>
      <tp>
        <v>52</v>
        <stp/>
        <stp>VOLUME</stp>
        <stp>.QQQ251128C598</stp>
        <tr r="H77" s="2"/>
        <tr r="H77" s="2"/>
      </tp>
      <tp>
        <v>165</v>
        <stp/>
        <stp>VOLUME</stp>
        <stp>.QQQ251128P599</stp>
        <tr r="H76" s="2"/>
        <tr r="H76" s="2"/>
      </tp>
      <tp>
        <v>21</v>
        <stp/>
        <stp>VOLUME</stp>
        <stp>.QQQ251128C599</stp>
        <tr r="H76" s="2"/>
        <tr r="H76" s="2"/>
      </tp>
      <tp>
        <v>5250</v>
        <stp/>
        <stp>VOLUME</stp>
        <stp>.QQQ251128P595</stp>
        <tr r="H80" s="2"/>
        <tr r="H80" s="2"/>
      </tp>
      <tp>
        <v>102</v>
        <stp/>
        <stp>VOLUME</stp>
        <stp>.QQQ251128C595</stp>
        <tr r="H80" s="2"/>
        <tr r="H80" s="2"/>
      </tp>
      <tp>
        <v>76</v>
        <stp/>
        <stp>VOLUME</stp>
        <stp>.QQQ251128P596</stp>
        <tr r="H79" s="2"/>
        <tr r="H79" s="2"/>
      </tp>
      <tp>
        <v>107</v>
        <stp/>
        <stp>VOLUME</stp>
        <stp>.QQQ251128C596</stp>
        <tr r="H79" s="2"/>
        <tr r="H79" s="2"/>
      </tp>
      <tp>
        <v>112</v>
        <stp/>
        <stp>VOLUME</stp>
        <stp>.QQQ251128P597</stp>
        <tr r="H78" s="2"/>
        <tr r="H78" s="2"/>
      </tp>
      <tp>
        <v>29</v>
        <stp/>
        <stp>VOLUME</stp>
        <stp>.QQQ251128C597</stp>
        <tr r="H78" s="2"/>
        <tr r="H78" s="2"/>
      </tp>
      <tp>
        <v>1349</v>
        <stp/>
        <stp>VOLUME</stp>
        <stp>.QQQ251121P599</stp>
        <tr r="U75" s="1"/>
        <tr r="U75" s="1"/>
      </tp>
      <tp>
        <v>339</v>
        <stp/>
        <stp>VOLUME</stp>
        <stp>.QQQ251121C599</stp>
        <tr r="T75" s="1"/>
        <tr r="T75" s="1"/>
      </tp>
      <tp>
        <v>857</v>
        <stp/>
        <stp>VOLUME</stp>
        <stp>.QQQ251121P598</stp>
        <tr r="U76" s="1"/>
        <tr r="U76" s="1"/>
      </tp>
      <tp>
        <v>208</v>
        <stp/>
        <stp>VOLUME</stp>
        <stp>.QQQ251121C598</stp>
        <tr r="T76" s="1"/>
        <tr r="T76" s="1"/>
      </tp>
      <tp>
        <v>6</v>
        <stp/>
        <stp>VOLUME</stp>
        <stp>.QQQ260130P597</stp>
        <tr r="M78" s="2"/>
        <tr r="M78" s="2"/>
      </tp>
      <tp t="s">
        <v>N/A</v>
        <stp/>
        <stp>VOLUME</stp>
        <stp>.QQQ260130C597</stp>
        <tr r="M78" s="2"/>
      </tp>
      <tp t="s">
        <v>N/A</v>
        <stp/>
        <stp>VOLUME</stp>
        <stp>.QQQ260130P596</stp>
        <tr r="M79" s="2"/>
      </tp>
      <tp>
        <v>1</v>
        <stp/>
        <stp>VOLUME</stp>
        <stp>.QQQ260130C596</stp>
        <tr r="M79" s="2"/>
        <tr r="M79" s="2"/>
      </tp>
      <tp>
        <v>12</v>
        <stp/>
        <stp>VOLUME</stp>
        <stp>.QQQ260130P595</stp>
        <tr r="M80" s="2"/>
        <tr r="M80" s="2"/>
      </tp>
      <tp>
        <v>7</v>
        <stp/>
        <stp>VOLUME</stp>
        <stp>.QQQ260130C595</stp>
        <tr r="M80" s="2"/>
        <tr r="M80" s="2"/>
      </tp>
      <tp t="s">
        <v>N/A</v>
        <stp/>
        <stp>VOLUME</stp>
        <stp>.QQQ260130P599</stp>
        <tr r="M76" s="2"/>
      </tp>
      <tp>
        <v>40</v>
        <stp/>
        <stp>VOLUME</stp>
        <stp>.QQQ260130C599</stp>
        <tr r="M76" s="2"/>
        <tr r="M76" s="2"/>
      </tp>
      <tp>
        <v>7</v>
        <stp/>
        <stp>VOLUME</stp>
        <stp>.QQQ260130P598</stp>
        <tr r="M77" s="2"/>
        <tr r="M77" s="2"/>
      </tp>
      <tp>
        <v>1</v>
        <stp/>
        <stp>VOLUME</stp>
        <stp>.QQQ260130C598</stp>
        <tr r="M77" s="2"/>
        <tr r="M77" s="2"/>
      </tp>
      <tp t="s">
        <v>N/A</v>
        <stp/>
        <stp>VOLUME</stp>
        <stp>.QQQ260206P611</stp>
        <tr r="N64" s="2"/>
      </tp>
      <tp>
        <v>101</v>
        <stp/>
        <stp>VOLUME</stp>
        <stp>.QQQ251205P611</stp>
        <tr r="I64" s="2"/>
        <tr r="I64" s="2"/>
      </tp>
      <tp>
        <v>188</v>
        <stp/>
        <stp>VOLUME</stp>
        <stp>.QQQ251212P606</stp>
        <tr r="J69" s="2"/>
        <tr r="J69" s="2"/>
      </tp>
      <tp>
        <v>93</v>
        <stp/>
        <stp>VOLUME</stp>
        <stp>.QQQ251231P625</stp>
        <tr r="O50" s="2"/>
        <tr r="O50" s="2"/>
      </tp>
      <tp>
        <v>64</v>
        <stp/>
        <stp>VOLUME</stp>
        <stp>.QQQ251205C611</stp>
        <tr r="I64" s="2"/>
        <tr r="I64" s="2"/>
      </tp>
      <tp>
        <v>66</v>
        <stp/>
        <stp>VOLUME</stp>
        <stp>.QQQ251212C606</stp>
        <tr r="J69" s="2"/>
        <tr r="J69" s="2"/>
      </tp>
      <tp>
        <v>125</v>
        <stp/>
        <stp>VOLUME</stp>
        <stp>.QQQ251231C625</stp>
        <tr r="O50" s="2"/>
        <tr r="O50" s="2"/>
      </tp>
      <tp t="s">
        <v>N/A</v>
        <stp/>
        <stp>VOLUME</stp>
        <stp>.QQQ260206C611</stp>
        <tr r="N64" s="2"/>
      </tp>
      <tp t="s">
        <v>N/A</v>
        <stp/>
        <stp>VOLUME</stp>
        <stp>.QQQ260206P610</stp>
        <tr r="N65" s="2"/>
      </tp>
      <tp>
        <v>1129</v>
        <stp/>
        <stp>VOLUME</stp>
        <stp>.QQQ251205P610</stp>
        <tr r="I65" s="2"/>
        <tr r="I65" s="2"/>
      </tp>
      <tp>
        <v>135</v>
        <stp/>
        <stp>VOLUME</stp>
        <stp>.QQQ251212P607</stp>
        <tr r="J68" s="2"/>
        <tr r="J68" s="2"/>
      </tp>
      <tp>
        <v>11</v>
        <stp/>
        <stp>VOLUME</stp>
        <stp>.QQQ251231P624</stp>
        <tr r="O51" s="2"/>
        <tr r="O51" s="2"/>
      </tp>
      <tp>
        <v>552</v>
        <stp/>
        <stp>VOLUME</stp>
        <stp>.QQQ251205C610</stp>
        <tr r="I65" s="2"/>
        <tr r="I65" s="2"/>
      </tp>
      <tp>
        <v>99</v>
        <stp/>
        <stp>VOLUME</stp>
        <stp>.QQQ251212C607</stp>
        <tr r="J68" s="2"/>
        <tr r="J68" s="2"/>
      </tp>
      <tp>
        <v>41</v>
        <stp/>
        <stp>VOLUME</stp>
        <stp>.QQQ251231C624</stp>
        <tr r="O51" s="2"/>
        <tr r="O51" s="2"/>
      </tp>
      <tp t="s">
        <v>N/A</v>
        <stp/>
        <stp>VOLUME</stp>
        <stp>.QQQ260206C610</stp>
        <tr r="N65" s="2"/>
      </tp>
      <tp t="s">
        <v>N/A</v>
        <stp/>
        <stp>VOLUME</stp>
        <stp>.QQQ260206P613</stp>
        <tr r="N62" s="2"/>
      </tp>
      <tp>
        <v>54</v>
        <stp/>
        <stp>VOLUME</stp>
        <stp>.QQQ251205P613</stp>
        <tr r="I62" s="2"/>
        <tr r="I62" s="2"/>
      </tp>
      <tp>
        <v>211</v>
        <stp/>
        <stp>VOLUME</stp>
        <stp>.QQQ251212P604</stp>
        <tr r="J71" s="2"/>
        <tr r="J71" s="2"/>
      </tp>
      <tp>
        <v>3</v>
        <stp/>
        <stp>VOLUME</stp>
        <stp>.QQQ251231P627</stp>
        <tr r="O48" s="2"/>
        <tr r="O48" s="2"/>
      </tp>
      <tp>
        <v>57</v>
        <stp/>
        <stp>VOLUME</stp>
        <stp>.QQQ251205C613</stp>
        <tr r="I62" s="2"/>
        <tr r="I62" s="2"/>
      </tp>
      <tp>
        <v>98</v>
        <stp/>
        <stp>VOLUME</stp>
        <stp>.QQQ251212C604</stp>
        <tr r="J71" s="2"/>
        <tr r="J71" s="2"/>
      </tp>
      <tp>
        <v>93</v>
        <stp/>
        <stp>VOLUME</stp>
        <stp>.QQQ251231C627</stp>
        <tr r="O48" s="2"/>
        <tr r="O48" s="2"/>
      </tp>
      <tp t="s">
        <v>N/A</v>
        <stp/>
        <stp>VOLUME</stp>
        <stp>.QQQ260206C613</stp>
        <tr r="N62" s="2"/>
      </tp>
      <tp t="s">
        <v>N/A</v>
        <stp/>
        <stp>VOLUME</stp>
        <stp>.QQQ260206P612</stp>
        <tr r="N63" s="2"/>
      </tp>
      <tp>
        <v>88</v>
        <stp/>
        <stp>VOLUME</stp>
        <stp>.QQQ251205P612</stp>
        <tr r="I63" s="2"/>
        <tr r="I63" s="2"/>
      </tp>
      <tp>
        <v>187</v>
        <stp/>
        <stp>VOLUME</stp>
        <stp>.QQQ251212P605</stp>
        <tr r="J70" s="2"/>
        <tr r="J70" s="2"/>
      </tp>
      <tp>
        <v>12</v>
        <stp/>
        <stp>VOLUME</stp>
        <stp>.QQQ251231P626</stp>
        <tr r="O49" s="2"/>
        <tr r="O49" s="2"/>
      </tp>
      <tp>
        <v>679</v>
        <stp/>
        <stp>VOLUME</stp>
        <stp>.QQQ251205C612</stp>
        <tr r="I63" s="2"/>
        <tr r="I63" s="2"/>
      </tp>
      <tp>
        <v>701</v>
        <stp/>
        <stp>VOLUME</stp>
        <stp>.QQQ251212C605</stp>
        <tr r="J70" s="2"/>
        <tr r="J70" s="2"/>
      </tp>
      <tp>
        <v>80</v>
        <stp/>
        <stp>VOLUME</stp>
        <stp>.QQQ251231C626</stp>
        <tr r="O49" s="2"/>
        <tr r="O49" s="2"/>
      </tp>
      <tp t="s">
        <v>N/A</v>
        <stp/>
        <stp>VOLUME</stp>
        <stp>.QQQ260206C612</stp>
        <tr r="N63" s="2"/>
      </tp>
      <tp t="s">
        <v>N/A</v>
        <stp/>
        <stp>VOLUME</stp>
        <stp>.QQQ260206P615</stp>
        <tr r="N60" s="2"/>
      </tp>
      <tp>
        <v>308</v>
        <stp/>
        <stp>VOLUME</stp>
        <stp>.QQQ251205P615</stp>
        <tr r="I60" s="2"/>
        <tr r="I60" s="2"/>
      </tp>
      <tp>
        <v>129</v>
        <stp/>
        <stp>VOLUME</stp>
        <stp>.QQQ251212P602</stp>
        <tr r="J73" s="2"/>
        <tr r="J73" s="2"/>
      </tp>
      <tp>
        <v>409</v>
        <stp/>
        <stp>VOLUME</stp>
        <stp>.QQQ251219P609</stp>
        <tr r="K66" s="2"/>
        <tr r="K66" s="2"/>
      </tp>
      <tp>
        <v>80</v>
        <stp/>
        <stp>VOLUME</stp>
        <stp>.QQQ251231P621</stp>
        <tr r="O54" s="2"/>
        <tr r="O54" s="2"/>
      </tp>
      <tp>
        <v>404</v>
        <stp/>
        <stp>VOLUME</stp>
        <stp>.QQQ251205C615</stp>
        <tr r="I60" s="2"/>
        <tr r="I60" s="2"/>
      </tp>
      <tp>
        <v>63</v>
        <stp/>
        <stp>VOLUME</stp>
        <stp>.QQQ251212C602</stp>
        <tr r="J73" s="2"/>
        <tr r="J73" s="2"/>
      </tp>
      <tp>
        <v>680</v>
        <stp/>
        <stp>VOLUME</stp>
        <stp>.QQQ251219C609</stp>
        <tr r="K66" s="2"/>
        <tr r="K66" s="2"/>
      </tp>
      <tp>
        <v>22</v>
        <stp/>
        <stp>VOLUME</stp>
        <stp>.QQQ251231C621</stp>
        <tr r="O54" s="2"/>
        <tr r="O54" s="2"/>
      </tp>
      <tp t="s">
        <v>N/A</v>
        <stp/>
        <stp>VOLUME</stp>
        <stp>.QQQ260206C615</stp>
        <tr r="N60" s="2"/>
      </tp>
      <tp t="s">
        <v>N/A</v>
        <stp/>
        <stp>VOLUME</stp>
        <stp>.QQQ260206P614</stp>
        <tr r="N61" s="2"/>
      </tp>
      <tp>
        <v>142</v>
        <stp/>
        <stp>VOLUME</stp>
        <stp>.QQQ251205P614</stp>
        <tr r="I61" s="2"/>
        <tr r="I61" s="2"/>
      </tp>
      <tp>
        <v>45</v>
        <stp/>
        <stp>VOLUME</stp>
        <stp>.QQQ251212P603</stp>
        <tr r="J72" s="2"/>
        <tr r="J72" s="2"/>
      </tp>
      <tp>
        <v>288</v>
        <stp/>
        <stp>VOLUME</stp>
        <stp>.QQQ251219P608</stp>
        <tr r="K67" s="2"/>
        <tr r="K67" s="2"/>
      </tp>
      <tp>
        <v>407</v>
        <stp/>
        <stp>VOLUME</stp>
        <stp>.QQQ251231P620</stp>
        <tr r="O55" s="2"/>
        <tr r="O55" s="2"/>
      </tp>
      <tp>
        <v>46</v>
        <stp/>
        <stp>VOLUME</stp>
        <stp>.QQQ251205C614</stp>
        <tr r="I61" s="2"/>
        <tr r="I61" s="2"/>
      </tp>
      <tp>
        <v>64</v>
        <stp/>
        <stp>VOLUME</stp>
        <stp>.QQQ251212C603</stp>
        <tr r="J72" s="2"/>
        <tr r="J72" s="2"/>
      </tp>
      <tp>
        <v>456</v>
        <stp/>
        <stp>VOLUME</stp>
        <stp>.QQQ251219C608</stp>
        <tr r="K67" s="2"/>
        <tr r="K67" s="2"/>
      </tp>
      <tp>
        <v>1384</v>
        <stp/>
        <stp>VOLUME</stp>
        <stp>.QQQ251231C620</stp>
        <tr r="O55" s="2"/>
        <tr r="O55" s="2"/>
      </tp>
      <tp t="s">
        <v>N/A</v>
        <stp/>
        <stp>VOLUME</stp>
        <stp>.QQQ260206C614</stp>
        <tr r="N61" s="2"/>
      </tp>
      <tp t="s">
        <v>N/A</v>
        <stp/>
        <stp>VOLUME</stp>
        <stp>.QQQ260206P617</stp>
        <tr r="N58" s="2"/>
      </tp>
      <tp>
        <v>41</v>
        <stp/>
        <stp>VOLUME</stp>
        <stp>.QQQ251205P617</stp>
        <tr r="I58" s="2"/>
        <tr r="I58" s="2"/>
      </tp>
      <tp>
        <v>1117</v>
        <stp/>
        <stp>VOLUME</stp>
        <stp>.QQQ251212P600</stp>
        <tr r="J75" s="2"/>
        <tr r="J75" s="2"/>
      </tp>
      <tp>
        <v>15</v>
        <stp/>
        <stp>VOLUME</stp>
        <stp>.QQQ251231P623</stp>
        <tr r="O52" s="2"/>
        <tr r="O52" s="2"/>
      </tp>
      <tp>
        <v>82</v>
        <stp/>
        <stp>VOLUME</stp>
        <stp>.QQQ251205C617</stp>
        <tr r="I58" s="2"/>
        <tr r="I58" s="2"/>
      </tp>
      <tp>
        <v>104</v>
        <stp/>
        <stp>VOLUME</stp>
        <stp>.QQQ251212C600</stp>
        <tr r="J75" s="2"/>
        <tr r="J75" s="2"/>
      </tp>
      <tp>
        <v>18</v>
        <stp/>
        <stp>VOLUME</stp>
        <stp>.QQQ251231C623</stp>
        <tr r="O52" s="2"/>
        <tr r="O52" s="2"/>
      </tp>
      <tp t="s">
        <v>N/A</v>
        <stp/>
        <stp>VOLUME</stp>
        <stp>.QQQ260206C617</stp>
        <tr r="N58" s="2"/>
      </tp>
      <tp t="s">
        <v>N/A</v>
        <stp/>
        <stp>VOLUME</stp>
        <stp>.QQQ260206P616</stp>
        <tr r="N59" s="2"/>
      </tp>
      <tp>
        <v>7</v>
        <stp/>
        <stp>VOLUME</stp>
        <stp>.QQQ251205P616</stp>
        <tr r="I59" s="2"/>
        <tr r="I59" s="2"/>
      </tp>
      <tp>
        <v>54</v>
        <stp/>
        <stp>VOLUME</stp>
        <stp>.QQQ251212P601</stp>
        <tr r="J74" s="2"/>
        <tr r="J74" s="2"/>
      </tp>
      <tp>
        <v>97</v>
        <stp/>
        <stp>VOLUME</stp>
        <stp>.QQQ251231P622</stp>
        <tr r="O53" s="2"/>
        <tr r="O53" s="2"/>
      </tp>
      <tp>
        <v>175</v>
        <stp/>
        <stp>VOLUME</stp>
        <stp>.QQQ251205C616</stp>
        <tr r="I59" s="2"/>
        <tr r="I59" s="2"/>
      </tp>
      <tp>
        <v>51</v>
        <stp/>
        <stp>VOLUME</stp>
        <stp>.QQQ251212C601</stp>
        <tr r="J74" s="2"/>
        <tr r="J74" s="2"/>
      </tp>
      <tp>
        <v>111</v>
        <stp/>
        <stp>VOLUME</stp>
        <stp>.QQQ251231C622</stp>
        <tr r="O53" s="2"/>
        <tr r="O53" s="2"/>
      </tp>
      <tp t="s">
        <v>N/A</v>
        <stp/>
        <stp>VOLUME</stp>
        <stp>.QQQ260206C616</stp>
        <tr r="N59" s="2"/>
      </tp>
      <tp t="s">
        <v>N/A</v>
        <stp/>
        <stp>VOLUME</stp>
        <stp>.QQQ260206P619</stp>
        <tr r="N56" s="2"/>
      </tp>
      <tp>
        <v>26</v>
        <stp/>
        <stp>VOLUME</stp>
        <stp>.QQQ251205P619</stp>
        <tr r="I56" s="2"/>
        <tr r="I56" s="2"/>
      </tp>
      <tp>
        <v>4184</v>
        <stp/>
        <stp>VOLUME</stp>
        <stp>.QQQ251219P605</stp>
        <tr r="K70" s="2"/>
        <tr r="K70" s="2"/>
      </tp>
      <tp>
        <v>153</v>
        <stp/>
        <stp>VOLUME</stp>
        <stp>.QQQ251205C619</stp>
        <tr r="I56" s="2"/>
        <tr r="I56" s="2"/>
      </tp>
      <tp>
        <v>2955</v>
        <stp/>
        <stp>VOLUME</stp>
        <stp>.QQQ251219C605</stp>
        <tr r="K70" s="2"/>
        <tr r="K70" s="2"/>
      </tp>
      <tp t="s">
        <v>N/A</v>
        <stp/>
        <stp>VOLUME</stp>
        <stp>.QQQ260206C619</stp>
        <tr r="N56" s="2"/>
      </tp>
      <tp t="s">
        <v>N/A</v>
        <stp/>
        <stp>VOLUME</stp>
        <stp>.QQQ260206P618</stp>
        <tr r="N57" s="2"/>
      </tp>
      <tp>
        <v>28</v>
        <stp/>
        <stp>VOLUME</stp>
        <stp>.QQQ251205P618</stp>
        <tr r="I57" s="2"/>
        <tr r="I57" s="2"/>
      </tp>
      <tp>
        <v>597</v>
        <stp/>
        <stp>VOLUME</stp>
        <stp>.QQQ251219P604</stp>
        <tr r="K71" s="2"/>
        <tr r="K71" s="2"/>
      </tp>
      <tp>
        <v>60</v>
        <stp/>
        <stp>VOLUME</stp>
        <stp>.QQQ251205C618</stp>
        <tr r="I57" s="2"/>
        <tr r="I57" s="2"/>
      </tp>
      <tp>
        <v>489</v>
        <stp/>
        <stp>VOLUME</stp>
        <stp>.QQQ251219C604</stp>
        <tr r="K71" s="2"/>
        <tr r="K71" s="2"/>
      </tp>
      <tp t="s">
        <v>N/A</v>
        <stp/>
        <stp>VOLUME</stp>
        <stp>.QQQ260206C618</stp>
        <tr r="N57" s="2"/>
      </tp>
      <tp>
        <v>315</v>
        <stp/>
        <stp>VOLUME</stp>
        <stp>.QQQ251219P607</stp>
        <tr r="K68" s="2"/>
        <tr r="K68" s="2"/>
      </tp>
      <tp>
        <v>692</v>
        <stp/>
        <stp>VOLUME</stp>
        <stp>.QQQ251219C607</stp>
        <tr r="K68" s="2"/>
        <tr r="K68" s="2"/>
      </tp>
      <tp>
        <v>121</v>
        <stp/>
        <stp>VOLUME</stp>
        <stp>.QQQ251219P606</stp>
        <tr r="K69" s="2"/>
        <tr r="K69" s="2"/>
      </tp>
      <tp>
        <v>602</v>
        <stp/>
        <stp>VOLUME</stp>
        <stp>.QQQ251219C606</stp>
        <tr r="K69" s="2"/>
        <tr r="K69" s="2"/>
      </tp>
      <tp>
        <v>221</v>
        <stp/>
        <stp>VOLUME</stp>
        <stp>.QQQ251219P601</stp>
        <tr r="K74" s="2"/>
        <tr r="K74" s="2"/>
      </tp>
      <tp>
        <v>10</v>
        <stp/>
        <stp>VOLUME</stp>
        <stp>.QQQ251231P629</stp>
        <tr r="O46" s="2"/>
        <tr r="O46" s="2"/>
      </tp>
      <tp>
        <v>150</v>
        <stp/>
        <stp>VOLUME</stp>
        <stp>.QQQ251219C601</stp>
        <tr r="K74" s="2"/>
        <tr r="K74" s="2"/>
      </tp>
      <tp>
        <v>65</v>
        <stp/>
        <stp>VOLUME</stp>
        <stp>.QQQ251231C629</stp>
        <tr r="O46" s="2"/>
        <tr r="O46" s="2"/>
      </tp>
      <tp>
        <v>9736</v>
        <stp/>
        <stp>VOLUME</stp>
        <stp>.QQQ251219P600</stp>
        <tr r="K75" s="2"/>
        <tr r="K75" s="2"/>
      </tp>
      <tp>
        <v>7</v>
        <stp/>
        <stp>VOLUME</stp>
        <stp>.QQQ251231P628</stp>
        <tr r="O47" s="2"/>
        <tr r="O47" s="2"/>
      </tp>
      <tp>
        <v>2424</v>
        <stp/>
        <stp>VOLUME</stp>
        <stp>.QQQ251219C600</stp>
        <tr r="K75" s="2"/>
        <tr r="K75" s="2"/>
      </tp>
      <tp>
        <v>36</v>
        <stp/>
        <stp>VOLUME</stp>
        <stp>.QQQ251231C628</stp>
        <tr r="O47" s="2"/>
        <tr r="O47" s="2"/>
      </tp>
      <tp>
        <v>103</v>
        <stp/>
        <stp>VOLUME</stp>
        <stp>.QQQ251212P608</stp>
        <tr r="J67" s="2"/>
        <tr r="J67" s="2"/>
      </tp>
      <tp>
        <v>531</v>
        <stp/>
        <stp>VOLUME</stp>
        <stp>.QQQ251219P603</stp>
        <tr r="K72" s="2"/>
        <tr r="K72" s="2"/>
      </tp>
      <tp>
        <v>112</v>
        <stp/>
        <stp>VOLUME</stp>
        <stp>.QQQ251212C608</stp>
        <tr r="J67" s="2"/>
        <tr r="J67" s="2"/>
      </tp>
      <tp>
        <v>273</v>
        <stp/>
        <stp>VOLUME</stp>
        <stp>.QQQ251219C603</stp>
        <tr r="K72" s="2"/>
        <tr r="K72" s="2"/>
      </tp>
      <tp>
        <v>139</v>
        <stp/>
        <stp>VOLUME</stp>
        <stp>.QQQ251212P609</stp>
        <tr r="J66" s="2"/>
        <tr r="J66" s="2"/>
      </tp>
      <tp>
        <v>180</v>
        <stp/>
        <stp>VOLUME</stp>
        <stp>.QQQ251219P602</stp>
        <tr r="K73" s="2"/>
        <tr r="K73" s="2"/>
      </tp>
      <tp>
        <v>53</v>
        <stp/>
        <stp>VOLUME</stp>
        <stp>.QQQ251212C609</stp>
        <tr r="J66" s="2"/>
        <tr r="J66" s="2"/>
      </tp>
      <tp>
        <v>278</v>
        <stp/>
        <stp>VOLUME</stp>
        <stp>.QQQ251219C602</stp>
        <tr r="K73" s="2"/>
        <tr r="K73" s="2"/>
      </tp>
      <tp t="s">
        <v>N/A</v>
        <stp/>
        <stp>VOLUME</stp>
        <stp>.QQQ260206P601</stp>
        <tr r="N74" s="2"/>
      </tp>
      <tp t="s">
        <v>N/A</v>
        <stp/>
        <stp>VOLUME</stp>
        <stp>.QQQ260227P620</stp>
        <tr r="P55" s="2"/>
      </tp>
      <tp>
        <v>157</v>
        <stp/>
        <stp>VOLUME</stp>
        <stp>.QQQ251205P601</stp>
        <tr r="I74" s="2"/>
        <tr r="I74" s="2"/>
      </tp>
      <tp>
        <v>19</v>
        <stp/>
        <stp>VOLUME</stp>
        <stp>.QQQ251212P616</stp>
        <tr r="J59" s="2"/>
        <tr r="J59" s="2"/>
      </tp>
      <tp>
        <v>161</v>
        <stp/>
        <stp>VOLUME</stp>
        <stp>.QQQ251205C601</stp>
        <tr r="I74" s="2"/>
        <tr r="I74" s="2"/>
      </tp>
      <tp>
        <v>20</v>
        <stp/>
        <stp>VOLUME</stp>
        <stp>.QQQ251212C616</stp>
        <tr r="J59" s="2"/>
        <tr r="J59" s="2"/>
      </tp>
      <tp t="s">
        <v>N/A</v>
        <stp/>
        <stp>VOLUME</stp>
        <stp>.QQQ260206C601</stp>
        <tr r="N74" s="2"/>
      </tp>
      <tp t="s">
        <v>N/A</v>
        <stp/>
        <stp>VOLUME</stp>
        <stp>.QQQ260227C620</stp>
        <tr r="P55" s="2"/>
      </tp>
      <tp t="s">
        <v>N/A</v>
        <stp/>
        <stp>VOLUME</stp>
        <stp>.QQQ260206P600</stp>
        <tr r="N75" s="2"/>
      </tp>
      <tp t="s">
        <v>N/A</v>
        <stp/>
        <stp>VOLUME</stp>
        <stp>.QQQ260227P621</stp>
        <tr r="P54" s="2"/>
      </tp>
      <tp>
        <v>1216</v>
        <stp/>
        <stp>VOLUME</stp>
        <stp>.QQQ251205P600</stp>
        <tr r="I75" s="2"/>
        <tr r="I75" s="2"/>
      </tp>
      <tp>
        <v>2</v>
        <stp/>
        <stp>VOLUME</stp>
        <stp>.QQQ251212P617</stp>
        <tr r="J58" s="2"/>
        <tr r="J58" s="2"/>
      </tp>
      <tp>
        <v>398</v>
        <stp/>
        <stp>VOLUME</stp>
        <stp>.QQQ251205C600</stp>
        <tr r="I75" s="2"/>
        <tr r="I75" s="2"/>
      </tp>
      <tp>
        <v>80</v>
        <stp/>
        <stp>VOLUME</stp>
        <stp>.QQQ251212C617</stp>
        <tr r="J58" s="2"/>
        <tr r="J58" s="2"/>
      </tp>
      <tp t="s">
        <v>N/A</v>
        <stp/>
        <stp>VOLUME</stp>
        <stp>.QQQ260206C600</stp>
        <tr r="N75" s="2"/>
      </tp>
      <tp t="s">
        <v>N/A</v>
        <stp/>
        <stp>VOLUME</stp>
        <stp>.QQQ260227C621</stp>
        <tr r="P54" s="2"/>
      </tp>
      <tp t="s">
        <v>N/A</v>
        <stp/>
        <stp>VOLUME</stp>
        <stp>.QQQ260206P603</stp>
        <tr r="N72" s="2"/>
      </tp>
      <tp t="s">
        <v>N/A</v>
        <stp/>
        <stp>VOLUME</stp>
        <stp>.QQQ260227P622</stp>
        <tr r="P53" s="2"/>
      </tp>
      <tp>
        <v>435</v>
        <stp/>
        <stp>VOLUME</stp>
        <stp>.QQQ251205P603</stp>
        <tr r="I72" s="2"/>
        <tr r="I72" s="2"/>
      </tp>
      <tp>
        <v>69</v>
        <stp/>
        <stp>VOLUME</stp>
        <stp>.QQQ251212P614</stp>
        <tr r="J61" s="2"/>
        <tr r="J61" s="2"/>
      </tp>
      <tp>
        <v>311</v>
        <stp/>
        <stp>VOLUME</stp>
        <stp>.QQQ251205C603</stp>
        <tr r="I72" s="2"/>
        <tr r="I72" s="2"/>
      </tp>
      <tp>
        <v>3</v>
        <stp/>
        <stp>VOLUME</stp>
        <stp>.QQQ251212C614</stp>
        <tr r="J61" s="2"/>
        <tr r="J61" s="2"/>
      </tp>
      <tp t="s">
        <v>N/A</v>
        <stp/>
        <stp>VOLUME</stp>
        <stp>.QQQ260206C603</stp>
        <tr r="N72" s="2"/>
      </tp>
      <tp t="s">
        <v>N/A</v>
        <stp/>
        <stp>VOLUME</stp>
        <stp>.QQQ260227C622</stp>
        <tr r="P53" s="2"/>
      </tp>
      <tp t="s">
        <v>N/A</v>
        <stp/>
        <stp>VOLUME</stp>
        <stp>.QQQ260206P602</stp>
        <tr r="N73" s="2"/>
      </tp>
      <tp t="s">
        <v>N/A</v>
        <stp/>
        <stp>VOLUME</stp>
        <stp>.QQQ260227P623</stp>
        <tr r="P52" s="2"/>
      </tp>
      <tp>
        <v>156</v>
        <stp/>
        <stp>VOLUME</stp>
        <stp>.QQQ251205P602</stp>
        <tr r="I73" s="2"/>
        <tr r="I73" s="2"/>
      </tp>
      <tp>
        <v>158</v>
        <stp/>
        <stp>VOLUME</stp>
        <stp>.QQQ251212P615</stp>
        <tr r="J60" s="2"/>
        <tr r="J60" s="2"/>
      </tp>
      <tp>
        <v>170</v>
        <stp/>
        <stp>VOLUME</stp>
        <stp>.QQQ251205C602</stp>
        <tr r="I73" s="2"/>
        <tr r="I73" s="2"/>
      </tp>
      <tp>
        <v>240</v>
        <stp/>
        <stp>VOLUME</stp>
        <stp>.QQQ251212C615</stp>
        <tr r="J60" s="2"/>
        <tr r="J60" s="2"/>
      </tp>
      <tp t="s">
        <v>N/A</v>
        <stp/>
        <stp>VOLUME</stp>
        <stp>.QQQ260206C602</stp>
        <tr r="N73" s="2"/>
      </tp>
      <tp t="s">
        <v>N/A</v>
        <stp/>
        <stp>VOLUME</stp>
        <stp>.QQQ260227C623</stp>
        <tr r="P52" s="2"/>
      </tp>
      <tp t="s">
        <v>N/A</v>
        <stp/>
        <stp>VOLUME</stp>
        <stp>.QQQ260206P605</stp>
        <tr r="N70" s="2"/>
      </tp>
      <tp t="s">
        <v>N/A</v>
        <stp/>
        <stp>VOLUME</stp>
        <stp>.QQQ260227P624</stp>
        <tr r="P51" s="2"/>
      </tp>
      <tp>
        <v>493</v>
        <stp/>
        <stp>VOLUME</stp>
        <stp>.QQQ251205P605</stp>
        <tr r="I70" s="2"/>
        <tr r="I70" s="2"/>
      </tp>
      <tp>
        <v>16</v>
        <stp/>
        <stp>VOLUME</stp>
        <stp>.QQQ251212P612</stp>
        <tr r="J63" s="2"/>
        <tr r="J63" s="2"/>
      </tp>
      <tp>
        <v>126</v>
        <stp/>
        <stp>VOLUME</stp>
        <stp>.QQQ251219P619</stp>
        <tr r="K56" s="2"/>
        <tr r="K56" s="2"/>
      </tp>
      <tp>
        <v>401</v>
        <stp/>
        <stp>VOLUME</stp>
        <stp>.QQQ251205C605</stp>
        <tr r="I70" s="2"/>
        <tr r="I70" s="2"/>
      </tp>
      <tp>
        <v>104</v>
        <stp/>
        <stp>VOLUME</stp>
        <stp>.QQQ251212C612</stp>
        <tr r="J63" s="2"/>
        <tr r="J63" s="2"/>
      </tp>
      <tp>
        <v>78</v>
        <stp/>
        <stp>VOLUME</stp>
        <stp>.QQQ251219C619</stp>
        <tr r="K56" s="2"/>
        <tr r="K56" s="2"/>
      </tp>
      <tp t="s">
        <v>N/A</v>
        <stp/>
        <stp>VOLUME</stp>
        <stp>.QQQ260206C605</stp>
        <tr r="N70" s="2"/>
      </tp>
      <tp t="s">
        <v>N/A</v>
        <stp/>
        <stp>VOLUME</stp>
        <stp>.QQQ260227C624</stp>
        <tr r="P51" s="2"/>
      </tp>
      <tp t="s">
        <v>N/A</v>
        <stp/>
        <stp>VOLUME</stp>
        <stp>.QQQ260206P604</stp>
        <tr r="N71" s="2"/>
      </tp>
      <tp t="s">
        <v>N/A</v>
        <stp/>
        <stp>VOLUME</stp>
        <stp>.QQQ260227P625</stp>
        <tr r="P50" s="2"/>
      </tp>
      <tp>
        <v>602</v>
        <stp/>
        <stp>VOLUME</stp>
        <stp>.QQQ251205P604</stp>
        <tr r="I71" s="2"/>
        <tr r="I71" s="2"/>
      </tp>
      <tp>
        <v>5</v>
        <stp/>
        <stp>VOLUME</stp>
        <stp>.QQQ251212P613</stp>
        <tr r="J62" s="2"/>
        <tr r="J62" s="2"/>
      </tp>
      <tp>
        <v>40</v>
        <stp/>
        <stp>VOLUME</stp>
        <stp>.QQQ251219P618</stp>
        <tr r="K57" s="2"/>
        <tr r="K57" s="2"/>
      </tp>
      <tp>
        <v>218</v>
        <stp/>
        <stp>VOLUME</stp>
        <stp>.QQQ251205C604</stp>
        <tr r="I71" s="2"/>
        <tr r="I71" s="2"/>
      </tp>
      <tp>
        <v>18</v>
        <stp/>
        <stp>VOLUME</stp>
        <stp>.QQQ251212C613</stp>
        <tr r="J62" s="2"/>
        <tr r="J62" s="2"/>
      </tp>
      <tp>
        <v>224</v>
        <stp/>
        <stp>VOLUME</stp>
        <stp>.QQQ251219C618</stp>
        <tr r="K57" s="2"/>
        <tr r="K57" s="2"/>
      </tp>
      <tp t="s">
        <v>N/A</v>
        <stp/>
        <stp>VOLUME</stp>
        <stp>.QQQ260206C604</stp>
        <tr r="N71" s="2"/>
      </tp>
      <tp t="s">
        <v>N/A</v>
        <stp/>
        <stp>VOLUME</stp>
        <stp>.QQQ260227C625</stp>
        <tr r="P50" s="2"/>
      </tp>
      <tp t="s">
        <v>N/A</v>
        <stp/>
        <stp>VOLUME</stp>
        <stp>.QQQ260206P607</stp>
        <tr r="N68" s="2"/>
      </tp>
      <tp t="s">
        <v>N/A</v>
        <stp/>
        <stp>VOLUME</stp>
        <stp>.QQQ260227P626</stp>
        <tr r="P49" s="2"/>
      </tp>
      <tp>
        <v>360</v>
        <stp/>
        <stp>VOLUME</stp>
        <stp>.QQQ251205P607</stp>
        <tr r="I68" s="2"/>
        <tr r="I68" s="2"/>
      </tp>
      <tp>
        <v>187</v>
        <stp/>
        <stp>VOLUME</stp>
        <stp>.QQQ251212P610</stp>
        <tr r="J65" s="2"/>
        <tr r="J65" s="2"/>
      </tp>
      <tp>
        <v>461</v>
        <stp/>
        <stp>VOLUME</stp>
        <stp>.QQQ251205C607</stp>
        <tr r="I68" s="2"/>
        <tr r="I68" s="2"/>
      </tp>
      <tp>
        <v>469</v>
        <stp/>
        <stp>VOLUME</stp>
        <stp>.QQQ251212C610</stp>
        <tr r="J65" s="2"/>
        <tr r="J65" s="2"/>
      </tp>
      <tp t="s">
        <v>N/A</v>
        <stp/>
        <stp>VOLUME</stp>
        <stp>.QQQ260206C607</stp>
        <tr r="N68" s="2"/>
      </tp>
      <tp t="s">
        <v>N/A</v>
        <stp/>
        <stp>VOLUME</stp>
        <stp>.QQQ260227C626</stp>
        <tr r="P49" s="2"/>
      </tp>
      <tp t="s">
        <v>N/A</v>
        <stp/>
        <stp>VOLUME</stp>
        <stp>.QQQ260206P606</stp>
        <tr r="N69" s="2"/>
      </tp>
      <tp t="s">
        <v>N/A</v>
        <stp/>
        <stp>VOLUME</stp>
        <stp>.QQQ260227P627</stp>
        <tr r="P48" s="2"/>
      </tp>
      <tp>
        <v>425</v>
        <stp/>
        <stp>VOLUME</stp>
        <stp>.QQQ251205P606</stp>
        <tr r="I69" s="2"/>
        <tr r="I69" s="2"/>
      </tp>
      <tp>
        <v>20</v>
        <stp/>
        <stp>VOLUME</stp>
        <stp>.QQQ251212P611</stp>
        <tr r="J64" s="2"/>
        <tr r="J64" s="2"/>
      </tp>
      <tp>
        <v>223</v>
        <stp/>
        <stp>VOLUME</stp>
        <stp>.QQQ251205C606</stp>
        <tr r="I69" s="2"/>
        <tr r="I69" s="2"/>
      </tp>
      <tp>
        <v>13</v>
        <stp/>
        <stp>VOLUME</stp>
        <stp>.QQQ251212C611</stp>
        <tr r="J64" s="2"/>
        <tr r="J64" s="2"/>
      </tp>
      <tp t="s">
        <v>N/A</v>
        <stp/>
        <stp>VOLUME</stp>
        <stp>.QQQ260206C606</stp>
        <tr r="N69" s="2"/>
      </tp>
      <tp t="s">
        <v>N/A</v>
        <stp/>
        <stp>VOLUME</stp>
        <stp>.QQQ260227C627</stp>
        <tr r="P48" s="2"/>
      </tp>
      <tp t="s">
        <v>N/A</v>
        <stp/>
        <stp>VOLUME</stp>
        <stp>.QQQ260206P609</stp>
        <tr r="N66" s="2"/>
      </tp>
      <tp t="s">
        <v>N/A</v>
        <stp/>
        <stp>VOLUME</stp>
        <stp>.QQQ260227P628</stp>
        <tr r="P47" s="2"/>
      </tp>
      <tp>
        <v>34</v>
        <stp/>
        <stp>VOLUME</stp>
        <stp>.QQQ251205P609</stp>
        <tr r="I66" s="2"/>
        <tr r="I66" s="2"/>
      </tp>
      <tp>
        <v>1182</v>
        <stp/>
        <stp>VOLUME</stp>
        <stp>.QQQ251219P615</stp>
        <tr r="K60" s="2"/>
        <tr r="K60" s="2"/>
      </tp>
      <tp>
        <v>226</v>
        <stp/>
        <stp>VOLUME</stp>
        <stp>.QQQ251205C609</stp>
        <tr r="I66" s="2"/>
        <tr r="I66" s="2"/>
      </tp>
      <tp>
        <v>1804</v>
        <stp/>
        <stp>VOLUME</stp>
        <stp>.QQQ251219C615</stp>
        <tr r="K60" s="2"/>
        <tr r="K60" s="2"/>
      </tp>
      <tp t="s">
        <v>N/A</v>
        <stp/>
        <stp>VOLUME</stp>
        <stp>.QQQ260206C609</stp>
        <tr r="N66" s="2"/>
      </tp>
      <tp t="s">
        <v>N/A</v>
        <stp/>
        <stp>VOLUME</stp>
        <stp>.QQQ260227C628</stp>
        <tr r="P47" s="2"/>
      </tp>
      <tp t="s">
        <v>N/A</v>
        <stp/>
        <stp>VOLUME</stp>
        <stp>.QQQ260206P608</stp>
        <tr r="N67" s="2"/>
      </tp>
      <tp t="s">
        <v>N/A</v>
        <stp/>
        <stp>VOLUME</stp>
        <stp>.QQQ260227P629</stp>
        <tr r="P46" s="2"/>
      </tp>
      <tp>
        <v>150</v>
        <stp/>
        <stp>VOLUME</stp>
        <stp>.QQQ251205P608</stp>
        <tr r="I67" s="2"/>
        <tr r="I67" s="2"/>
      </tp>
      <tp>
        <v>34</v>
        <stp/>
        <stp>VOLUME</stp>
        <stp>.QQQ251219P614</stp>
        <tr r="K61" s="2"/>
        <tr r="K61" s="2"/>
      </tp>
      <tp>
        <v>307</v>
        <stp/>
        <stp>VOLUME</stp>
        <stp>.QQQ251205C608</stp>
        <tr r="I67" s="2"/>
        <tr r="I67" s="2"/>
      </tp>
      <tp>
        <v>82</v>
        <stp/>
        <stp>VOLUME</stp>
        <stp>.QQQ251219C614</stp>
        <tr r="K61" s="2"/>
        <tr r="K61" s="2"/>
      </tp>
      <tp t="s">
        <v>N/A</v>
        <stp/>
        <stp>VOLUME</stp>
        <stp>.QQQ260206C608</stp>
        <tr r="N67" s="2"/>
      </tp>
      <tp t="s">
        <v>N/A</v>
        <stp/>
        <stp>VOLUME</stp>
        <stp>.QQQ260227C629</stp>
        <tr r="P46" s="2"/>
      </tp>
      <tp>
        <v>25</v>
        <stp/>
        <stp>VOLUME</stp>
        <stp>.QQQ251219P617</stp>
        <tr r="K58" s="2"/>
        <tr r="K58" s="2"/>
      </tp>
      <tp>
        <v>194</v>
        <stp/>
        <stp>VOLUME</stp>
        <stp>.QQQ251219C617</stp>
        <tr r="K58" s="2"/>
        <tr r="K58" s="2"/>
      </tp>
      <tp>
        <v>61</v>
        <stp/>
        <stp>VOLUME</stp>
        <stp>.QQQ251219P616</stp>
        <tr r="K59" s="2"/>
        <tr r="K59" s="2"/>
      </tp>
      <tp>
        <v>706</v>
        <stp/>
        <stp>VOLUME</stp>
        <stp>.QQQ251219C616</stp>
        <tr r="K59" s="2"/>
        <tr r="K59" s="2"/>
      </tp>
      <tp>
        <v>234</v>
        <stp/>
        <stp>VOLUME</stp>
        <stp>.QQQ251219P611</stp>
        <tr r="K64" s="2"/>
        <tr r="K64" s="2"/>
      </tp>
      <tp>
        <v>785</v>
        <stp/>
        <stp>VOLUME</stp>
        <stp>.QQQ251219C611</stp>
        <tr r="K64" s="2"/>
        <tr r="K64" s="2"/>
      </tp>
      <tp>
        <v>2634</v>
        <stp/>
        <stp>VOLUME</stp>
        <stp>.QQQ251219P610</stp>
        <tr r="K65" s="2"/>
        <tr r="K65" s="2"/>
      </tp>
      <tp>
        <v>3097</v>
        <stp/>
        <stp>VOLUME</stp>
        <stp>.QQQ251219C610</stp>
        <tr r="K65" s="2"/>
        <tr r="K65" s="2"/>
      </tp>
      <tp>
        <v>66</v>
        <stp/>
        <stp>VOLUME</stp>
        <stp>.QQQ251212P618</stp>
        <tr r="J57" s="2"/>
        <tr r="J57" s="2"/>
      </tp>
      <tp>
        <v>71</v>
        <stp/>
        <stp>VOLUME</stp>
        <stp>.QQQ251219P613</stp>
        <tr r="K62" s="2"/>
        <tr r="K62" s="2"/>
      </tp>
      <tp>
        <v>45</v>
        <stp/>
        <stp>VOLUME</stp>
        <stp>.QQQ251212C618</stp>
        <tr r="J57" s="2"/>
        <tr r="J57" s="2"/>
      </tp>
      <tp>
        <v>87</v>
        <stp/>
        <stp>VOLUME</stp>
        <stp>.QQQ251219C613</stp>
        <tr r="K62" s="2"/>
        <tr r="K62" s="2"/>
      </tp>
      <tp>
        <v>6</v>
        <stp/>
        <stp>VOLUME</stp>
        <stp>.QQQ251212P619</stp>
        <tr r="J56" s="2"/>
        <tr r="J56" s="2"/>
      </tp>
      <tp>
        <v>271</v>
        <stp/>
        <stp>VOLUME</stp>
        <stp>.QQQ251219P612</stp>
        <tr r="K63" s="2"/>
        <tr r="K63" s="2"/>
      </tp>
      <tp>
        <v>11</v>
        <stp/>
        <stp>VOLUME</stp>
        <stp>.QQQ251212C619</stp>
        <tr r="J56" s="2"/>
        <tr r="J56" s="2"/>
      </tp>
      <tp>
        <v>199</v>
        <stp/>
        <stp>VOLUME</stp>
        <stp>.QQQ251219C612</stp>
        <tr r="K63" s="2"/>
        <tr r="K63" s="2"/>
      </tp>
      <tp t="s">
        <v>N/A</v>
        <stp/>
        <stp>VOLUME</stp>
        <stp>.QQQ260227P610</stp>
        <tr r="P65" s="2"/>
      </tp>
      <tp>
        <v>8</v>
        <stp/>
        <stp>VOLUME</stp>
        <stp>.QQQ251212P626</stp>
        <tr r="J49" s="2"/>
        <tr r="J49" s="2"/>
      </tp>
      <tp>
        <v>237</v>
        <stp/>
        <stp>VOLUME</stp>
        <stp>.QQQ251231P605</stp>
        <tr r="O70" s="2"/>
        <tr r="O70" s="2"/>
      </tp>
      <tp>
        <v>56</v>
        <stp/>
        <stp>VOLUME</stp>
        <stp>.QQQ251212C626</stp>
        <tr r="J49" s="2"/>
        <tr r="J49" s="2"/>
      </tp>
      <tp>
        <v>188</v>
        <stp/>
        <stp>VOLUME</stp>
        <stp>.QQQ251231C605</stp>
        <tr r="O70" s="2"/>
        <tr r="O70" s="2"/>
      </tp>
      <tp t="s">
        <v>N/A</v>
        <stp/>
        <stp>VOLUME</stp>
        <stp>.QQQ260227C610</stp>
        <tr r="P65" s="2"/>
      </tp>
      <tp t="s">
        <v>N/A</v>
        <stp/>
        <stp>VOLUME</stp>
        <stp>.QQQ260227P611</stp>
        <tr r="P64" s="2"/>
      </tp>
      <tp>
        <v>2</v>
        <stp/>
        <stp>VOLUME</stp>
        <stp>.QQQ251212P627</stp>
        <tr r="J48" s="2"/>
        <tr r="J48" s="2"/>
      </tp>
      <tp>
        <v>57</v>
        <stp/>
        <stp>VOLUME</stp>
        <stp>.QQQ251231P604</stp>
        <tr r="O71" s="2"/>
        <tr r="O71" s="2"/>
      </tp>
      <tp>
        <v>63</v>
        <stp/>
        <stp>VOLUME</stp>
        <stp>.QQQ251212C627</stp>
        <tr r="J48" s="2"/>
        <tr r="J48" s="2"/>
      </tp>
      <tp>
        <v>99</v>
        <stp/>
        <stp>VOLUME</stp>
        <stp>.QQQ251231C604</stp>
        <tr r="O71" s="2"/>
        <tr r="O71" s="2"/>
      </tp>
      <tp t="s">
        <v>N/A</v>
        <stp/>
        <stp>VOLUME</stp>
        <stp>.QQQ260227C611</stp>
        <tr r="P64" s="2"/>
      </tp>
      <tp t="s">
        <v>N/A</v>
        <stp/>
        <stp>VOLUME</stp>
        <stp>.QQQ260227P612</stp>
        <tr r="P63" s="2"/>
      </tp>
      <tp>
        <v>9</v>
        <stp/>
        <stp>VOLUME</stp>
        <stp>.QQQ251212P624</stp>
        <tr r="J51" s="2"/>
        <tr r="J51" s="2"/>
      </tp>
      <tp>
        <v>205</v>
        <stp/>
        <stp>VOLUME</stp>
        <stp>.QQQ251231P607</stp>
        <tr r="O68" s="2"/>
        <tr r="O68" s="2"/>
      </tp>
      <tp>
        <v>38</v>
        <stp/>
        <stp>VOLUME</stp>
        <stp>.QQQ251212C624</stp>
        <tr r="J51" s="2"/>
        <tr r="J51" s="2"/>
      </tp>
      <tp>
        <v>672</v>
        <stp/>
        <stp>VOLUME</stp>
        <stp>.QQQ251231C607</stp>
        <tr r="O68" s="2"/>
        <tr r="O68" s="2"/>
      </tp>
      <tp t="s">
        <v>N/A</v>
        <stp/>
        <stp>VOLUME</stp>
        <stp>.QQQ260227C612</stp>
        <tr r="P63" s="2"/>
      </tp>
      <tp t="s">
        <v>N/A</v>
        <stp/>
        <stp>VOLUME</stp>
        <stp>.QQQ260227P613</stp>
        <tr r="P62" s="2"/>
      </tp>
      <tp>
        <v>11</v>
        <stp/>
        <stp>VOLUME</stp>
        <stp>.QQQ251212P625</stp>
        <tr r="J50" s="2"/>
        <tr r="J50" s="2"/>
      </tp>
      <tp>
        <v>113</v>
        <stp/>
        <stp>VOLUME</stp>
        <stp>.QQQ251231P606</stp>
        <tr r="O69" s="2"/>
        <tr r="O69" s="2"/>
      </tp>
      <tp>
        <v>147</v>
        <stp/>
        <stp>VOLUME</stp>
        <stp>.QQQ251212C625</stp>
        <tr r="J50" s="2"/>
        <tr r="J50" s="2"/>
      </tp>
      <tp>
        <v>54</v>
        <stp/>
        <stp>VOLUME</stp>
        <stp>.QQQ251231C606</stp>
        <tr r="O69" s="2"/>
        <tr r="O69" s="2"/>
      </tp>
      <tp t="s">
        <v>N/A</v>
        <stp/>
        <stp>VOLUME</stp>
        <stp>.QQQ260227C613</stp>
        <tr r="P62" s="2"/>
      </tp>
      <tp t="s">
        <v>N/A</v>
        <stp/>
        <stp>VOLUME</stp>
        <stp>.QQQ260227P614</stp>
        <tr r="P61" s="2"/>
      </tp>
      <tp>
        <v>8</v>
        <stp/>
        <stp>VOLUME</stp>
        <stp>.QQQ251212P622</stp>
        <tr r="J53" s="2"/>
        <tr r="J53" s="2"/>
      </tp>
      <tp>
        <v>29</v>
        <stp/>
        <stp>VOLUME</stp>
        <stp>.QQQ251219P629</stp>
        <tr r="K46" s="2"/>
        <tr r="K46" s="2"/>
      </tp>
      <tp>
        <v>62</v>
        <stp/>
        <stp>VOLUME</stp>
        <stp>.QQQ251231P601</stp>
        <tr r="O74" s="2"/>
        <tr r="O74" s="2"/>
      </tp>
      <tp>
        <v>29</v>
        <stp/>
        <stp>VOLUME</stp>
        <stp>.QQQ251212C622</stp>
        <tr r="J53" s="2"/>
        <tr r="J53" s="2"/>
      </tp>
      <tp>
        <v>80</v>
        <stp/>
        <stp>VOLUME</stp>
        <stp>.QQQ251219C629</stp>
        <tr r="K46" s="2"/>
        <tr r="K46" s="2"/>
      </tp>
      <tp>
        <v>98</v>
        <stp/>
        <stp>VOLUME</stp>
        <stp>.QQQ251231C601</stp>
        <tr r="O74" s="2"/>
        <tr r="O74" s="2"/>
      </tp>
      <tp t="s">
        <v>N/A</v>
        <stp/>
        <stp>VOLUME</stp>
        <stp>.QQQ260227C614</stp>
        <tr r="P61" s="2"/>
      </tp>
      <tp t="s">
        <v>N/A</v>
        <stp/>
        <stp>VOLUME</stp>
        <stp>.QQQ260227P615</stp>
        <tr r="P60" s="2"/>
      </tp>
      <tp>
        <v>33</v>
        <stp/>
        <stp>VOLUME</stp>
        <stp>.QQQ251212P623</stp>
        <tr r="J52" s="2"/>
        <tr r="J52" s="2"/>
      </tp>
      <tp>
        <v>27</v>
        <stp/>
        <stp>VOLUME</stp>
        <stp>.QQQ251219P628</stp>
        <tr r="K47" s="2"/>
        <tr r="K47" s="2"/>
      </tp>
      <tp>
        <v>1145</v>
        <stp/>
        <stp>VOLUME</stp>
        <stp>.QQQ251231P600</stp>
        <tr r="O75" s="2"/>
        <tr r="O75" s="2"/>
      </tp>
      <tp>
        <v>50</v>
        <stp/>
        <stp>VOLUME</stp>
        <stp>.QQQ251212C623</stp>
        <tr r="J52" s="2"/>
        <tr r="J52" s="2"/>
      </tp>
      <tp>
        <v>123</v>
        <stp/>
        <stp>VOLUME</stp>
        <stp>.QQQ251219C628</stp>
        <tr r="K47" s="2"/>
        <tr r="K47" s="2"/>
      </tp>
      <tp>
        <v>368</v>
        <stp/>
        <stp>VOLUME</stp>
        <stp>.QQQ251231C600</stp>
        <tr r="O75" s="2"/>
        <tr r="O75" s="2"/>
      </tp>
      <tp t="s">
        <v>N/A</v>
        <stp/>
        <stp>VOLUME</stp>
        <stp>.QQQ260227C615</stp>
        <tr r="P60" s="2"/>
      </tp>
      <tp t="s">
        <v>N/A</v>
        <stp/>
        <stp>VOLUME</stp>
        <stp>.QQQ260227P616</stp>
        <tr r="P59" s="2"/>
      </tp>
      <tp>
        <v>50</v>
        <stp/>
        <stp>VOLUME</stp>
        <stp>.QQQ251212P620</stp>
        <tr r="J55" s="2"/>
        <tr r="J55" s="2"/>
      </tp>
      <tp>
        <v>63</v>
        <stp/>
        <stp>VOLUME</stp>
        <stp>.QQQ251231P603</stp>
        <tr r="O72" s="2"/>
        <tr r="O72" s="2"/>
      </tp>
      <tp>
        <v>182</v>
        <stp/>
        <stp>VOLUME</stp>
        <stp>.QQQ251212C620</stp>
        <tr r="J55" s="2"/>
        <tr r="J55" s="2"/>
      </tp>
      <tp>
        <v>83</v>
        <stp/>
        <stp>VOLUME</stp>
        <stp>.QQQ251231C603</stp>
        <tr r="O72" s="2"/>
        <tr r="O72" s="2"/>
      </tp>
      <tp t="s">
        <v>N/A</v>
        <stp/>
        <stp>VOLUME</stp>
        <stp>.QQQ260227C616</stp>
        <tr r="P59" s="2"/>
      </tp>
      <tp t="s">
        <v>N/A</v>
        <stp/>
        <stp>VOLUME</stp>
        <stp>.QQQ260227P617</stp>
        <tr r="P58" s="2"/>
      </tp>
      <tp>
        <v>4</v>
        <stp/>
        <stp>VOLUME</stp>
        <stp>.QQQ251212P621</stp>
        <tr r="J54" s="2"/>
        <tr r="J54" s="2"/>
      </tp>
      <tp>
        <v>436</v>
        <stp/>
        <stp>VOLUME</stp>
        <stp>.QQQ251231P602</stp>
        <tr r="O73" s="2"/>
        <tr r="O73" s="2"/>
      </tp>
      <tp>
        <v>33</v>
        <stp/>
        <stp>VOLUME</stp>
        <stp>.QQQ251212C621</stp>
        <tr r="J54" s="2"/>
        <tr r="J54" s="2"/>
      </tp>
      <tp>
        <v>141</v>
        <stp/>
        <stp>VOLUME</stp>
        <stp>.QQQ251231C602</stp>
        <tr r="O73" s="2"/>
        <tr r="O73" s="2"/>
      </tp>
      <tp t="s">
        <v>N/A</v>
        <stp/>
        <stp>VOLUME</stp>
        <stp>.QQQ260227C617</stp>
        <tr r="P58" s="2"/>
      </tp>
      <tp t="s">
        <v>N/A</v>
        <stp/>
        <stp>VOLUME</stp>
        <stp>.QQQ260227P618</stp>
        <tr r="P57" s="2"/>
      </tp>
      <tp>
        <v>1443</v>
        <stp/>
        <stp>VOLUME</stp>
        <stp>.QQQ251219P625</stp>
        <tr r="K50" s="2"/>
        <tr r="K50" s="2"/>
      </tp>
      <tp>
        <v>1984</v>
        <stp/>
        <stp>VOLUME</stp>
        <stp>.QQQ251219C625</stp>
        <tr r="K50" s="2"/>
        <tr r="K50" s="2"/>
      </tp>
      <tp t="s">
        <v>N/A</v>
        <stp/>
        <stp>VOLUME</stp>
        <stp>.QQQ260227C618</stp>
        <tr r="P57" s="2"/>
      </tp>
      <tp t="s">
        <v>N/A</v>
        <stp/>
        <stp>VOLUME</stp>
        <stp>.QQQ260227P619</stp>
        <tr r="P56" s="2"/>
      </tp>
      <tp>
        <v>130</v>
        <stp/>
        <stp>VOLUME</stp>
        <stp>.QQQ251219P624</stp>
        <tr r="K51" s="2"/>
        <tr r="K51" s="2"/>
      </tp>
      <tp>
        <v>216</v>
        <stp/>
        <stp>VOLUME</stp>
        <stp>.QQQ251219C624</stp>
        <tr r="K51" s="2"/>
        <tr r="K51" s="2"/>
      </tp>
      <tp t="s">
        <v>N/A</v>
        <stp/>
        <stp>VOLUME</stp>
        <stp>.QQQ260227C619</stp>
        <tr r="P56" s="2"/>
      </tp>
      <tp>
        <v>13</v>
        <stp/>
        <stp>VOLUME</stp>
        <stp>.QQQ251219P627</stp>
        <tr r="K48" s="2"/>
        <tr r="K48" s="2"/>
      </tp>
      <tp>
        <v>66</v>
        <stp/>
        <stp>VOLUME</stp>
        <stp>.QQQ251219C627</stp>
        <tr r="K48" s="2"/>
        <tr r="K48" s="2"/>
      </tp>
      <tp>
        <v>40</v>
        <stp/>
        <stp>VOLUME</stp>
        <stp>.QQQ251219P626</stp>
        <tr r="K49" s="2"/>
        <tr r="K49" s="2"/>
      </tp>
      <tp>
        <v>111</v>
        <stp/>
        <stp>VOLUME</stp>
        <stp>.QQQ251219C626</stp>
        <tr r="K49" s="2"/>
        <tr r="K49" s="2"/>
      </tp>
      <tp>
        <v>47</v>
        <stp/>
        <stp>VOLUME</stp>
        <stp>.QQQ251219P621</stp>
        <tr r="K54" s="2"/>
        <tr r="K54" s="2"/>
      </tp>
      <tp>
        <v>21</v>
        <stp/>
        <stp>VOLUME</stp>
        <stp>.QQQ251231P609</stp>
        <tr r="O66" s="2"/>
        <tr r="O66" s="2"/>
      </tp>
      <tp>
        <v>162</v>
        <stp/>
        <stp>VOLUME</stp>
        <stp>.QQQ251219C621</stp>
        <tr r="K54" s="2"/>
        <tr r="K54" s="2"/>
      </tp>
      <tp>
        <v>68</v>
        <stp/>
        <stp>VOLUME</stp>
        <stp>.QQQ251231C609</stp>
        <tr r="O66" s="2"/>
        <tr r="O66" s="2"/>
      </tp>
      <tp>
        <v>482</v>
        <stp/>
        <stp>VOLUME</stp>
        <stp>.QQQ251219P620</stp>
        <tr r="K55" s="2"/>
        <tr r="K55" s="2"/>
      </tp>
      <tp>
        <v>25</v>
        <stp/>
        <stp>VOLUME</stp>
        <stp>.QQQ251231P608</stp>
        <tr r="O67" s="2"/>
        <tr r="O67" s="2"/>
      </tp>
      <tp>
        <v>3312</v>
        <stp/>
        <stp>VOLUME</stp>
        <stp>.QQQ251219C620</stp>
        <tr r="K55" s="2"/>
        <tr r="K55" s="2"/>
      </tp>
      <tp>
        <v>240</v>
        <stp/>
        <stp>VOLUME</stp>
        <stp>.QQQ251231C608</stp>
        <tr r="O67" s="2"/>
        <tr r="O67" s="2"/>
      </tp>
      <tp>
        <v>18</v>
        <stp/>
        <stp>VOLUME</stp>
        <stp>.QQQ251212P628</stp>
        <tr r="J47" s="2"/>
        <tr r="J47" s="2"/>
      </tp>
      <tp>
        <v>11</v>
        <stp/>
        <stp>VOLUME</stp>
        <stp>.QQQ251219P623</stp>
        <tr r="K52" s="2"/>
        <tr r="K52" s="2"/>
      </tp>
      <tp>
        <v>16</v>
        <stp/>
        <stp>VOLUME</stp>
        <stp>.QQQ251212C628</stp>
        <tr r="J47" s="2"/>
        <tr r="J47" s="2"/>
      </tp>
      <tp>
        <v>152</v>
        <stp/>
        <stp>VOLUME</stp>
        <stp>.QQQ251219C623</stp>
        <tr r="K52" s="2"/>
        <tr r="K52" s="2"/>
      </tp>
      <tp t="s">
        <v>N/A</v>
        <stp/>
        <stp>VOLUME</stp>
        <stp>.QQQ251212P629</stp>
        <tr r="J46" s="2"/>
      </tp>
      <tp>
        <v>29</v>
        <stp/>
        <stp>VOLUME</stp>
        <stp>.QQQ251219P622</stp>
        <tr r="K53" s="2"/>
        <tr r="K53" s="2"/>
      </tp>
      <tp>
        <v>12</v>
        <stp/>
        <stp>VOLUME</stp>
        <stp>.QQQ251212C629</stp>
        <tr r="J46" s="2"/>
        <tr r="J46" s="2"/>
      </tp>
      <tp>
        <v>85</v>
        <stp/>
        <stp>VOLUME</stp>
        <stp>.QQQ251219C622</stp>
        <tr r="K53" s="2"/>
        <tr r="K53" s="2"/>
      </tp>
      <tp t="s">
        <v>N/A</v>
        <stp/>
        <stp>VOLUME</stp>
        <stp>.QQQ260206P621</stp>
        <tr r="N54" s="2"/>
      </tp>
      <tp t="s">
        <v>N/A</v>
        <stp/>
        <stp>VOLUME</stp>
        <stp>.QQQ260227P600</stp>
        <tr r="P75" s="2"/>
      </tp>
      <tp>
        <v>34</v>
        <stp/>
        <stp>VOLUME</stp>
        <stp>.QQQ251205P621</stp>
        <tr r="I54" s="2"/>
        <tr r="I54" s="2"/>
      </tp>
      <tp>
        <v>159</v>
        <stp/>
        <stp>VOLUME</stp>
        <stp>.QQQ251231P615</stp>
        <tr r="O60" s="2"/>
        <tr r="O60" s="2"/>
      </tp>
      <tp>
        <v>114</v>
        <stp/>
        <stp>VOLUME</stp>
        <stp>.QQQ251205C621</stp>
        <tr r="I54" s="2"/>
        <tr r="I54" s="2"/>
      </tp>
      <tp>
        <v>313</v>
        <stp/>
        <stp>VOLUME</stp>
        <stp>.QQQ251231C615</stp>
        <tr r="O60" s="2"/>
        <tr r="O60" s="2"/>
      </tp>
      <tp t="s">
        <v>N/A</v>
        <stp/>
        <stp>VOLUME</stp>
        <stp>.QQQ260206C621</stp>
        <tr r="N54" s="2"/>
      </tp>
      <tp t="s">
        <v>N/A</v>
        <stp/>
        <stp>VOLUME</stp>
        <stp>.QQQ260227C600</stp>
        <tr r="P75" s="2"/>
      </tp>
      <tp t="s">
        <v>N/A</v>
        <stp/>
        <stp>VOLUME</stp>
        <stp>.QQQ260206P620</stp>
        <tr r="N55" s="2"/>
      </tp>
      <tp t="s">
        <v>N/A</v>
        <stp/>
        <stp>VOLUME</stp>
        <stp>.QQQ260227P601</stp>
        <tr r="P74" s="2"/>
      </tp>
      <tp>
        <v>190</v>
        <stp/>
        <stp>VOLUME</stp>
        <stp>.QQQ251205P620</stp>
        <tr r="I55" s="2"/>
        <tr r="I55" s="2"/>
      </tp>
      <tp>
        <v>83</v>
        <stp/>
        <stp>VOLUME</stp>
        <stp>.QQQ251231P614</stp>
        <tr r="O61" s="2"/>
        <tr r="O61" s="2"/>
      </tp>
      <tp>
        <v>513</v>
        <stp/>
        <stp>VOLUME</stp>
        <stp>.QQQ251205C620</stp>
        <tr r="I55" s="2"/>
        <tr r="I55" s="2"/>
      </tp>
      <tp>
        <v>14</v>
        <stp/>
        <stp>VOLUME</stp>
        <stp>.QQQ251231C614</stp>
        <tr r="O61" s="2"/>
        <tr r="O61" s="2"/>
      </tp>
      <tp t="s">
        <v>N/A</v>
        <stp/>
        <stp>VOLUME</stp>
        <stp>.QQQ260206C620</stp>
        <tr r="N55" s="2"/>
      </tp>
      <tp t="s">
        <v>N/A</v>
        <stp/>
        <stp>VOLUME</stp>
        <stp>.QQQ260227C601</stp>
        <tr r="P74" s="2"/>
      </tp>
      <tp t="s">
        <v>N/A</v>
        <stp/>
        <stp>VOLUME</stp>
        <stp>.QQQ260206P623</stp>
        <tr r="N52" s="2"/>
      </tp>
      <tp t="s">
        <v>N/A</v>
        <stp/>
        <stp>VOLUME</stp>
        <stp>.QQQ260227P602</stp>
        <tr r="P73" s="2"/>
      </tp>
      <tp>
        <v>3</v>
        <stp/>
        <stp>VOLUME</stp>
        <stp>.QQQ251205P623</stp>
        <tr r="I52" s="2"/>
        <tr r="I52" s="2"/>
      </tp>
      <tp>
        <v>20</v>
        <stp/>
        <stp>VOLUME</stp>
        <stp>.QQQ251231P617</stp>
        <tr r="O58" s="2"/>
        <tr r="O58" s="2"/>
      </tp>
      <tp>
        <v>143</v>
        <stp/>
        <stp>VOLUME</stp>
        <stp>.QQQ251205C623</stp>
        <tr r="I52" s="2"/>
        <tr r="I52" s="2"/>
      </tp>
      <tp>
        <v>2</v>
        <stp/>
        <stp>VOLUME</stp>
        <stp>.QQQ251231C617</stp>
        <tr r="O58" s="2"/>
        <tr r="O58" s="2"/>
      </tp>
      <tp t="s">
        <v>N/A</v>
        <stp/>
        <stp>VOLUME</stp>
        <stp>.QQQ260206C623</stp>
        <tr r="N52" s="2"/>
      </tp>
      <tp t="s">
        <v>N/A</v>
        <stp/>
        <stp>VOLUME</stp>
        <stp>.QQQ260227C602</stp>
        <tr r="P73" s="2"/>
      </tp>
      <tp t="s">
        <v>N/A</v>
        <stp/>
        <stp>VOLUME</stp>
        <stp>.QQQ260206P622</stp>
        <tr r="N53" s="2"/>
      </tp>
      <tp t="s">
        <v>N/A</v>
        <stp/>
        <stp>VOLUME</stp>
        <stp>.QQQ260227P603</stp>
        <tr r="P72" s="2"/>
      </tp>
      <tp>
        <v>16</v>
        <stp/>
        <stp>VOLUME</stp>
        <stp>.QQQ251205P622</stp>
        <tr r="I53" s="2"/>
        <tr r="I53" s="2"/>
      </tp>
      <tp>
        <v>7</v>
        <stp/>
        <stp>VOLUME</stp>
        <stp>.QQQ251231P616</stp>
        <tr r="O59" s="2"/>
        <tr r="O59" s="2"/>
      </tp>
      <tp>
        <v>171</v>
        <stp/>
        <stp>VOLUME</stp>
        <stp>.QQQ251205C622</stp>
        <tr r="I53" s="2"/>
        <tr r="I53" s="2"/>
      </tp>
      <tp>
        <v>24</v>
        <stp/>
        <stp>VOLUME</stp>
        <stp>.QQQ251231C616</stp>
        <tr r="O59" s="2"/>
        <tr r="O59" s="2"/>
      </tp>
      <tp t="s">
        <v>N/A</v>
        <stp/>
        <stp>VOLUME</stp>
        <stp>.QQQ260206C622</stp>
        <tr r="N53" s="2"/>
      </tp>
      <tp t="s">
        <v>N/A</v>
        <stp/>
        <stp>VOLUME</stp>
        <stp>.QQQ260227C603</stp>
        <tr r="P72" s="2"/>
      </tp>
      <tp t="s">
        <v>N/A</v>
        <stp/>
        <stp>VOLUME</stp>
        <stp>.QQQ260206P625</stp>
        <tr r="N50" s="2"/>
      </tp>
      <tp t="s">
        <v>N/A</v>
        <stp/>
        <stp>VOLUME</stp>
        <stp>.QQQ260227P604</stp>
        <tr r="P71" s="2"/>
      </tp>
      <tp>
        <v>183</v>
        <stp/>
        <stp>VOLUME</stp>
        <stp>.QQQ251205P625</stp>
        <tr r="I50" s="2"/>
        <tr r="I50" s="2"/>
      </tp>
      <tp>
        <v>72</v>
        <stp/>
        <stp>VOLUME</stp>
        <stp>.QQQ251231P611</stp>
        <tr r="O64" s="2"/>
        <tr r="O64" s="2"/>
      </tp>
      <tp>
        <v>475</v>
        <stp/>
        <stp>VOLUME</stp>
        <stp>.QQQ251205C625</stp>
        <tr r="I50" s="2"/>
        <tr r="I50" s="2"/>
      </tp>
      <tp>
        <v>57</v>
        <stp/>
        <stp>VOLUME</stp>
        <stp>.QQQ251231C611</stp>
        <tr r="O64" s="2"/>
        <tr r="O64" s="2"/>
      </tp>
      <tp t="s">
        <v>N/A</v>
        <stp/>
        <stp>VOLUME</stp>
        <stp>.QQQ260206C625</stp>
        <tr r="N50" s="2"/>
      </tp>
      <tp t="s">
        <v>N/A</v>
        <stp/>
        <stp>VOLUME</stp>
        <stp>.QQQ260227C604</stp>
        <tr r="P71" s="2"/>
      </tp>
      <tp t="s">
        <v>N/A</v>
        <stp/>
        <stp>VOLUME</stp>
        <stp>.QQQ260206P624</stp>
        <tr r="N51" s="2"/>
      </tp>
      <tp t="s">
        <v>N/A</v>
        <stp/>
        <stp>VOLUME</stp>
        <stp>.QQQ260227P605</stp>
        <tr r="P70" s="2"/>
      </tp>
      <tp>
        <v>17</v>
        <stp/>
        <stp>VOLUME</stp>
        <stp>.QQQ251205P624</stp>
        <tr r="I51" s="2"/>
        <tr r="I51" s="2"/>
      </tp>
      <tp>
        <v>219</v>
        <stp/>
        <stp>VOLUME</stp>
        <stp>.QQQ251231P610</stp>
        <tr r="O65" s="2"/>
        <tr r="O65" s="2"/>
      </tp>
      <tp>
        <v>131</v>
        <stp/>
        <stp>VOLUME</stp>
        <stp>.QQQ251205C624</stp>
        <tr r="I51" s="2"/>
        <tr r="I51" s="2"/>
      </tp>
      <tp>
        <v>539</v>
        <stp/>
        <stp>VOLUME</stp>
        <stp>.QQQ251231C610</stp>
        <tr r="O65" s="2"/>
        <tr r="O65" s="2"/>
      </tp>
      <tp t="s">
        <v>N/A</v>
        <stp/>
        <stp>VOLUME</stp>
        <stp>.QQQ260206C624</stp>
        <tr r="N51" s="2"/>
      </tp>
      <tp t="s">
        <v>N/A</v>
        <stp/>
        <stp>VOLUME</stp>
        <stp>.QQQ260227C605</stp>
        <tr r="P70" s="2"/>
      </tp>
      <tp t="s">
        <v>N/A</v>
        <stp/>
        <stp>VOLUME</stp>
        <stp>.QQQ260206P627</stp>
        <tr r="N48" s="2"/>
      </tp>
      <tp t="s">
        <v>N/A</v>
        <stp/>
        <stp>VOLUME</stp>
        <stp>.QQQ260227P606</stp>
        <tr r="P69" s="2"/>
      </tp>
      <tp>
        <v>10</v>
        <stp/>
        <stp>VOLUME</stp>
        <stp>.QQQ251205P627</stp>
        <tr r="I48" s="2"/>
        <tr r="I48" s="2"/>
      </tp>
      <tp>
        <v>8</v>
        <stp/>
        <stp>VOLUME</stp>
        <stp>.QQQ251231P613</stp>
        <tr r="O62" s="2"/>
        <tr r="O62" s="2"/>
      </tp>
      <tp>
        <v>112</v>
        <stp/>
        <stp>VOLUME</stp>
        <stp>.QQQ251205C627</stp>
        <tr r="I48" s="2"/>
        <tr r="I48" s="2"/>
      </tp>
      <tp>
        <v>790</v>
        <stp/>
        <stp>VOLUME</stp>
        <stp>.QQQ251231C613</stp>
        <tr r="O62" s="2"/>
        <tr r="O62" s="2"/>
      </tp>
      <tp t="s">
        <v>N/A</v>
        <stp/>
        <stp>VOLUME</stp>
        <stp>.QQQ260206C627</stp>
        <tr r="N48" s="2"/>
      </tp>
      <tp t="s">
        <v>N/A</v>
        <stp/>
        <stp>VOLUME</stp>
        <stp>.QQQ260227C606</stp>
        <tr r="P69" s="2"/>
      </tp>
      <tp t="s">
        <v>N/A</v>
        <stp/>
        <stp>VOLUME</stp>
        <stp>.QQQ260206P626</stp>
        <tr r="N49" s="2"/>
      </tp>
      <tp t="s">
        <v>N/A</v>
        <stp/>
        <stp>VOLUME</stp>
        <stp>.QQQ260227P607</stp>
        <tr r="P68" s="2"/>
      </tp>
      <tp>
        <v>32</v>
        <stp/>
        <stp>VOLUME</stp>
        <stp>.QQQ251205P626</stp>
        <tr r="I49" s="2"/>
        <tr r="I49" s="2"/>
      </tp>
      <tp>
        <v>204</v>
        <stp/>
        <stp>VOLUME</stp>
        <stp>.QQQ251231P612</stp>
        <tr r="O63" s="2"/>
        <tr r="O63" s="2"/>
      </tp>
      <tp>
        <v>183</v>
        <stp/>
        <stp>VOLUME</stp>
        <stp>.QQQ251205C626</stp>
        <tr r="I49" s="2"/>
        <tr r="I49" s="2"/>
      </tp>
      <tp>
        <v>21</v>
        <stp/>
        <stp>VOLUME</stp>
        <stp>.QQQ251231C612</stp>
        <tr r="O63" s="2"/>
        <tr r="O63" s="2"/>
      </tp>
      <tp t="s">
        <v>N/A</v>
        <stp/>
        <stp>VOLUME</stp>
        <stp>.QQQ260206C626</stp>
        <tr r="N49" s="2"/>
      </tp>
      <tp t="s">
        <v>N/A</v>
        <stp/>
        <stp>VOLUME</stp>
        <stp>.QQQ260227C607</stp>
        <tr r="P68" s="2"/>
      </tp>
      <tp t="s">
        <v>N/A</v>
        <stp/>
        <stp>VOLUME</stp>
        <stp>.QQQ260206P629</stp>
        <tr r="N46" s="2"/>
      </tp>
      <tp t="s">
        <v>N/A</v>
        <stp/>
        <stp>VOLUME</stp>
        <stp>.QQQ260227P608</stp>
        <tr r="P67" s="2"/>
      </tp>
      <tp>
        <v>3</v>
        <stp/>
        <stp>VOLUME</stp>
        <stp>.QQQ251205P629</stp>
        <tr r="I46" s="2"/>
        <tr r="I46" s="2"/>
      </tp>
      <tp>
        <v>119</v>
        <stp/>
        <stp>VOLUME</stp>
        <stp>.QQQ251205C629</stp>
        <tr r="I46" s="2"/>
        <tr r="I46" s="2"/>
      </tp>
      <tp t="s">
        <v>N/A</v>
        <stp/>
        <stp>VOLUME</stp>
        <stp>.QQQ260206C629</stp>
        <tr r="N46" s="2"/>
      </tp>
      <tp t="s">
        <v>N/A</v>
        <stp/>
        <stp>VOLUME</stp>
        <stp>.QQQ260227C608</stp>
        <tr r="P67" s="2"/>
      </tp>
      <tp t="s">
        <v>N/A</v>
        <stp/>
        <stp>VOLUME</stp>
        <stp>.QQQ260206P628</stp>
        <tr r="N47" s="2"/>
      </tp>
      <tp t="s">
        <v>N/A</v>
        <stp/>
        <stp>VOLUME</stp>
        <stp>.QQQ260227P609</stp>
        <tr r="P66" s="2"/>
      </tp>
      <tp>
        <v>42</v>
        <stp/>
        <stp>VOLUME</stp>
        <stp>.QQQ251205P628</stp>
        <tr r="I47" s="2"/>
        <tr r="I47" s="2"/>
      </tp>
      <tp>
        <v>86</v>
        <stp/>
        <stp>VOLUME</stp>
        <stp>.QQQ251205C628</stp>
        <tr r="I47" s="2"/>
        <tr r="I47" s="2"/>
      </tp>
      <tp t="s">
        <v>N/A</v>
        <stp/>
        <stp>VOLUME</stp>
        <stp>.QQQ260206C628</stp>
        <tr r="N47" s="2"/>
      </tp>
      <tp t="s">
        <v>N/A</v>
        <stp/>
        <stp>VOLUME</stp>
        <stp>.QQQ260227C609</stp>
        <tr r="P66" s="2"/>
      </tp>
      <tp>
        <v>12</v>
        <stp/>
        <stp>VOLUME</stp>
        <stp>.QQQ251231P619</stp>
        <tr r="O56" s="2"/>
        <tr r="O56" s="2"/>
      </tp>
      <tp>
        <v>27</v>
        <stp/>
        <stp>VOLUME</stp>
        <stp>.QQQ251231C619</stp>
        <tr r="O56" s="2"/>
        <tr r="O56" s="2"/>
      </tp>
      <tp>
        <v>28</v>
        <stp/>
        <stp>VOLUME</stp>
        <stp>.QQQ251231P618</stp>
        <tr r="O57" s="2"/>
        <tr r="O57" s="2"/>
      </tp>
      <tp>
        <v>74</v>
        <stp/>
        <stp>VOLUME</stp>
        <stp>.QQQ251231C618</stp>
        <tr r="O57" s="2"/>
        <tr r="O57" s="2"/>
      </tp>
      <tp t="s">
        <v>N/A</v>
        <stp/>
        <stp>VOLUME</stp>
        <stp>.QQQ261002P595</stp>
        <tr r="W80" s="2"/>
      </tp>
      <tp t="s">
        <v>N/A</v>
        <stp/>
        <stp>VOLUME</stp>
        <stp>.QQQ261002C595</stp>
        <tr r="W80" s="2"/>
      </tp>
      <tp t="s">
        <v>N/A</v>
        <stp/>
        <stp>VOLUME</stp>
        <stp>.QQQ261002P597</stp>
        <tr r="W78" s="2"/>
      </tp>
      <tp t="s">
        <v>N/A</v>
        <stp/>
        <stp>VOLUME</stp>
        <stp>.QQQ261002C597</stp>
        <tr r="W78" s="2"/>
      </tp>
      <tp t="s">
        <v>N/A</v>
        <stp/>
        <stp>VOLUME</stp>
        <stp>.QQQ261002P596</stp>
        <tr r="W79" s="2"/>
      </tp>
      <tp t="s">
        <v>N/A</v>
        <stp/>
        <stp>VOLUME</stp>
        <stp>.QQQ261002C596</stp>
        <tr r="W79" s="2"/>
      </tp>
      <tp t="s">
        <v>N/A</v>
        <stp/>
        <stp>VOLUME</stp>
        <stp>.QQQ261002P599</stp>
        <tr r="W76" s="2"/>
      </tp>
      <tp t="s">
        <v>N/A</v>
        <stp/>
        <stp>VOLUME</stp>
        <stp>.QQQ261002C599</stp>
        <tr r="W76" s="2"/>
      </tp>
      <tp t="s">
        <v>N/A</v>
        <stp/>
        <stp>VOLUME</stp>
        <stp>.QQQ261002P598</stp>
        <tr r="W77" s="2"/>
      </tp>
      <tp t="s">
        <v>N/A</v>
        <stp/>
        <stp>VOLUME</stp>
        <stp>.QQQ261002C598</stp>
        <tr r="W77" s="2"/>
      </tp>
      <tp t="s">
        <v>N/A</v>
        <stp/>
        <stp>VOLUME</stp>
        <stp>.QQQ261030P597</stp>
        <tr r="X78" s="2"/>
      </tp>
      <tp t="s">
        <v>N/A</v>
        <stp/>
        <stp>VOLUME</stp>
        <stp>.QQQ261030C597</stp>
        <tr r="X78" s="2"/>
      </tp>
      <tp t="s">
        <v>N/A</v>
        <stp/>
        <stp>VOLUME</stp>
        <stp>.QQQ261030P596</stp>
        <tr r="X79" s="2"/>
      </tp>
      <tp t="s">
        <v>N/A</v>
        <stp/>
        <stp>VOLUME</stp>
        <stp>.QQQ261030C596</stp>
        <tr r="X79" s="2"/>
      </tp>
      <tp t="s">
        <v>N/A</v>
        <stp/>
        <stp>VOLUME</stp>
        <stp>.QQQ261030P595</stp>
        <tr r="X80" s="2"/>
      </tp>
      <tp t="s">
        <v>N/A</v>
        <stp/>
        <stp>VOLUME</stp>
        <stp>.QQQ261030C595</stp>
        <tr r="X80" s="2"/>
      </tp>
      <tp t="s">
        <v>N/A</v>
        <stp/>
        <stp>VOLUME</stp>
        <stp>.QQQ261030P599</stp>
        <tr r="X76" s="2"/>
      </tp>
      <tp t="s">
        <v>N/A</v>
        <stp/>
        <stp>VOLUME</stp>
        <stp>.QQQ261030C599</stp>
        <tr r="X76" s="2"/>
      </tp>
      <tp t="s">
        <v>N/A</v>
        <stp/>
        <stp>VOLUME</stp>
        <stp>.QQQ261030P598</stp>
        <tr r="X77" s="2"/>
      </tp>
      <tp t="s">
        <v>N/A</v>
        <stp/>
        <stp>VOLUME</stp>
        <stp>.QQQ261030C598</stp>
        <tr r="X77" s="2"/>
      </tp>
      <tp t="s">
        <v>N/A</v>
        <stp/>
        <stp>VOLUME</stp>
        <stp>.SPX260403C6840</stp>
        <tr r="Q86" s="2"/>
      </tp>
      <tp t="s">
        <v>N/A</v>
        <stp/>
        <stp>VOLUME</stp>
        <stp>.SPX260403P6840</stp>
        <tr r="Q86" s="2"/>
      </tp>
      <tp t="s">
        <v>N/A</v>
        <stp/>
        <stp>VOLUME</stp>
        <stp>.SPX261002C6840</stp>
        <tr r="W86" s="2"/>
      </tp>
      <tp t="s">
        <v>N/A</v>
        <stp/>
        <stp>VOLUME</stp>
        <stp>.SPX261002P6840</stp>
        <tr r="W86" s="2"/>
      </tp>
      <tp t="s">
        <v>N/A</v>
        <stp/>
        <stp>VOLUME</stp>
        <stp>.SPX261002C6835</stp>
        <tr r="W87" s="2"/>
      </tp>
      <tp t="s">
        <v>N/A</v>
        <stp/>
        <stp>VOLUME</stp>
        <stp>.SPX260403C6825</stp>
        <tr r="Q89" s="2"/>
      </tp>
      <tp t="s">
        <v>N/A</v>
        <stp/>
        <stp>VOLUME</stp>
        <stp>.SPX260403C6820</stp>
        <tr r="Q90" s="2"/>
      </tp>
      <tp t="s">
        <v>N/A</v>
        <stp/>
        <stp>VOLUME</stp>
        <stp>.SPX261002C6830</stp>
        <tr r="W88" s="2"/>
      </tp>
      <tp t="s">
        <v>N/A</v>
        <stp/>
        <stp>VOLUME</stp>
        <stp>.SPX260403P6825</stp>
        <tr r="Q89" s="2"/>
      </tp>
      <tp t="s">
        <v>N/A</v>
        <stp/>
        <stp>VOLUME</stp>
        <stp>.SPX261002P6835</stp>
        <tr r="W87" s="2"/>
      </tp>
      <tp t="s">
        <v>N/A</v>
        <stp/>
        <stp>VOLUME</stp>
        <stp>.SPX261002P6830</stp>
        <tr r="W88" s="2"/>
      </tp>
      <tp t="s">
        <v>N/A</v>
        <stp/>
        <stp>VOLUME</stp>
        <stp>.SPX260403P6820</stp>
        <tr r="Q90" s="2"/>
      </tp>
      <tp t="s">
        <v>N/A</v>
        <stp/>
        <stp>VOLUME</stp>
        <stp>.SPX261002C6825</stp>
        <tr r="W89" s="2"/>
      </tp>
      <tp t="s">
        <v>N/A</v>
        <stp/>
        <stp>VOLUME</stp>
        <stp>.SPX260403C6835</stp>
        <tr r="Q87" s="2"/>
      </tp>
      <tp t="s">
        <v>N/A</v>
        <stp/>
        <stp>VOLUME</stp>
        <stp>.SPX260403C6830</stp>
        <tr r="Q88" s="2"/>
      </tp>
      <tp t="s">
        <v>N/A</v>
        <stp/>
        <stp>VOLUME</stp>
        <stp>.SPX261002C6820</stp>
        <tr r="W90" s="2"/>
      </tp>
      <tp t="s">
        <v>N/A</v>
        <stp/>
        <stp>VOLUME</stp>
        <stp>.SPX260403P6835</stp>
        <tr r="Q87" s="2"/>
      </tp>
      <tp t="s">
        <v>N/A</v>
        <stp/>
        <stp>VOLUME</stp>
        <stp>.SPX261002P6825</stp>
        <tr r="W89" s="2"/>
      </tp>
      <tp t="s">
        <v>N/A</v>
        <stp/>
        <stp>VOLUME</stp>
        <stp>.SPX261002P6820</stp>
        <tr r="W90" s="2"/>
      </tp>
      <tp t="s">
        <v>N/A</v>
        <stp/>
        <stp>VOLUME</stp>
        <stp>.SPX260403P6830</stp>
        <tr r="Q88" s="2"/>
      </tp>
      <tp t="s">
        <v>N/A</v>
        <stp/>
        <stp>VOLUME</stp>
        <stp>.SPX261002C6815</stp>
        <tr r="W91" s="2"/>
      </tp>
      <tp t="s">
        <v>N/A</v>
        <stp/>
        <stp>VOLUME</stp>
        <stp>.SPX260403C6805</stp>
        <tr r="Q93" s="2"/>
      </tp>
      <tp t="s">
        <v>N/A</v>
        <stp/>
        <stp>VOLUME</stp>
        <stp>.SPX260403C6800</stp>
        <tr r="Q94" s="2"/>
      </tp>
      <tp t="s">
        <v>N/A</v>
        <stp/>
        <stp>VOLUME</stp>
        <stp>.SPX261002C6810</stp>
        <tr r="W92" s="2"/>
      </tp>
      <tp t="s">
        <v>N/A</v>
        <stp/>
        <stp>VOLUME</stp>
        <stp>.SPX260403P6805</stp>
        <tr r="Q93" s="2"/>
      </tp>
      <tp t="s">
        <v>N/A</v>
        <stp/>
        <stp>VOLUME</stp>
        <stp>.SPX261002P6815</stp>
        <tr r="W91" s="2"/>
      </tp>
      <tp t="s">
        <v>N/A</v>
        <stp/>
        <stp>VOLUME</stp>
        <stp>.SPX261002P6810</stp>
        <tr r="W92" s="2"/>
      </tp>
      <tp t="s">
        <v>N/A</v>
        <stp/>
        <stp>VOLUME</stp>
        <stp>.SPX260403P6800</stp>
        <tr r="Q94" s="2"/>
      </tp>
      <tp t="s">
        <v>N/A</v>
        <stp/>
        <stp>VOLUME</stp>
        <stp>.SPX261002C6805</stp>
        <tr r="W93" s="2"/>
      </tp>
      <tp t="s">
        <v>N/A</v>
        <stp/>
        <stp>VOLUME</stp>
        <stp>.SPX260403C6815</stp>
        <tr r="Q91" s="2"/>
      </tp>
      <tp t="s">
        <v>N/A</v>
        <stp/>
        <stp>VOLUME</stp>
        <stp>.SPX260403C6810</stp>
        <tr r="Q92" s="2"/>
      </tp>
      <tp t="s">
        <v>N/A</v>
        <stp/>
        <stp>VOLUME</stp>
        <stp>.SPX261002C6800</stp>
        <tr r="W94" s="2"/>
      </tp>
      <tp t="s">
        <v>N/A</v>
        <stp/>
        <stp>VOLUME</stp>
        <stp>.SPX260403P6815</stp>
        <tr r="Q91" s="2"/>
      </tp>
      <tp t="s">
        <v>N/A</v>
        <stp/>
        <stp>VOLUME</stp>
        <stp>.SPX261002P6805</stp>
        <tr r="W93" s="2"/>
      </tp>
      <tp t="s">
        <v>N/A</v>
        <stp/>
        <stp>VOLUME</stp>
        <stp>.SPX261002P6800</stp>
        <tr r="W94" s="2"/>
      </tp>
      <tp t="s">
        <v>N/A</v>
        <stp/>
        <stp>VOLUME</stp>
        <stp>.SPX260403P6810</stp>
        <tr r="Q92" s="2"/>
      </tp>
      <tp t="s">
        <v>N/A</v>
        <stp/>
        <stp>VOLUME</stp>
        <stp>.SPX260731C6840</stp>
        <tr r="U86" s="2"/>
      </tp>
      <tp t="s">
        <v>N/A</v>
        <stp/>
        <stp>VOLUME</stp>
        <stp>.SPX260731P6840</stp>
        <tr r="U86" s="2"/>
      </tp>
      <tp t="s">
        <v>N/A</v>
        <stp/>
        <stp>VOLUME</stp>
        <stp>.SPX260130C6840</stp>
        <tr r="M86" s="2"/>
      </tp>
      <tp t="s">
        <v>N/A</v>
        <stp/>
        <stp>VOLUME</stp>
        <stp>.SPX260130P6840</stp>
        <tr r="M86" s="2"/>
      </tp>
      <tp t="s">
        <v>N/A</v>
        <stp/>
        <stp>VOLUME</stp>
        <stp>.SPX251231C6840</stp>
        <tr r="O86" s="2"/>
      </tp>
      <tp t="s">
        <v>N/A</v>
        <stp/>
        <stp>VOLUME</stp>
        <stp>.SPX251231P6840</stp>
        <tr r="O86" s="2"/>
      </tp>
      <tp t="s">
        <v>N/A</v>
        <stp/>
        <stp>VOLUME</stp>
        <stp>.SPX251231C6835</stp>
        <tr r="O87" s="2"/>
      </tp>
      <tp t="s">
        <v>N/A</v>
        <stp/>
        <stp>VOLUME</stp>
        <stp>.SPX260731C6805</stp>
        <tr r="U93" s="2"/>
      </tp>
      <tp t="s">
        <v>N/A</v>
        <stp/>
        <stp>VOLUME</stp>
        <stp>.SPX260130C6815</stp>
        <tr r="M91" s="2"/>
      </tp>
      <tp t="s">
        <v>N/A</v>
        <stp/>
        <stp>VOLUME</stp>
        <stp>.SPX260731C6800</stp>
        <tr r="U94" s="2"/>
      </tp>
      <tp t="s">
        <v>N/A</v>
        <stp/>
        <stp>VOLUME</stp>
        <stp>.SPX260130C6810</stp>
        <tr r="M92" s="2"/>
      </tp>
      <tp t="s">
        <v>N/A</v>
        <stp/>
        <stp>VOLUME</stp>
        <stp>.SPX251231C6830</stp>
        <tr r="O88" s="2"/>
      </tp>
      <tp t="s">
        <v>N/A</v>
        <stp/>
        <stp>VOLUME</stp>
        <stp>.SPX260731P6805</stp>
        <tr r="U93" s="2"/>
      </tp>
      <tp t="s">
        <v>N/A</v>
        <stp/>
        <stp>VOLUME</stp>
        <stp>.SPX260130P6815</stp>
        <tr r="M91" s="2"/>
      </tp>
      <tp t="s">
        <v>N/A</v>
        <stp/>
        <stp>VOLUME</stp>
        <stp>.SPX251231P6835</stp>
        <tr r="O87" s="2"/>
      </tp>
      <tp t="s">
        <v>N/A</v>
        <stp/>
        <stp>VOLUME</stp>
        <stp>.SPX251231P6830</stp>
        <tr r="O88" s="2"/>
      </tp>
      <tp t="s">
        <v>N/A</v>
        <stp/>
        <stp>VOLUME</stp>
        <stp>.SPX260731P6800</stp>
        <tr r="U94" s="2"/>
      </tp>
      <tp t="s">
        <v>N/A</v>
        <stp/>
        <stp>VOLUME</stp>
        <stp>.SPX260130P6810</stp>
        <tr r="M92" s="2"/>
      </tp>
      <tp t="s">
        <v>N/A</v>
        <stp/>
        <stp>VOLUME</stp>
        <stp>.SPX251231C6825</stp>
        <tr r="O89" s="2"/>
      </tp>
      <tp t="s">
        <v>N/A</v>
        <stp/>
        <stp>VOLUME</stp>
        <stp>.SPX260731C6815</stp>
        <tr r="U91" s="2"/>
      </tp>
      <tp t="s">
        <v>N/A</v>
        <stp/>
        <stp>VOLUME</stp>
        <stp>.SPX260130C6805</stp>
        <tr r="M93" s="2"/>
      </tp>
      <tp t="s">
        <v>N/A</v>
        <stp/>
        <stp>VOLUME</stp>
        <stp>.SPX260731C6810</stp>
        <tr r="U92" s="2"/>
      </tp>
      <tp t="s">
        <v>N/A</v>
        <stp/>
        <stp>VOLUME</stp>
        <stp>.SPX260130C6800</stp>
        <tr r="M94" s="2"/>
      </tp>
      <tp t="s">
        <v>N/A</v>
        <stp/>
        <stp>VOLUME</stp>
        <stp>.SPX251231C6820</stp>
        <tr r="O90" s="2"/>
      </tp>
      <tp t="s">
        <v>N/A</v>
        <stp/>
        <stp>VOLUME</stp>
        <stp>.SPX260731P6815</stp>
        <tr r="U91" s="2"/>
      </tp>
      <tp t="s">
        <v>N/A</v>
        <stp/>
        <stp>VOLUME</stp>
        <stp>.SPX260130P6805</stp>
        <tr r="M93" s="2"/>
      </tp>
      <tp t="s">
        <v>N/A</v>
        <stp/>
        <stp>VOLUME</stp>
        <stp>.SPX251231P6825</stp>
        <tr r="O89" s="2"/>
      </tp>
      <tp t="s">
        <v>N/A</v>
        <stp/>
        <stp>VOLUME</stp>
        <stp>.SPX251231P6820</stp>
        <tr r="O90" s="2"/>
      </tp>
      <tp t="s">
        <v>N/A</v>
        <stp/>
        <stp>VOLUME</stp>
        <stp>.SPX260731P6810</stp>
        <tr r="U92" s="2"/>
      </tp>
      <tp t="s">
        <v>N/A</v>
        <stp/>
        <stp>VOLUME</stp>
        <stp>.SPX260130P6800</stp>
        <tr r="M94" s="2"/>
      </tp>
      <tp t="s">
        <v>N/A</v>
        <stp/>
        <stp>VOLUME</stp>
        <stp>.SPX251231C6815</stp>
        <tr r="O91" s="2"/>
      </tp>
      <tp t="s">
        <v>N/A</v>
        <stp/>
        <stp>VOLUME</stp>
        <stp>.SPX260731C6825</stp>
        <tr r="U89" s="2"/>
      </tp>
      <tp t="s">
        <v>N/A</v>
        <stp/>
        <stp>VOLUME</stp>
        <stp>.SPX260130C6835</stp>
        <tr r="M87" s="2"/>
      </tp>
      <tp t="s">
        <v>N/A</v>
        <stp/>
        <stp>VOLUME</stp>
        <stp>.SPX260731C6820</stp>
        <tr r="U90" s="2"/>
      </tp>
      <tp t="s">
        <v>N/A</v>
        <stp/>
        <stp>VOLUME</stp>
        <stp>.SPX260130C6830</stp>
        <tr r="M88" s="2"/>
      </tp>
      <tp t="s">
        <v>N/A</v>
        <stp/>
        <stp>VOLUME</stp>
        <stp>.SPX251231C6810</stp>
        <tr r="O92" s="2"/>
      </tp>
      <tp t="s">
        <v>N/A</v>
        <stp/>
        <stp>VOLUME</stp>
        <stp>.SPX260731P6825</stp>
        <tr r="U89" s="2"/>
      </tp>
      <tp t="s">
        <v>N/A</v>
        <stp/>
        <stp>VOLUME</stp>
        <stp>.SPX260130P6835</stp>
        <tr r="M87" s="2"/>
      </tp>
      <tp t="s">
        <v>N/A</v>
        <stp/>
        <stp>VOLUME</stp>
        <stp>.SPX251231P6815</stp>
        <tr r="O91" s="2"/>
      </tp>
      <tp t="s">
        <v>N/A</v>
        <stp/>
        <stp>VOLUME</stp>
        <stp>.SPX251231P6810</stp>
        <tr r="O92" s="2"/>
      </tp>
      <tp t="s">
        <v>N/A</v>
        <stp/>
        <stp>VOLUME</stp>
        <stp>.SPX260731P6820</stp>
        <tr r="U90" s="2"/>
      </tp>
      <tp t="s">
        <v>N/A</v>
        <stp/>
        <stp>VOLUME</stp>
        <stp>.SPX260130P6830</stp>
        <tr r="M88" s="2"/>
      </tp>
      <tp t="s">
        <v>N/A</v>
        <stp/>
        <stp>VOLUME</stp>
        <stp>.SPX251231C6805</stp>
        <tr r="O93" s="2"/>
      </tp>
      <tp t="s">
        <v>N/A</v>
        <stp/>
        <stp>VOLUME</stp>
        <stp>.SPX260731C6835</stp>
        <tr r="U87" s="2"/>
      </tp>
      <tp t="s">
        <v>N/A</v>
        <stp/>
        <stp>VOLUME</stp>
        <stp>.SPX260130C6825</stp>
        <tr r="M89" s="2"/>
      </tp>
      <tp t="s">
        <v>N/A</v>
        <stp/>
        <stp>VOLUME</stp>
        <stp>.SPX260731C6830</stp>
        <tr r="U88" s="2"/>
      </tp>
      <tp t="s">
        <v>N/A</v>
        <stp/>
        <stp>VOLUME</stp>
        <stp>.SPX260130C6820</stp>
        <tr r="M90" s="2"/>
      </tp>
      <tp t="s">
        <v>N/A</v>
        <stp/>
        <stp>VOLUME</stp>
        <stp>.SPX251231C6800</stp>
        <tr r="O94" s="2"/>
      </tp>
      <tp t="s">
        <v>N/A</v>
        <stp/>
        <stp>VOLUME</stp>
        <stp>.SPX260731P6835</stp>
        <tr r="U87" s="2"/>
      </tp>
      <tp t="s">
        <v>N/A</v>
        <stp/>
        <stp>VOLUME</stp>
        <stp>.SPX260130P6825</stp>
        <tr r="M89" s="2"/>
      </tp>
      <tp t="s">
        <v>N/A</v>
        <stp/>
        <stp>VOLUME</stp>
        <stp>.SPX251231P6805</stp>
        <tr r="O93" s="2"/>
      </tp>
      <tp t="s">
        <v>N/A</v>
        <stp/>
        <stp>VOLUME</stp>
        <stp>.SPX251231P6800</stp>
        <tr r="O94" s="2"/>
      </tp>
      <tp t="s">
        <v>N/A</v>
        <stp/>
        <stp>VOLUME</stp>
        <stp>.SPX260731P6830</stp>
        <tr r="U88" s="2"/>
      </tp>
      <tp t="s">
        <v>N/A</v>
        <stp/>
        <stp>VOLUME</stp>
        <stp>.SPX260130P6820</stp>
        <tr r="M90" s="2"/>
      </tp>
      <tp>
        <v>45</v>
        <stp/>
        <stp>VOLUME</stp>
        <stp>.SPX251121C6840</stp>
        <tr r="T85" s="1"/>
        <tr r="T85" s="1"/>
      </tp>
      <tp>
        <v>6</v>
        <stp/>
        <stp>VOLUME</stp>
        <stp>.SPX251121P6840</stp>
        <tr r="U85" s="1"/>
        <tr r="U85" s="1"/>
      </tp>
      <tp>
        <v>25</v>
        <stp/>
        <stp>VOLUME</stp>
        <stp>.SPX251121C6835</stp>
        <tr r="T86" s="1"/>
        <tr r="T86" s="1"/>
      </tp>
      <tp>
        <v>177</v>
        <stp/>
        <stp>VOLUME</stp>
        <stp>.SPX251121C6830</stp>
        <tr r="T87" s="1"/>
        <tr r="T87" s="1"/>
      </tp>
      <tp>
        <v>3</v>
        <stp/>
        <stp>VOLUME</stp>
        <stp>.SPX251121P6835</stp>
        <tr r="U86" s="1"/>
        <tr r="U86" s="1"/>
      </tp>
      <tp>
        <v>62</v>
        <stp/>
        <stp>VOLUME</stp>
        <stp>.SPX251121P6830</stp>
        <tr r="U87" s="1"/>
        <tr r="U87" s="1"/>
      </tp>
      <tp>
        <v>282</v>
        <stp/>
        <stp>VOLUME</stp>
        <stp>.SPX251121C6825</stp>
        <tr r="T88" s="1"/>
        <tr r="T88" s="1"/>
      </tp>
      <tp>
        <v>32</v>
        <stp/>
        <stp>VOLUME</stp>
        <stp>.SPX251121C6820</stp>
        <tr r="T89" s="1"/>
        <tr r="T89" s="1"/>
      </tp>
      <tp>
        <v>1</v>
        <stp/>
        <stp>VOLUME</stp>
        <stp>.SPX251121P6825</stp>
        <tr r="U88" s="1"/>
        <tr r="U88" s="1"/>
      </tp>
      <tp t="s">
        <v>N/A</v>
        <stp/>
        <stp>VOLUME</stp>
        <stp>.SPX251121P6820</stp>
        <tr r="U89" s="1"/>
      </tp>
      <tp>
        <v>57</v>
        <stp/>
        <stp>VOLUME</stp>
        <stp>.SPX251121C6815</stp>
        <tr r="T90" s="1"/>
        <tr r="T90" s="1"/>
      </tp>
      <tp>
        <v>28</v>
        <stp/>
        <stp>VOLUME</stp>
        <stp>.SPX251121C6810</stp>
        <tr r="T91" s="1"/>
        <tr r="T91" s="1"/>
      </tp>
      <tp>
        <v>66</v>
        <stp/>
        <stp>VOLUME</stp>
        <stp>.SPX251121P6815</stp>
        <tr r="U90" s="1"/>
        <tr r="U90" s="1"/>
      </tp>
      <tp>
        <v>5</v>
        <stp/>
        <stp>VOLUME</stp>
        <stp>.SPX251121P6810</stp>
        <tr r="U91" s="1"/>
        <tr r="U91" s="1"/>
      </tp>
      <tp>
        <v>41</v>
        <stp/>
        <stp>VOLUME</stp>
        <stp>.SPX251121C6805</stp>
        <tr r="T92" s="1"/>
        <tr r="T92" s="1"/>
      </tp>
      <tp>
        <v>3831</v>
        <stp/>
        <stp>VOLUME</stp>
        <stp>.SPX251121C6800</stp>
        <tr r="T93" s="1"/>
        <tr r="T93" s="1"/>
      </tp>
      <tp>
        <v>20</v>
        <stp/>
        <stp>VOLUME</stp>
        <stp>.SPX251121P6805</stp>
        <tr r="U92" s="1"/>
        <tr r="U92" s="1"/>
      </tp>
      <tp>
        <v>235</v>
        <stp/>
        <stp>VOLUME</stp>
        <stp>.SPX251121P6800</stp>
        <tr r="U93" s="1"/>
        <tr r="U93" s="1"/>
      </tp>
      <tp t="s">
        <v>N/A</v>
        <stp/>
        <stp>VOLUME</stp>
        <stp>.SPX260529C6840</stp>
        <tr r="S86" s="2"/>
      </tp>
      <tp t="s">
        <v>N/A</v>
        <stp/>
        <stp>VOLUME</stp>
        <stp>.SPX260529P6840</stp>
        <tr r="S86" s="2"/>
      </tp>
      <tp t="s">
        <v>N/A</v>
        <stp/>
        <stp>VOLUME</stp>
        <stp>.SPX260529C6805</stp>
        <tr r="S93" s="2"/>
      </tp>
      <tp t="s">
        <v>N/A</v>
        <stp/>
        <stp>VOLUME</stp>
        <stp>.SPX260529C6800</stp>
        <tr r="S94" s="2"/>
      </tp>
      <tp t="s">
        <v>N/A</v>
        <stp/>
        <stp>VOLUME</stp>
        <stp>.SPX260529P6805</stp>
        <tr r="S93" s="2"/>
      </tp>
      <tp t="s">
        <v>N/A</v>
        <stp/>
        <stp>VOLUME</stp>
        <stp>.SPX260529P6800</stp>
        <tr r="S94" s="2"/>
      </tp>
      <tp t="s">
        <v>N/A</v>
        <stp/>
        <stp>VOLUME</stp>
        <stp>.SPX260529C6815</stp>
        <tr r="S91" s="2"/>
      </tp>
      <tp t="s">
        <v>N/A</v>
        <stp/>
        <stp>VOLUME</stp>
        <stp>.SPX260529C6810</stp>
        <tr r="S92" s="2"/>
      </tp>
      <tp t="s">
        <v>N/A</v>
        <stp/>
        <stp>VOLUME</stp>
        <stp>.SPX260529P6815</stp>
        <tr r="S91" s="2"/>
      </tp>
      <tp t="s">
        <v>N/A</v>
        <stp/>
        <stp>VOLUME</stp>
        <stp>.SPX260529P6810</stp>
        <tr r="S92" s="2"/>
      </tp>
      <tp t="s">
        <v>N/A</v>
        <stp/>
        <stp>VOLUME</stp>
        <stp>.SPX260529C6825</stp>
        <tr r="S89" s="2"/>
      </tp>
      <tp t="s">
        <v>N/A</v>
        <stp/>
        <stp>VOLUME</stp>
        <stp>.SPX260529C6820</stp>
        <tr r="S90" s="2"/>
      </tp>
      <tp t="s">
        <v>N/A</v>
        <stp/>
        <stp>VOLUME</stp>
        <stp>.SPX260529P6825</stp>
        <tr r="S89" s="2"/>
      </tp>
      <tp t="s">
        <v>N/A</v>
        <stp/>
        <stp>VOLUME</stp>
        <stp>.SPX260529P6820</stp>
        <tr r="S90" s="2"/>
      </tp>
      <tp t="s">
        <v>N/A</v>
        <stp/>
        <stp>VOLUME</stp>
        <stp>.SPX260529C6835</stp>
        <tr r="S87" s="2"/>
      </tp>
      <tp t="s">
        <v>N/A</v>
        <stp/>
        <stp>VOLUME</stp>
        <stp>.SPX260529C6830</stp>
        <tr r="S88" s="2"/>
      </tp>
      <tp t="s">
        <v>N/A</v>
        <stp/>
        <stp>VOLUME</stp>
        <stp>.SPX260529P6835</stp>
        <tr r="S87" s="2"/>
      </tp>
      <tp t="s">
        <v>N/A</v>
        <stp/>
        <stp>VOLUME</stp>
        <stp>.SPX260529P6830</stp>
        <tr r="S88" s="2"/>
      </tp>
      <tp>
        <v>503</v>
        <stp/>
        <stp>OPEN_INT</stp>
        <stp>.SPXW251114C6650</stp>
        <tr r="J123" s="1"/>
        <tr r="J123" s="1"/>
      </tp>
      <tp>
        <v>1</v>
        <stp/>
        <stp>OPEN_INT</stp>
        <stp>.SPXW251110C6615</stp>
        <tr r="H130" s="1"/>
        <tr r="H130" s="1"/>
      </tp>
      <tp>
        <v>41</v>
        <stp/>
        <stp>OPEN_INT</stp>
        <stp>.SPXW251114C6655</stp>
        <tr r="J122" s="1"/>
        <tr r="J122" s="1"/>
      </tp>
      <tp>
        <v>2765</v>
        <stp/>
        <stp>OPEN_INT</stp>
        <stp>.SPXW251114P6650</stp>
        <tr r="K123" s="1"/>
        <tr r="K123" s="1"/>
      </tp>
      <tp>
        <v>525</v>
        <stp/>
        <stp>OPEN_INT</stp>
        <stp>.SPXW251110P6615</stp>
        <tr r="I130" s="1"/>
        <tr r="I130" s="1"/>
      </tp>
      <tp>
        <v>365</v>
        <stp/>
        <stp>OPEN_INT</stp>
        <stp>.SPXW251114P6655</stp>
        <tr r="K122" s="1"/>
        <tr r="K122" s="1"/>
      </tp>
      <tp>
        <v>83</v>
        <stp/>
        <stp>OPEN_INT</stp>
        <stp>.SPXW251114C6640</stp>
        <tr r="J125" s="1"/>
        <tr r="J125" s="1"/>
      </tp>
      <tp>
        <v>21</v>
        <stp/>
        <stp>OPEN_INT</stp>
        <stp>.SPXW251114C6645</stp>
        <tr r="J124" s="1"/>
        <tr r="J124" s="1"/>
      </tp>
      <tp>
        <v>385</v>
        <stp/>
        <stp>OPEN_INT</stp>
        <stp>.SPXW251114P6640</stp>
        <tr r="K125" s="1"/>
        <tr r="K125" s="1"/>
      </tp>
      <tp>
        <v>971</v>
        <stp/>
        <stp>OPEN_INT</stp>
        <stp>.SPXW251114P6645</stp>
        <tr r="K124" s="1"/>
        <tr r="K124" s="1"/>
      </tp>
      <tp>
        <v>19</v>
        <stp/>
        <stp>OPEN_INT</stp>
        <stp>.SPXW251110C6630</stp>
        <tr r="H127" s="1"/>
        <tr r="H127" s="1"/>
      </tp>
      <tp>
        <v>216</v>
        <stp/>
        <stp>OPEN_INT</stp>
        <stp>.SPXW251114C6670</stp>
        <tr r="J119" s="1"/>
        <tr r="J119" s="1"/>
      </tp>
      <tp>
        <v>11</v>
        <stp/>
        <stp>OPEN_INT</stp>
        <stp>.SPXW251110C6635</stp>
        <tr r="H126" s="1"/>
        <tr r="H126" s="1"/>
      </tp>
      <tp>
        <v>272</v>
        <stp/>
        <stp>OPEN_INT</stp>
        <stp>.SPXW251114C6675</stp>
        <tr r="J118" s="1"/>
        <tr r="J118" s="1"/>
      </tp>
      <tp>
        <v>414</v>
        <stp/>
        <stp>OPEN_INT</stp>
        <stp>.SPXW251110P6630</stp>
        <tr r="I127" s="1"/>
        <tr r="I127" s="1"/>
      </tp>
      <tp>
        <v>644</v>
        <stp/>
        <stp>OPEN_INT</stp>
        <stp>.SPXW251114P6670</stp>
        <tr r="K119" s="1"/>
        <tr r="K119" s="1"/>
      </tp>
      <tp>
        <v>241</v>
        <stp/>
        <stp>OPEN_INT</stp>
        <stp>.SPXW251110P6635</stp>
        <tr r="I126" s="1"/>
        <tr r="I126" s="1"/>
      </tp>
      <tp>
        <v>1631</v>
        <stp/>
        <stp>OPEN_INT</stp>
        <stp>.SPXW251114P6675</stp>
        <tr r="K118" s="1"/>
        <tr r="K118" s="1"/>
      </tp>
      <tp>
        <v>28</v>
        <stp/>
        <stp>OPEN_INT</stp>
        <stp>.SPXW251110C6620</stp>
        <tr r="H129" s="1"/>
        <tr r="H129" s="1"/>
      </tp>
      <tp>
        <v>346</v>
        <stp/>
        <stp>OPEN_INT</stp>
        <stp>.SPXW251114C6660</stp>
        <tr r="J121" s="1"/>
        <tr r="J121" s="1"/>
      </tp>
      <tp>
        <v>23</v>
        <stp/>
        <stp>OPEN_INT</stp>
        <stp>.SPXW251110C6625</stp>
        <tr r="H128" s="1"/>
        <tr r="H128" s="1"/>
      </tp>
      <tp>
        <v>100</v>
        <stp/>
        <stp>OPEN_INT</stp>
        <stp>.SPXW251114C6665</stp>
        <tr r="J120" s="1"/>
        <tr r="J120" s="1"/>
      </tp>
      <tp>
        <v>3241</v>
        <stp/>
        <stp>OPEN_INT</stp>
        <stp>.SPXW251110P6620</stp>
        <tr r="I129" s="1"/>
        <tr r="I129" s="1"/>
      </tp>
      <tp>
        <v>620</v>
        <stp/>
        <stp>OPEN_INT</stp>
        <stp>.SPXW251114P6660</stp>
        <tr r="K121" s="1"/>
        <tr r="K121" s="1"/>
      </tp>
      <tp>
        <v>794</v>
        <stp/>
        <stp>OPEN_INT</stp>
        <stp>.SPXW251110P6625</stp>
        <tr r="I128" s="1"/>
        <tr r="I128" s="1"/>
      </tp>
      <tp>
        <v>448</v>
        <stp/>
        <stp>OPEN_INT</stp>
        <stp>.SPXW251114P6665</stp>
        <tr r="K120" s="1"/>
        <tr r="K120" s="1"/>
      </tp>
      <tp>
        <v>100</v>
        <stp/>
        <stp>OPEN_INT</stp>
        <stp>.SPXW251110C6650</stp>
        <tr r="H123" s="1"/>
        <tr r="H123" s="1"/>
      </tp>
      <tp>
        <v>6</v>
        <stp/>
        <stp>OPEN_INT</stp>
        <stp>.SPXW251110C6655</stp>
        <tr r="H122" s="1"/>
        <tr r="H122" s="1"/>
      </tp>
      <tp>
        <v>22</v>
        <stp/>
        <stp>OPEN_INT</stp>
        <stp>.SPXW251114C6615</stp>
        <tr r="J130" s="1"/>
        <tr r="J130" s="1"/>
      </tp>
      <tp>
        <v>2893</v>
        <stp/>
        <stp>OPEN_INT</stp>
        <stp>.SPXW251110P6650</stp>
        <tr r="I123" s="1"/>
        <tr r="I123" s="1"/>
      </tp>
      <tp>
        <v>217</v>
        <stp/>
        <stp>OPEN_INT</stp>
        <stp>.SPXW251110P6655</stp>
        <tr r="I122" s="1"/>
        <tr r="I122" s="1"/>
      </tp>
      <tp>
        <v>861</v>
        <stp/>
        <stp>OPEN_INT</stp>
        <stp>.SPXW251114P6615</stp>
        <tr r="K130" s="1"/>
        <tr r="K130" s="1"/>
      </tp>
      <tp>
        <v>28</v>
        <stp/>
        <stp>OPEN_INT</stp>
        <stp>.SPXW251110C6640</stp>
        <tr r="H125" s="1"/>
        <tr r="H125" s="1"/>
      </tp>
      <tp>
        <v>8</v>
        <stp/>
        <stp>OPEN_INT</stp>
        <stp>.SPXW251110C6645</stp>
        <tr r="H124" s="1"/>
        <tr r="H124" s="1"/>
      </tp>
      <tp>
        <v>686</v>
        <stp/>
        <stp>OPEN_INT</stp>
        <stp>.SPXW251110P6640</stp>
        <tr r="I125" s="1"/>
        <tr r="I125" s="1"/>
      </tp>
      <tp>
        <v>1469</v>
        <stp/>
        <stp>OPEN_INT</stp>
        <stp>.SPXW251110P6645</stp>
        <tr r="I124" s="1"/>
        <tr r="I124" s="1"/>
      </tp>
      <tp>
        <v>114</v>
        <stp/>
        <stp>OPEN_INT</stp>
        <stp>.SPXW251110C6670</stp>
        <tr r="H119" s="1"/>
        <tr r="H119" s="1"/>
      </tp>
      <tp>
        <v>238</v>
        <stp/>
        <stp>OPEN_INT</stp>
        <stp>.SPXW251114C6630</stp>
        <tr r="J127" s="1"/>
        <tr r="J127" s="1"/>
      </tp>
      <tp>
        <v>42</v>
        <stp/>
        <stp>OPEN_INT</stp>
        <stp>.SPXW251110C6675</stp>
        <tr r="H118" s="1"/>
        <tr r="H118" s="1"/>
      </tp>
      <tp>
        <v>9</v>
        <stp/>
        <stp>OPEN_INT</stp>
        <stp>.SPXW251114C6635</stp>
        <tr r="J126" s="1"/>
        <tr r="J126" s="1"/>
      </tp>
      <tp>
        <v>397</v>
        <stp/>
        <stp>OPEN_INT</stp>
        <stp>.SPXW251110P6670</stp>
        <tr r="I119" s="1"/>
        <tr r="I119" s="1"/>
      </tp>
      <tp>
        <v>1030</v>
        <stp/>
        <stp>OPEN_INT</stp>
        <stp>.SPXW251114P6630</stp>
        <tr r="K127" s="1"/>
        <tr r="K127" s="1"/>
      </tp>
      <tp>
        <v>414</v>
        <stp/>
        <stp>OPEN_INT</stp>
        <stp>.SPXW251110P6675</stp>
        <tr r="I118" s="1"/>
        <tr r="I118" s="1"/>
      </tp>
      <tp>
        <v>560</v>
        <stp/>
        <stp>OPEN_INT</stp>
        <stp>.SPXW251114P6635</stp>
        <tr r="K126" s="1"/>
        <tr r="K126" s="1"/>
      </tp>
      <tp>
        <v>34</v>
        <stp/>
        <stp>OPEN_INT</stp>
        <stp>.SPXW251110C6660</stp>
        <tr r="H121" s="1"/>
        <tr r="H121" s="1"/>
      </tp>
      <tp>
        <v>71</v>
        <stp/>
        <stp>OPEN_INT</stp>
        <stp>.SPXW251114C6620</stp>
        <tr r="J129" s="1"/>
        <tr r="J129" s="1"/>
      </tp>
      <tp>
        <v>2</v>
        <stp/>
        <stp>OPEN_INT</stp>
        <stp>.SPXW251110C6665</stp>
        <tr r="H120" s="1"/>
        <tr r="H120" s="1"/>
      </tp>
      <tp>
        <v>74</v>
        <stp/>
        <stp>OPEN_INT</stp>
        <stp>.SPXW251114C6625</stp>
        <tr r="J128" s="1"/>
        <tr r="J128" s="1"/>
      </tp>
      <tp>
        <v>416</v>
        <stp/>
        <stp>OPEN_INT</stp>
        <stp>.SPXW251110P6660</stp>
        <tr r="I121" s="1"/>
        <tr r="I121" s="1"/>
      </tp>
      <tp>
        <v>958</v>
        <stp/>
        <stp>OPEN_INT</stp>
        <stp>.SPXW251114P6620</stp>
        <tr r="K129" s="1"/>
        <tr r="K129" s="1"/>
      </tp>
      <tp>
        <v>264</v>
        <stp/>
        <stp>OPEN_INT</stp>
        <stp>.SPXW251110P6665</stp>
        <tr r="I120" s="1"/>
        <tr r="I120" s="1"/>
      </tp>
      <tp>
        <v>693</v>
        <stp/>
        <stp>OPEN_INT</stp>
        <stp>.SPXW251114P6625</stp>
        <tr r="K128" s="1"/>
        <tr r="K128" s="1"/>
      </tp>
      <tp>
        <v>24</v>
        <stp/>
        <stp>OPEN_INT</stp>
        <stp>.SPXW251110C6690</stp>
        <tr r="H115" s="1"/>
        <tr r="H115" s="1"/>
      </tp>
      <tp>
        <v>38</v>
        <stp/>
        <stp>OPEN_INT</stp>
        <stp>.SPXW251110C6695</stp>
        <tr r="H114" s="1"/>
        <tr r="H114" s="1"/>
      </tp>
      <tp>
        <v>301</v>
        <stp/>
        <stp>OPEN_INT</stp>
        <stp>.SPXW251110P6690</stp>
        <tr r="I115" s="1"/>
        <tr r="I115" s="1"/>
      </tp>
      <tp>
        <v>473</v>
        <stp/>
        <stp>OPEN_INT</stp>
        <stp>.SPXW251110P6695</stp>
        <tr r="I114" s="1"/>
        <tr r="I114" s="1"/>
      </tp>
      <tp>
        <v>43</v>
        <stp/>
        <stp>OPEN_INT</stp>
        <stp>.SPXW251110C6680</stp>
        <tr r="H117" s="1"/>
        <tr r="H117" s="1"/>
      </tp>
      <tp>
        <v>26</v>
        <stp/>
        <stp>OPEN_INT</stp>
        <stp>.SPXW251110C6685</stp>
        <tr r="H116" s="1"/>
        <tr r="H116" s="1"/>
      </tp>
      <tp>
        <v>366</v>
        <stp/>
        <stp>OPEN_INT</stp>
        <stp>.SPXW251110P6680</stp>
        <tr r="I117" s="1"/>
        <tr r="I117" s="1"/>
      </tp>
      <tp>
        <v>400</v>
        <stp/>
        <stp>OPEN_INT</stp>
        <stp>.SPXW251110P6685</stp>
        <tr r="I116" s="1"/>
        <tr r="I116" s="1"/>
      </tp>
      <tp>
        <v>128</v>
        <stp/>
        <stp>OPEN_INT</stp>
        <stp>.SPXW251114C6690</stp>
        <tr r="J115" s="1"/>
        <tr r="J115" s="1"/>
      </tp>
      <tp>
        <v>129</v>
        <stp/>
        <stp>OPEN_INT</stp>
        <stp>.SPXW251114C6695</stp>
        <tr r="J114" s="1"/>
        <tr r="J114" s="1"/>
      </tp>
      <tp>
        <v>822</v>
        <stp/>
        <stp>OPEN_INT</stp>
        <stp>.SPXW251114P6690</stp>
        <tr r="K115" s="1"/>
        <tr r="K115" s="1"/>
      </tp>
      <tp>
        <v>575</v>
        <stp/>
        <stp>OPEN_INT</stp>
        <stp>.SPXW251114P6695</stp>
        <tr r="K114" s="1"/>
        <tr r="K114" s="1"/>
      </tp>
      <tp>
        <v>109</v>
        <stp/>
        <stp>OPEN_INT</stp>
        <stp>.SPXW251114C6680</stp>
        <tr r="J117" s="1"/>
        <tr r="J117" s="1"/>
      </tp>
      <tp>
        <v>37</v>
        <stp/>
        <stp>OPEN_INT</stp>
        <stp>.SPXW251114C6685</stp>
        <tr r="J116" s="1"/>
        <tr r="J116" s="1"/>
      </tp>
      <tp>
        <v>826</v>
        <stp/>
        <stp>OPEN_INT</stp>
        <stp>.SPXW251114P6680</stp>
        <tr r="K117" s="1"/>
        <tr r="K117" s="1"/>
      </tp>
      <tp>
        <v>413</v>
        <stp/>
        <stp>OPEN_INT</stp>
        <stp>.SPXW251114P6685</stp>
        <tr r="K116" s="1"/>
        <tr r="K116" s="1"/>
      </tp>
      <tp>
        <v>125</v>
        <stp/>
        <stp>OPEN_INT</stp>
        <stp>.SPXW251110C6710</stp>
        <tr r="H111" s="1"/>
        <tr r="H111" s="1"/>
      </tp>
      <tp>
        <v>868</v>
        <stp/>
        <stp>OPEN_INT</stp>
        <stp>.SPXW251114C6750</stp>
        <tr r="J103" s="1"/>
        <tr r="J103" s="1"/>
      </tp>
      <tp>
        <v>116</v>
        <stp/>
        <stp>OPEN_INT</stp>
        <stp>.SPXW251110C6715</stp>
        <tr r="H110" s="1"/>
        <tr r="H110" s="1"/>
      </tp>
      <tp>
        <v>193</v>
        <stp/>
        <stp>OPEN_INT</stp>
        <stp>.SPXW251114C6755</stp>
        <tr r="J102" s="1"/>
        <tr r="J102" s="1"/>
      </tp>
      <tp>
        <v>1176</v>
        <stp/>
        <stp>OPEN_INT</stp>
        <stp>.SPXW251110P6710</stp>
        <tr r="I111" s="1"/>
        <tr r="I111" s="1"/>
      </tp>
      <tp>
        <v>2735</v>
        <stp/>
        <stp>OPEN_INT</stp>
        <stp>.SPXW251114P6750</stp>
        <tr r="K103" s="1"/>
        <tr r="K103" s="1"/>
      </tp>
      <tp>
        <v>309</v>
        <stp/>
        <stp>OPEN_INT</stp>
        <stp>.SPXW251110P6715</stp>
        <tr r="I110" s="1"/>
        <tr r="I110" s="1"/>
      </tp>
      <tp>
        <v>208</v>
        <stp/>
        <stp>OPEN_INT</stp>
        <stp>.SPXW251114P6755</stp>
        <tr r="K102" s="1"/>
        <tr r="K102" s="1"/>
      </tp>
      <tp>
        <v>284</v>
        <stp/>
        <stp>OPEN_INT</stp>
        <stp>.SPXW251110C6700</stp>
        <tr r="H113" s="1"/>
        <tr r="H113" s="1"/>
      </tp>
      <tp>
        <v>123</v>
        <stp/>
        <stp>OPEN_INT</stp>
        <stp>.SPXW251114C6740</stp>
        <tr r="J105" s="1"/>
        <tr r="J105" s="1"/>
      </tp>
      <tp>
        <v>57</v>
        <stp/>
        <stp>OPEN_INT</stp>
        <stp>.SPXW251110C6705</stp>
        <tr r="H112" s="1"/>
        <tr r="H112" s="1"/>
      </tp>
      <tp>
        <v>96</v>
        <stp/>
        <stp>OPEN_INT</stp>
        <stp>.SPXW251114C6745</stp>
        <tr r="J104" s="1"/>
        <tr r="J104" s="1"/>
      </tp>
      <tp>
        <v>1327</v>
        <stp/>
        <stp>OPEN_INT</stp>
        <stp>.SPXW251110P6700</stp>
        <tr r="I113" s="1"/>
        <tr r="I113" s="1"/>
      </tp>
      <tp>
        <v>473</v>
        <stp/>
        <stp>OPEN_INT</stp>
        <stp>.SPXW251114P6740</stp>
        <tr r="K105" s="1"/>
        <tr r="K105" s="1"/>
      </tp>
      <tp>
        <v>213</v>
        <stp/>
        <stp>OPEN_INT</stp>
        <stp>.SPXW251110P6705</stp>
        <tr r="I112" s="1"/>
        <tr r="I112" s="1"/>
      </tp>
      <tp>
        <v>330</v>
        <stp/>
        <stp>OPEN_INT</stp>
        <stp>.SPXW251114P6745</stp>
        <tr r="K104" s="1"/>
        <tr r="K104" s="1"/>
      </tp>
      <tp>
        <v>388</v>
        <stp/>
        <stp>OPEN_INT</stp>
        <stp>.SPXW251110C6730</stp>
        <tr r="H107" s="1"/>
        <tr r="H107" s="1"/>
      </tp>
      <tp>
        <v>268</v>
        <stp/>
        <stp>OPEN_INT</stp>
        <stp>.SPXW251114C6770</stp>
        <tr r="J99" s="1"/>
        <tr r="J99" s="1"/>
      </tp>
      <tp>
        <v>217</v>
        <stp/>
        <stp>OPEN_INT</stp>
        <stp>.SPXW251110C6735</stp>
        <tr r="H106" s="1"/>
        <tr r="H106" s="1"/>
      </tp>
      <tp>
        <v>1503</v>
        <stp/>
        <stp>OPEN_INT</stp>
        <stp>.SPXW251114C6775</stp>
        <tr r="J98" s="1"/>
        <tr r="J98" s="1"/>
      </tp>
      <tp>
        <v>814</v>
        <stp/>
        <stp>OPEN_INT</stp>
        <stp>.SPXW251110P6730</stp>
        <tr r="I107" s="1"/>
        <tr r="I107" s="1"/>
      </tp>
      <tp>
        <v>929</v>
        <stp/>
        <stp>OPEN_INT</stp>
        <stp>.SPXW251114P6770</stp>
        <tr r="K99" s="1"/>
        <tr r="K99" s="1"/>
      </tp>
      <tp>
        <v>270</v>
        <stp/>
        <stp>OPEN_INT</stp>
        <stp>.SPXW251110P6735</stp>
        <tr r="I106" s="1"/>
        <tr r="I106" s="1"/>
      </tp>
      <tp>
        <v>1513</v>
        <stp/>
        <stp>OPEN_INT</stp>
        <stp>.SPXW251114P6775</stp>
        <tr r="K98" s="1"/>
        <tr r="K98" s="1"/>
      </tp>
      <tp>
        <v>208</v>
        <stp/>
        <stp>OPEN_INT</stp>
        <stp>.SPXW251110C6720</stp>
        <tr r="H109" s="1"/>
        <tr r="H109" s="1"/>
      </tp>
      <tp>
        <v>1571</v>
        <stp/>
        <stp>OPEN_INT</stp>
        <stp>.SPXW251114C6760</stp>
        <tr r="J101" s="1"/>
        <tr r="J101" s="1"/>
      </tp>
      <tp>
        <v>305</v>
        <stp/>
        <stp>OPEN_INT</stp>
        <stp>.SPXW251110C6725</stp>
        <tr r="H108" s="1"/>
        <tr r="H108" s="1"/>
      </tp>
      <tp>
        <v>161</v>
        <stp/>
        <stp>OPEN_INT</stp>
        <stp>.SPXW251114C6765</stp>
        <tr r="J100" s="1"/>
        <tr r="J100" s="1"/>
      </tp>
      <tp>
        <v>1097</v>
        <stp/>
        <stp>OPEN_INT</stp>
        <stp>.SPXW251110P6720</stp>
        <tr r="I109" s="1"/>
        <tr r="I109" s="1"/>
      </tp>
      <tp>
        <v>706</v>
        <stp/>
        <stp>OPEN_INT</stp>
        <stp>.SPXW251114P6760</stp>
        <tr r="K101" s="1"/>
        <tr r="K101" s="1"/>
      </tp>
      <tp>
        <v>529</v>
        <stp/>
        <stp>OPEN_INT</stp>
        <stp>.SPXW251110P6725</stp>
        <tr r="I108" s="1"/>
        <tr r="I108" s="1"/>
      </tp>
      <tp>
        <v>294</v>
        <stp/>
        <stp>OPEN_INT</stp>
        <stp>.SPXW251114P6765</stp>
        <tr r="K100" s="1"/>
        <tr r="K100" s="1"/>
      </tp>
      <tp>
        <v>1132</v>
        <stp/>
        <stp>OPEN_INT</stp>
        <stp>.SPXW251110C6750</stp>
        <tr r="H103" s="1"/>
        <tr r="H103" s="1"/>
      </tp>
      <tp>
        <v>163</v>
        <stp/>
        <stp>OPEN_INT</stp>
        <stp>.SPXW251114C6710</stp>
        <tr r="J111" s="1"/>
        <tr r="J111" s="1"/>
      </tp>
      <tp>
        <v>231</v>
        <stp/>
        <stp>OPEN_INT</stp>
        <stp>.SPXW251110C6755</stp>
        <tr r="H102" s="1"/>
        <tr r="H102" s="1"/>
      </tp>
      <tp>
        <v>66</v>
        <stp/>
        <stp>OPEN_INT</stp>
        <stp>.SPXW251114C6715</stp>
        <tr r="J110" s="1"/>
        <tr r="J110" s="1"/>
      </tp>
      <tp>
        <v>1360</v>
        <stp/>
        <stp>OPEN_INT</stp>
        <stp>.SPXW251110P6750</stp>
        <tr r="I103" s="1"/>
        <tr r="I103" s="1"/>
      </tp>
      <tp>
        <v>919</v>
        <stp/>
        <stp>OPEN_INT</stp>
        <stp>.SPXW251114P6710</stp>
        <tr r="K111" s="1"/>
        <tr r="K111" s="1"/>
      </tp>
      <tp>
        <v>442</v>
        <stp/>
        <stp>OPEN_INT</stp>
        <stp>.SPXW251110P6755</stp>
        <tr r="I102" s="1"/>
        <tr r="I102" s="1"/>
      </tp>
      <tp>
        <v>702</v>
        <stp/>
        <stp>OPEN_INT</stp>
        <stp>.SPXW251114P6715</stp>
        <tr r="K110" s="1"/>
        <tr r="K110" s="1"/>
      </tp>
      <tp>
        <v>172</v>
        <stp/>
        <stp>OPEN_INT</stp>
        <stp>.SPXW251110C6740</stp>
        <tr r="H105" s="1"/>
        <tr r="H105" s="1"/>
      </tp>
      <tp>
        <v>1386</v>
        <stp/>
        <stp>OPEN_INT</stp>
        <stp>.SPXW251114C6700</stp>
        <tr r="J113" s="1"/>
        <tr r="J113" s="1"/>
      </tp>
      <tp>
        <v>267</v>
        <stp/>
        <stp>OPEN_INT</stp>
        <stp>.SPXW251110C6745</stp>
        <tr r="H104" s="1"/>
        <tr r="H104" s="1"/>
      </tp>
      <tp>
        <v>142</v>
        <stp/>
        <stp>OPEN_INT</stp>
        <stp>.SPXW251114C6705</stp>
        <tr r="J112" s="1"/>
        <tr r="J112" s="1"/>
      </tp>
      <tp>
        <v>307</v>
        <stp/>
        <stp>OPEN_INT</stp>
        <stp>.SPXW251110P6740</stp>
        <tr r="I105" s="1"/>
        <tr r="I105" s="1"/>
      </tp>
      <tp>
        <v>3658</v>
        <stp/>
        <stp>OPEN_INT</stp>
        <stp>.SPXW251114P6700</stp>
        <tr r="K113" s="1"/>
        <tr r="K113" s="1"/>
      </tp>
      <tp>
        <v>230</v>
        <stp/>
        <stp>OPEN_INT</stp>
        <stp>.SPXW251110P6745</stp>
        <tr r="I104" s="1"/>
        <tr r="I104" s="1"/>
      </tp>
      <tp>
        <v>587</v>
        <stp/>
        <stp>OPEN_INT</stp>
        <stp>.SPXW251114P6705</stp>
        <tr r="K112" s="1"/>
        <tr r="K112" s="1"/>
      </tp>
      <tp>
        <v>189</v>
        <stp/>
        <stp>OPEN_INT</stp>
        <stp>.SPXW251110C6770</stp>
        <tr r="H99" s="1"/>
        <tr r="H99" s="1"/>
      </tp>
      <tp>
        <v>635</v>
        <stp/>
        <stp>OPEN_INT</stp>
        <stp>.SPXW251114C6730</stp>
        <tr r="J107" s="1"/>
        <tr r="J107" s="1"/>
      </tp>
      <tp>
        <v>314</v>
        <stp/>
        <stp>OPEN_INT</stp>
        <stp>.SPXW251110C6775</stp>
        <tr r="H98" s="1"/>
        <tr r="H98" s="1"/>
      </tp>
      <tp>
        <v>100</v>
        <stp/>
        <stp>OPEN_INT</stp>
        <stp>.SPXW251114C6735</stp>
        <tr r="J106" s="1"/>
        <tr r="J106" s="1"/>
      </tp>
      <tp>
        <v>735</v>
        <stp/>
        <stp>OPEN_INT</stp>
        <stp>.SPXW251110P6770</stp>
        <tr r="I99" s="1"/>
        <tr r="I99" s="1"/>
      </tp>
      <tp>
        <v>614</v>
        <stp/>
        <stp>OPEN_INT</stp>
        <stp>.SPXW251114P6730</stp>
        <tr r="K107" s="1"/>
        <tr r="K107" s="1"/>
      </tp>
      <tp>
        <v>330</v>
        <stp/>
        <stp>OPEN_INT</stp>
        <stp>.SPXW251110P6775</stp>
        <tr r="I98" s="1"/>
        <tr r="I98" s="1"/>
      </tp>
      <tp>
        <v>214</v>
        <stp/>
        <stp>OPEN_INT</stp>
        <stp>.SPXW251114P6735</stp>
        <tr r="K106" s="1"/>
        <tr r="K106" s="1"/>
      </tp>
      <tp>
        <v>872</v>
        <stp/>
        <stp>OPEN_INT</stp>
        <stp>.SPXW251110C6760</stp>
        <tr r="H101" s="1"/>
        <tr r="H101" s="1"/>
      </tp>
      <tp>
        <v>125</v>
        <stp/>
        <stp>OPEN_INT</stp>
        <stp>.SPXW251114C6720</stp>
        <tr r="J109" s="1"/>
        <tr r="J109" s="1"/>
      </tp>
      <tp>
        <v>148</v>
        <stp/>
        <stp>OPEN_INT</stp>
        <stp>.SPXW251110C6765</stp>
        <tr r="H100" s="1"/>
        <tr r="H100" s="1"/>
      </tp>
      <tp>
        <v>160</v>
        <stp/>
        <stp>OPEN_INT</stp>
        <stp>.SPXW251114C6725</stp>
        <tr r="J108" s="1"/>
        <tr r="J108" s="1"/>
      </tp>
      <tp>
        <v>1101</v>
        <stp/>
        <stp>OPEN_INT</stp>
        <stp>.SPXW251110P6760</stp>
        <tr r="I101" s="1"/>
        <tr r="I101" s="1"/>
      </tp>
      <tp>
        <v>696</v>
        <stp/>
        <stp>OPEN_INT</stp>
        <stp>.SPXW251114P6720</stp>
        <tr r="K109" s="1"/>
        <tr r="K109" s="1"/>
      </tp>
      <tp>
        <v>244</v>
        <stp/>
        <stp>OPEN_INT</stp>
        <stp>.SPXW251110P6765</stp>
        <tr r="I100" s="1"/>
        <tr r="I100" s="1"/>
      </tp>
      <tp>
        <v>1039</v>
        <stp/>
        <stp>OPEN_INT</stp>
        <stp>.SPXW251114P6725</stp>
        <tr r="K108" s="1"/>
        <tr r="K108" s="1"/>
      </tp>
      <tp>
        <v>280</v>
        <stp/>
        <stp>OPEN_INT</stp>
        <stp>.SPXW251110C6790</stp>
        <tr r="H95" s="1"/>
        <tr r="H95" s="1"/>
      </tp>
      <tp>
        <v>239</v>
        <stp/>
        <stp>OPEN_INT</stp>
        <stp>.SPXW251110C6795</stp>
        <tr r="H94" s="1"/>
        <tr r="H94" s="1"/>
      </tp>
      <tp>
        <v>237</v>
        <stp/>
        <stp>OPEN_INT</stp>
        <stp>.SPXW251110P6790</stp>
        <tr r="I95" s="1"/>
        <tr r="I95" s="1"/>
      </tp>
      <tp>
        <v>453</v>
        <stp/>
        <stp>OPEN_INT</stp>
        <stp>.SPXW251110P6795</stp>
        <tr r="I94" s="1"/>
        <tr r="I94" s="1"/>
      </tp>
      <tp>
        <v>256</v>
        <stp/>
        <stp>OPEN_INT</stp>
        <stp>.SPXW251110C6780</stp>
        <tr r="H97" s="1"/>
        <tr r="H97" s="1"/>
      </tp>
      <tp>
        <v>139</v>
        <stp/>
        <stp>OPEN_INT</stp>
        <stp>.SPXW251110C6785</stp>
        <tr r="H96" s="1"/>
        <tr r="H96" s="1"/>
      </tp>
      <tp>
        <v>1578</v>
        <stp/>
        <stp>OPEN_INT</stp>
        <stp>.SPXW251110P6780</stp>
        <tr r="I97" s="1"/>
        <tr r="I97" s="1"/>
      </tp>
      <tp>
        <v>640</v>
        <stp/>
        <stp>OPEN_INT</stp>
        <stp>.SPXW251110P6785</stp>
        <tr r="I96" s="1"/>
        <tr r="I96" s="1"/>
      </tp>
      <tp>
        <v>242</v>
        <stp/>
        <stp>OPEN_INT</stp>
        <stp>.SPXW251114C6790</stp>
        <tr r="J95" s="1"/>
        <tr r="J95" s="1"/>
      </tp>
      <tp>
        <v>215</v>
        <stp/>
        <stp>OPEN_INT</stp>
        <stp>.SPXW251114C6795</stp>
        <tr r="J94" s="1"/>
        <tr r="J94" s="1"/>
      </tp>
      <tp>
        <v>649</v>
        <stp/>
        <stp>OPEN_INT</stp>
        <stp>.SPXW251114P6790</stp>
        <tr r="K95" s="1"/>
        <tr r="K95" s="1"/>
      </tp>
      <tp>
        <v>437</v>
        <stp/>
        <stp>OPEN_INT</stp>
        <stp>.SPXW251114P6795</stp>
        <tr r="K94" s="1"/>
        <tr r="K94" s="1"/>
      </tp>
      <tp>
        <v>353</v>
        <stp/>
        <stp>OPEN_INT</stp>
        <stp>.SPXW251114C6780</stp>
        <tr r="J97" s="1"/>
        <tr r="J97" s="1"/>
      </tp>
      <tp>
        <v>151</v>
        <stp/>
        <stp>OPEN_INT</stp>
        <stp>.SPXW251114C6785</stp>
        <tr r="J96" s="1"/>
        <tr r="J96" s="1"/>
      </tp>
      <tp>
        <v>449</v>
        <stp/>
        <stp>OPEN_INT</stp>
        <stp>.SPXW251114P6780</stp>
        <tr r="K97" s="1"/>
        <tr r="K97" s="1"/>
      </tp>
      <tp>
        <v>196</v>
        <stp/>
        <stp>OPEN_INT</stp>
        <stp>.SPXW251114P6785</stp>
        <tr r="K96" s="1"/>
        <tr r="K96" s="1"/>
      </tp>
      <tp>
        <v>443</v>
        <stp/>
        <stp>OPEN_INT</stp>
        <stp>.SPXW251110C6810</stp>
        <tr r="H91" s="1"/>
        <tr r="H91" s="1"/>
      </tp>
      <tp>
        <v>516</v>
        <stp/>
        <stp>OPEN_INT</stp>
        <stp>.SPXW251110C6815</stp>
        <tr r="H90" s="1"/>
        <tr r="H90" s="1"/>
      </tp>
      <tp>
        <v>862</v>
        <stp/>
        <stp>OPEN_INT</stp>
        <stp>.SPXW251110P6810</stp>
        <tr r="I91" s="1"/>
        <tr r="I91" s="1"/>
      </tp>
      <tp>
        <v>547</v>
        <stp/>
        <stp>OPEN_INT</stp>
        <stp>.SPXW251110P6815</stp>
        <tr r="I90" s="1"/>
        <tr r="I90" s="1"/>
      </tp>
      <tp>
        <v>3515</v>
        <stp/>
        <stp>OPEN_INT</stp>
        <stp>.SPXW251110C6800</stp>
        <tr r="H93" s="1"/>
        <tr r="H93" s="1"/>
      </tp>
      <tp>
        <v>560</v>
        <stp/>
        <stp>OPEN_INT</stp>
        <stp>.SPXW251114C6840</stp>
        <tr r="J85" s="1"/>
        <tr r="J85" s="1"/>
      </tp>
      <tp>
        <v>267</v>
        <stp/>
        <stp>OPEN_INT</stp>
        <stp>.SPXW251110C6805</stp>
        <tr r="H92" s="1"/>
        <tr r="H92" s="1"/>
      </tp>
      <tp>
        <v>3235</v>
        <stp/>
        <stp>OPEN_INT</stp>
        <stp>.SPXW251110P6800</stp>
        <tr r="I93" s="1"/>
        <tr r="I93" s="1"/>
      </tp>
      <tp>
        <v>331</v>
        <stp/>
        <stp>OPEN_INT</stp>
        <stp>.SPXW251114P6840</stp>
        <tr r="K85" s="1"/>
        <tr r="K85" s="1"/>
      </tp>
      <tp>
        <v>93</v>
        <stp/>
        <stp>OPEN_INT</stp>
        <stp>.SPXW251110P6805</stp>
        <tr r="I92" s="1"/>
        <tr r="I92" s="1"/>
      </tp>
      <tp>
        <v>482</v>
        <stp/>
        <stp>OPEN_INT</stp>
        <stp>.SPXW251110C6830</stp>
        <tr r="H87" s="1"/>
        <tr r="H87" s="1"/>
      </tp>
      <tp>
        <v>262</v>
        <stp/>
        <stp>OPEN_INT</stp>
        <stp>.SPXW251110C6835</stp>
        <tr r="H86" s="1"/>
        <tr r="H86" s="1"/>
      </tp>
      <tp>
        <v>305</v>
        <stp/>
        <stp>OPEN_INT</stp>
        <stp>.SPXW251110P6830</stp>
        <tr r="I87" s="1"/>
        <tr r="I87" s="1"/>
      </tp>
      <tp>
        <v>125</v>
        <stp/>
        <stp>OPEN_INT</stp>
        <stp>.SPXW251110P6835</stp>
        <tr r="I86" s="1"/>
        <tr r="I86" s="1"/>
      </tp>
      <tp>
        <v>647</v>
        <stp/>
        <stp>OPEN_INT</stp>
        <stp>.SPXW251110C6820</stp>
        <tr r="H89" s="1"/>
        <tr r="H89" s="1"/>
      </tp>
      <tp>
        <v>547</v>
        <stp/>
        <stp>OPEN_INT</stp>
        <stp>.SPXW251110C6825</stp>
        <tr r="H88" s="1"/>
        <tr r="H88" s="1"/>
      </tp>
      <tp>
        <v>564</v>
        <stp/>
        <stp>OPEN_INT</stp>
        <stp>.SPXW251110P6820</stp>
        <tr r="I89" s="1"/>
        <tr r="I89" s="1"/>
      </tp>
      <tp>
        <v>697</v>
        <stp/>
        <stp>OPEN_INT</stp>
        <stp>.SPXW251110P6825</stp>
        <tr r="I88" s="1"/>
        <tr r="I88" s="1"/>
      </tp>
      <tp>
        <v>677</v>
        <stp/>
        <stp>OPEN_INT</stp>
        <stp>.SPXW251114C6810</stp>
        <tr r="J91" s="1"/>
        <tr r="J91" s="1"/>
      </tp>
      <tp>
        <v>78</v>
        <stp/>
        <stp>OPEN_INT</stp>
        <stp>.SPXW251114C6815</stp>
        <tr r="J90" s="1"/>
        <tr r="J90" s="1"/>
      </tp>
      <tp>
        <v>148</v>
        <stp/>
        <stp>OPEN_INT</stp>
        <stp>.SPXW251114P6810</stp>
        <tr r="K91" s="1"/>
        <tr r="K91" s="1"/>
      </tp>
      <tp>
        <v>273</v>
        <stp/>
        <stp>OPEN_INT</stp>
        <stp>.SPXW251114P6815</stp>
        <tr r="K90" s="1"/>
        <tr r="K90" s="1"/>
      </tp>
      <tp>
        <v>572</v>
        <stp/>
        <stp>OPEN_INT</stp>
        <stp>.SPXW251110C6840</stp>
        <tr r="H85" s="1"/>
        <tr r="H85" s="1"/>
      </tp>
      <tp>
        <v>3231</v>
        <stp/>
        <stp>OPEN_INT</stp>
        <stp>.SPXW251114C6800</stp>
        <tr r="J93" s="1"/>
        <tr r="J93" s="1"/>
      </tp>
      <tp>
        <v>305</v>
        <stp/>
        <stp>OPEN_INT</stp>
        <stp>.SPXW251114C6805</stp>
        <tr r="J92" s="1"/>
        <tr r="J92" s="1"/>
      </tp>
      <tp>
        <v>241</v>
        <stp/>
        <stp>OPEN_INT</stp>
        <stp>.SPXW251110P6840</stp>
        <tr r="I85" s="1"/>
        <tr r="I85" s="1"/>
      </tp>
      <tp>
        <v>4123</v>
        <stp/>
        <stp>OPEN_INT</stp>
        <stp>.SPXW251114P6800</stp>
        <tr r="K93" s="1"/>
        <tr r="K93" s="1"/>
      </tp>
      <tp>
        <v>265</v>
        <stp/>
        <stp>OPEN_INT</stp>
        <stp>.SPXW251114P6805</stp>
        <tr r="K92" s="1"/>
        <tr r="K92" s="1"/>
      </tp>
      <tp>
        <v>4717</v>
        <stp/>
        <stp>OPEN_INT</stp>
        <stp>.SPXW251114C6830</stp>
        <tr r="J87" s="1"/>
        <tr r="J87" s="1"/>
      </tp>
      <tp>
        <v>341</v>
        <stp/>
        <stp>OPEN_INT</stp>
        <stp>.SPXW251114C6835</stp>
        <tr r="J86" s="1"/>
        <tr r="J86" s="1"/>
      </tp>
      <tp>
        <v>252</v>
        <stp/>
        <stp>OPEN_INT</stp>
        <stp>.SPXW251114P6830</stp>
        <tr r="K87" s="1"/>
        <tr r="K87" s="1"/>
      </tp>
      <tp>
        <v>117</v>
        <stp/>
        <stp>OPEN_INT</stp>
        <stp>.SPXW251114P6835</stp>
        <tr r="K86" s="1"/>
        <tr r="K86" s="1"/>
      </tp>
      <tp>
        <v>697</v>
        <stp/>
        <stp>OPEN_INT</stp>
        <stp>.SPXW251114C6820</stp>
        <tr r="J89" s="1"/>
        <tr r="J89" s="1"/>
      </tp>
      <tp>
        <v>1284</v>
        <stp/>
        <stp>OPEN_INT</stp>
        <stp>.SPXW251114C6825</stp>
        <tr r="J88" s="1"/>
        <tr r="J88" s="1"/>
      </tp>
      <tp>
        <v>1334</v>
        <stp/>
        <stp>OPEN_INT</stp>
        <stp>.SPXW251114P6820</stp>
        <tr r="K89" s="1"/>
        <tr r="K89" s="1"/>
      </tp>
      <tp>
        <v>310</v>
        <stp/>
        <stp>OPEN_INT</stp>
        <stp>.SPXW251114P6825</stp>
        <tr r="K88" s="1"/>
        <tr r="K88" s="1"/>
      </tp>
      <tp>
        <v>127</v>
        <stp/>
        <stp>VOLUME</stp>
        <stp>.SPX251121C6775</stp>
        <tr r="T98" s="1"/>
        <tr r="T98" s="1"/>
      </tp>
      <tp t="s">
        <v>N/A</v>
        <stp/>
        <stp>VOLUME</stp>
        <stp>.SPX251231C6675</stp>
        <tr r="O119" s="2"/>
      </tp>
      <tp t="s">
        <v>N/A</v>
        <stp/>
        <stp>VOLUME</stp>
        <stp>.SPX260731C6645</stp>
        <tr r="U125" s="2"/>
      </tp>
      <tp t="s">
        <v>N/A</v>
        <stp/>
        <stp>VOLUME</stp>
        <stp>.SPX260130C6655</stp>
        <tr r="M123" s="2"/>
      </tp>
      <tp t="s">
        <v>N/A</v>
        <stp/>
        <stp>VOLUME</stp>
        <stp>.SPX260731C6640</stp>
        <tr r="U126" s="2"/>
      </tp>
      <tp t="s">
        <v>N/A</v>
        <stp/>
        <stp>VOLUME</stp>
        <stp>.SPX260130C6650</stp>
        <tr r="M124" s="2"/>
      </tp>
      <tp>
        <v>33</v>
        <stp/>
        <stp>VOLUME</stp>
        <stp>.SPX251121C6770</stp>
        <tr r="T99" s="1"/>
        <tr r="T99" s="1"/>
      </tp>
      <tp t="s">
        <v>N/A</v>
        <stp/>
        <stp>VOLUME</stp>
        <stp>.SPX251231C6670</stp>
        <tr r="O120" s="2"/>
      </tp>
      <tp t="s">
        <v>N/A</v>
        <stp/>
        <stp>VOLUME</stp>
        <stp>.SPX260731P6645</stp>
        <tr r="U125" s="2"/>
      </tp>
      <tp t="s">
        <v>N/A</v>
        <stp/>
        <stp>VOLUME</stp>
        <stp>.SPX260130P6655</stp>
        <tr r="M123" s="2"/>
      </tp>
      <tp>
        <v>43</v>
        <stp/>
        <stp>VOLUME</stp>
        <stp>.SPX251121P6775</stp>
        <tr r="U98" s="1"/>
        <tr r="U98" s="1"/>
      </tp>
      <tp t="s">
        <v>N/A</v>
        <stp/>
        <stp>VOLUME</stp>
        <stp>.SPX251231P6675</stp>
        <tr r="O119" s="2"/>
      </tp>
      <tp>
        <v>105</v>
        <stp/>
        <stp>VOLUME</stp>
        <stp>.SPX251121P6770</stp>
        <tr r="U99" s="1"/>
        <tr r="U99" s="1"/>
      </tp>
      <tp t="s">
        <v>N/A</v>
        <stp/>
        <stp>VOLUME</stp>
        <stp>.SPX251231P6670</stp>
        <tr r="O120" s="2"/>
      </tp>
      <tp t="s">
        <v>N/A</v>
        <stp/>
        <stp>VOLUME</stp>
        <stp>.SPX260731P6640</stp>
        <tr r="U126" s="2"/>
      </tp>
      <tp t="s">
        <v>N/A</v>
        <stp/>
        <stp>VOLUME</stp>
        <stp>.SPX260130P6650</stp>
        <tr r="M124" s="2"/>
      </tp>
      <tp>
        <v>57</v>
        <stp/>
        <stp>VOLUME</stp>
        <stp>.SPX251121C6765</stp>
        <tr r="T100" s="1"/>
        <tr r="T100" s="1"/>
      </tp>
      <tp t="s">
        <v>N/A</v>
        <stp/>
        <stp>VOLUME</stp>
        <stp>.SPX251231C6665</stp>
        <tr r="O121" s="2"/>
      </tp>
      <tp t="s">
        <v>N/A</v>
        <stp/>
        <stp>VOLUME</stp>
        <stp>.SPX260731C6655</stp>
        <tr r="U123" s="2"/>
      </tp>
      <tp t="s">
        <v>N/A</v>
        <stp/>
        <stp>VOLUME</stp>
        <stp>.SPX260130C6645</stp>
        <tr r="M125" s="2"/>
      </tp>
      <tp t="s">
        <v>N/A</v>
        <stp/>
        <stp>VOLUME</stp>
        <stp>.SPX260731C6650</stp>
        <tr r="U124" s="2"/>
      </tp>
      <tp t="s">
        <v>N/A</v>
        <stp/>
        <stp>VOLUME</stp>
        <stp>.SPX260130C6640</stp>
        <tr r="M126" s="2"/>
      </tp>
      <tp>
        <v>73</v>
        <stp/>
        <stp>VOLUME</stp>
        <stp>.SPX251121C6760</stp>
        <tr r="T101" s="1"/>
        <tr r="T101" s="1"/>
      </tp>
      <tp t="s">
        <v>N/A</v>
        <stp/>
        <stp>VOLUME</stp>
        <stp>.SPX251231C6660</stp>
        <tr r="O122" s="2"/>
      </tp>
      <tp t="s">
        <v>N/A</v>
        <stp/>
        <stp>VOLUME</stp>
        <stp>.SPX260731P6655</stp>
        <tr r="U123" s="2"/>
      </tp>
      <tp t="s">
        <v>N/A</v>
        <stp/>
        <stp>VOLUME</stp>
        <stp>.SPX260130P6645</stp>
        <tr r="M125" s="2"/>
      </tp>
      <tp>
        <v>8</v>
        <stp/>
        <stp>VOLUME</stp>
        <stp>.SPX251121P6765</stp>
        <tr r="U100" s="1"/>
        <tr r="U100" s="1"/>
      </tp>
      <tp t="s">
        <v>N/A</v>
        <stp/>
        <stp>VOLUME</stp>
        <stp>.SPX251231P6665</stp>
        <tr r="O121" s="2"/>
      </tp>
      <tp>
        <v>21</v>
        <stp/>
        <stp>VOLUME</stp>
        <stp>.SPX251121P6760</stp>
        <tr r="U101" s="1"/>
        <tr r="U101" s="1"/>
      </tp>
      <tp t="s">
        <v>N/A</v>
        <stp/>
        <stp>VOLUME</stp>
        <stp>.SPX251231P6660</stp>
        <tr r="O122" s="2"/>
      </tp>
      <tp t="s">
        <v>N/A</v>
        <stp/>
        <stp>VOLUME</stp>
        <stp>.SPX260731P6650</stp>
        <tr r="U124" s="2"/>
      </tp>
      <tp t="s">
        <v>N/A</v>
        <stp/>
        <stp>VOLUME</stp>
        <stp>.SPX260130P6640</stp>
        <tr r="M126" s="2"/>
      </tp>
      <tp>
        <v>9</v>
        <stp/>
        <stp>VOLUME</stp>
        <stp>.SPX251121C6755</stp>
        <tr r="T102" s="1"/>
        <tr r="T102" s="1"/>
      </tp>
      <tp t="s">
        <v>N/A</v>
        <stp/>
        <stp>VOLUME</stp>
        <stp>.SPX251231C6655</stp>
        <tr r="O123" s="2"/>
      </tp>
      <tp t="s">
        <v>N/A</v>
        <stp/>
        <stp>VOLUME</stp>
        <stp>.SPX260731C6665</stp>
        <tr r="U121" s="2"/>
      </tp>
      <tp t="s">
        <v>N/A</v>
        <stp/>
        <stp>VOLUME</stp>
        <stp>.SPX260130C6675</stp>
        <tr r="M119" s="2"/>
      </tp>
      <tp t="s">
        <v>N/A</v>
        <stp/>
        <stp>VOLUME</stp>
        <stp>.SPX260731C6660</stp>
        <tr r="U122" s="2"/>
      </tp>
      <tp t="s">
        <v>N/A</v>
        <stp/>
        <stp>VOLUME</stp>
        <stp>.SPX260130C6670</stp>
        <tr r="M120" s="2"/>
      </tp>
      <tp>
        <v>397</v>
        <stp/>
        <stp>VOLUME</stp>
        <stp>.SPX251121C6750</stp>
        <tr r="T103" s="1"/>
        <tr r="T103" s="1"/>
      </tp>
      <tp t="s">
        <v>N/A</v>
        <stp/>
        <stp>VOLUME</stp>
        <stp>.SPX251231C6650</stp>
        <tr r="O124" s="2"/>
      </tp>
      <tp t="s">
        <v>N/A</v>
        <stp/>
        <stp>VOLUME</stp>
        <stp>.SPX260731P6665</stp>
        <tr r="U121" s="2"/>
      </tp>
      <tp t="s">
        <v>N/A</v>
        <stp/>
        <stp>VOLUME</stp>
        <stp>.SPX260130P6675</stp>
        <tr r="M119" s="2"/>
      </tp>
      <tp>
        <v>15</v>
        <stp/>
        <stp>VOLUME</stp>
        <stp>.SPX251121P6755</stp>
        <tr r="U102" s="1"/>
        <tr r="U102" s="1"/>
      </tp>
      <tp t="s">
        <v>N/A</v>
        <stp/>
        <stp>VOLUME</stp>
        <stp>.SPX251231P6655</stp>
        <tr r="O123" s="2"/>
      </tp>
      <tp>
        <v>579</v>
        <stp/>
        <stp>VOLUME</stp>
        <stp>.SPX251121P6750</stp>
        <tr r="U103" s="1"/>
        <tr r="U103" s="1"/>
      </tp>
      <tp t="s">
        <v>N/A</v>
        <stp/>
        <stp>VOLUME</stp>
        <stp>.SPX251231P6650</stp>
        <tr r="O124" s="2"/>
      </tp>
      <tp t="s">
        <v>N/A</v>
        <stp/>
        <stp>VOLUME</stp>
        <stp>.SPX260731P6660</stp>
        <tr r="U122" s="2"/>
      </tp>
      <tp t="s">
        <v>N/A</v>
        <stp/>
        <stp>VOLUME</stp>
        <stp>.SPX260130P6670</stp>
        <tr r="M120" s="2"/>
      </tp>
      <tp>
        <v>38</v>
        <stp/>
        <stp>VOLUME</stp>
        <stp>.SPX251121C6745</stp>
        <tr r="T104" s="1"/>
        <tr r="T104" s="1"/>
      </tp>
      <tp t="s">
        <v>N/A</v>
        <stp/>
        <stp>VOLUME</stp>
        <stp>.SPX251231C6645</stp>
        <tr r="O125" s="2"/>
      </tp>
      <tp t="s">
        <v>N/A</v>
        <stp/>
        <stp>VOLUME</stp>
        <stp>.SPX260731C6675</stp>
        <tr r="U119" s="2"/>
      </tp>
      <tp t="s">
        <v>N/A</v>
        <stp/>
        <stp>VOLUME</stp>
        <stp>.SPX260130C6665</stp>
        <tr r="M121" s="2"/>
      </tp>
      <tp t="s">
        <v>N/A</v>
        <stp/>
        <stp>VOLUME</stp>
        <stp>.SPX260731C6670</stp>
        <tr r="U120" s="2"/>
      </tp>
      <tp t="s">
        <v>N/A</v>
        <stp/>
        <stp>VOLUME</stp>
        <stp>.SPX260130C6660</stp>
        <tr r="M122" s="2"/>
      </tp>
      <tp>
        <v>271</v>
        <stp/>
        <stp>VOLUME</stp>
        <stp>.SPX251121C6740</stp>
        <tr r="T105" s="1"/>
        <tr r="T105" s="1"/>
      </tp>
      <tp t="s">
        <v>N/A</v>
        <stp/>
        <stp>VOLUME</stp>
        <stp>.SPX251231C6640</stp>
        <tr r="O126" s="2"/>
      </tp>
      <tp t="s">
        <v>N/A</v>
        <stp/>
        <stp>VOLUME</stp>
        <stp>.SPX260731P6675</stp>
        <tr r="U119" s="2"/>
      </tp>
      <tp t="s">
        <v>N/A</v>
        <stp/>
        <stp>VOLUME</stp>
        <stp>.SPX260130P6665</stp>
        <tr r="M121" s="2"/>
      </tp>
      <tp>
        <v>9</v>
        <stp/>
        <stp>VOLUME</stp>
        <stp>.SPX251121P6745</stp>
        <tr r="U104" s="1"/>
        <tr r="U104" s="1"/>
      </tp>
      <tp t="s">
        <v>N/A</v>
        <stp/>
        <stp>VOLUME</stp>
        <stp>.SPX251231P6645</stp>
        <tr r="O125" s="2"/>
      </tp>
      <tp>
        <v>18</v>
        <stp/>
        <stp>VOLUME</stp>
        <stp>.SPX251121P6740</stp>
        <tr r="U105" s="1"/>
        <tr r="U105" s="1"/>
      </tp>
      <tp t="s">
        <v>N/A</v>
        <stp/>
        <stp>VOLUME</stp>
        <stp>.SPX251231P6640</stp>
        <tr r="O126" s="2"/>
      </tp>
      <tp t="s">
        <v>N/A</v>
        <stp/>
        <stp>VOLUME</stp>
        <stp>.SPX260731P6670</stp>
        <tr r="U120" s="2"/>
      </tp>
      <tp t="s">
        <v>N/A</v>
        <stp/>
        <stp>VOLUME</stp>
        <stp>.SPX260130P6660</stp>
        <tr r="M122" s="2"/>
      </tp>
      <tp>
        <v>132</v>
        <stp/>
        <stp>VOLUME</stp>
        <stp>.SPX251121C6735</stp>
        <tr r="T106" s="1"/>
        <tr r="T106" s="1"/>
      </tp>
      <tp t="s">
        <v>N/A</v>
        <stp/>
        <stp>VOLUME</stp>
        <stp>.SPX251231C6635</stp>
        <tr r="O127" s="2"/>
      </tp>
      <tp t="s">
        <v>N/A</v>
        <stp/>
        <stp>VOLUME</stp>
        <stp>.SPX260529C6785</stp>
        <tr r="S97" s="2"/>
      </tp>
      <tp t="s">
        <v>N/A</v>
        <stp/>
        <stp>VOLUME</stp>
        <stp>.SPX260130C6615</stp>
        <tr r="M131" s="2"/>
      </tp>
      <tp t="s">
        <v>N/A</v>
        <stp/>
        <stp>VOLUME</stp>
        <stp>.SPX260529C6780</stp>
        <tr r="S98" s="2"/>
      </tp>
      <tp>
        <v>665</v>
        <stp/>
        <stp>VOLUME</stp>
        <stp>.SPX251121C6730</stp>
        <tr r="T107" s="1"/>
        <tr r="T107" s="1"/>
      </tp>
      <tp t="s">
        <v>N/A</v>
        <stp/>
        <stp>VOLUME</stp>
        <stp>.SPX251231C6630</stp>
        <tr r="O128" s="2"/>
      </tp>
      <tp t="s">
        <v>N/A</v>
        <stp/>
        <stp>VOLUME</stp>
        <stp>.SPX260529P6785</stp>
        <tr r="S97" s="2"/>
      </tp>
      <tp t="s">
        <v>N/A</v>
        <stp/>
        <stp>VOLUME</stp>
        <stp>.SPX260130P6615</stp>
        <tr r="M131" s="2"/>
      </tp>
      <tp>
        <v>10</v>
        <stp/>
        <stp>VOLUME</stp>
        <stp>.SPX251121P6735</stp>
        <tr r="U106" s="1"/>
        <tr r="U106" s="1"/>
      </tp>
      <tp t="s">
        <v>N/A</v>
        <stp/>
        <stp>VOLUME</stp>
        <stp>.SPX251231P6635</stp>
        <tr r="O127" s="2"/>
      </tp>
      <tp>
        <v>91</v>
        <stp/>
        <stp>VOLUME</stp>
        <stp>.SPX251121P6730</stp>
        <tr r="U107" s="1"/>
        <tr r="U107" s="1"/>
      </tp>
      <tp t="s">
        <v>N/A</v>
        <stp/>
        <stp>VOLUME</stp>
        <stp>.SPX251231P6630</stp>
        <tr r="O128" s="2"/>
      </tp>
      <tp t="s">
        <v>N/A</v>
        <stp/>
        <stp>VOLUME</stp>
        <stp>.SPX260529P6780</stp>
        <tr r="S98" s="2"/>
      </tp>
      <tp>
        <v>2377</v>
        <stp/>
        <stp>VOLUME</stp>
        <stp>.SPX251121C6725</stp>
        <tr r="T108" s="1"/>
        <tr r="T108" s="1"/>
      </tp>
      <tp t="s">
        <v>N/A</v>
        <stp/>
        <stp>VOLUME</stp>
        <stp>.SPX251231C6625</stp>
        <tr r="O129" s="2"/>
      </tp>
      <tp t="s">
        <v>N/A</v>
        <stp/>
        <stp>VOLUME</stp>
        <stp>.SPX260529C6795</stp>
        <tr r="S95" s="2"/>
      </tp>
      <tp t="s">
        <v>N/A</v>
        <stp/>
        <stp>VOLUME</stp>
        <stp>.SPX260731C6615</stp>
        <tr r="U131" s="2"/>
      </tp>
      <tp t="s">
        <v>N/A</v>
        <stp/>
        <stp>VOLUME</stp>
        <stp>.SPX260529C6790</stp>
        <tr r="S96" s="2"/>
      </tp>
      <tp>
        <v>25</v>
        <stp/>
        <stp>VOLUME</stp>
        <stp>.SPX251121C6720</stp>
        <tr r="T109" s="1"/>
        <tr r="T109" s="1"/>
      </tp>
      <tp t="s">
        <v>N/A</v>
        <stp/>
        <stp>VOLUME</stp>
        <stp>.SPX251231C6620</stp>
        <tr r="O130" s="2"/>
      </tp>
      <tp t="s">
        <v>N/A</v>
        <stp/>
        <stp>VOLUME</stp>
        <stp>.SPX260529P6795</stp>
        <tr r="S95" s="2"/>
      </tp>
      <tp t="s">
        <v>N/A</v>
        <stp/>
        <stp>VOLUME</stp>
        <stp>.SPX260731P6615</stp>
        <tr r="U131" s="2"/>
      </tp>
      <tp>
        <v>43</v>
        <stp/>
        <stp>VOLUME</stp>
        <stp>.SPX251121P6725</stp>
        <tr r="U108" s="1"/>
        <tr r="U108" s="1"/>
      </tp>
      <tp t="s">
        <v>N/A</v>
        <stp/>
        <stp>VOLUME</stp>
        <stp>.SPX251231P6625</stp>
        <tr r="O129" s="2"/>
      </tp>
      <tp>
        <v>89</v>
        <stp/>
        <stp>VOLUME</stp>
        <stp>.SPX251121P6720</stp>
        <tr r="U109" s="1"/>
        <tr r="U109" s="1"/>
      </tp>
      <tp t="s">
        <v>N/A</v>
        <stp/>
        <stp>VOLUME</stp>
        <stp>.SPX251231P6620</stp>
        <tr r="O130" s="2"/>
      </tp>
      <tp t="s">
        <v>N/A</v>
        <stp/>
        <stp>VOLUME</stp>
        <stp>.SPX260529P6790</stp>
        <tr r="S96" s="2"/>
      </tp>
      <tp>
        <v>185</v>
        <stp/>
        <stp>VOLUME</stp>
        <stp>.SPX251121C6715</stp>
        <tr r="T110" s="1"/>
        <tr r="T110" s="1"/>
      </tp>
      <tp t="s">
        <v>N/A</v>
        <stp/>
        <stp>VOLUME</stp>
        <stp>.SPX251231C6615</stp>
        <tr r="O131" s="2"/>
      </tp>
      <tp t="s">
        <v>N/A</v>
        <stp/>
        <stp>VOLUME</stp>
        <stp>.SPX260731C6625</stp>
        <tr r="U129" s="2"/>
      </tp>
      <tp t="s">
        <v>N/A</v>
        <stp/>
        <stp>VOLUME</stp>
        <stp>.SPX260130C6635</stp>
        <tr r="M127" s="2"/>
      </tp>
      <tp t="s">
        <v>N/A</v>
        <stp/>
        <stp>VOLUME</stp>
        <stp>.SPX260731C6620</stp>
        <tr r="U130" s="2"/>
      </tp>
      <tp t="s">
        <v>N/A</v>
        <stp/>
        <stp>VOLUME</stp>
        <stp>.SPX260130C6630</stp>
        <tr r="M128" s="2"/>
      </tp>
      <tp>
        <v>21</v>
        <stp/>
        <stp>VOLUME</stp>
        <stp>.SPX251121C6710</stp>
        <tr r="T111" s="1"/>
        <tr r="T111" s="1"/>
      </tp>
      <tp t="s">
        <v>N/A</v>
        <stp/>
        <stp>VOLUME</stp>
        <stp>.SPX260731P6625</stp>
        <tr r="U129" s="2"/>
      </tp>
      <tp t="s">
        <v>N/A</v>
        <stp/>
        <stp>VOLUME</stp>
        <stp>.SPX260130P6635</stp>
        <tr r="M127" s="2"/>
      </tp>
      <tp>
        <v>117</v>
        <stp/>
        <stp>VOLUME</stp>
        <stp>.SPX251121P6715</stp>
        <tr r="U110" s="1"/>
        <tr r="U110" s="1"/>
      </tp>
      <tp t="s">
        <v>N/A</v>
        <stp/>
        <stp>VOLUME</stp>
        <stp>.SPX251231P6615</stp>
        <tr r="O131" s="2"/>
      </tp>
      <tp>
        <v>97</v>
        <stp/>
        <stp>VOLUME</stp>
        <stp>.SPX251121P6710</stp>
        <tr r="U111" s="1"/>
        <tr r="U111" s="1"/>
      </tp>
      <tp t="s">
        <v>N/A</v>
        <stp/>
        <stp>VOLUME</stp>
        <stp>.SPX260731P6620</stp>
        <tr r="U130" s="2"/>
      </tp>
      <tp t="s">
        <v>N/A</v>
        <stp/>
        <stp>VOLUME</stp>
        <stp>.SPX260130P6630</stp>
        <tr r="M128" s="2"/>
      </tp>
      <tp>
        <v>23</v>
        <stp/>
        <stp>VOLUME</stp>
        <stp>.SPX251121C6705</stp>
        <tr r="T112" s="1"/>
        <tr r="T112" s="1"/>
      </tp>
      <tp t="s">
        <v>N/A</v>
        <stp/>
        <stp>VOLUME</stp>
        <stp>.SPX260731C6635</stp>
        <tr r="U127" s="2"/>
      </tp>
      <tp t="s">
        <v>N/A</v>
        <stp/>
        <stp>VOLUME</stp>
        <stp>.SPX260130C6625</stp>
        <tr r="M129" s="2"/>
      </tp>
      <tp t="s">
        <v>N/A</v>
        <stp/>
        <stp>VOLUME</stp>
        <stp>.SPX260731C6630</stp>
        <tr r="U128" s="2"/>
      </tp>
      <tp t="s">
        <v>N/A</v>
        <stp/>
        <stp>VOLUME</stp>
        <stp>.SPX260130C6620</stp>
        <tr r="M130" s="2"/>
      </tp>
      <tp>
        <v>4107</v>
        <stp/>
        <stp>VOLUME</stp>
        <stp>.SPX251121C6700</stp>
        <tr r="T113" s="1"/>
        <tr r="T113" s="1"/>
      </tp>
      <tp t="s">
        <v>N/A</v>
        <stp/>
        <stp>VOLUME</stp>
        <stp>.SPX260731P6635</stp>
        <tr r="U127" s="2"/>
      </tp>
      <tp t="s">
        <v>N/A</v>
        <stp/>
        <stp>VOLUME</stp>
        <stp>.SPX260130P6625</stp>
        <tr r="M129" s="2"/>
      </tp>
      <tp>
        <v>55</v>
        <stp/>
        <stp>VOLUME</stp>
        <stp>.SPX251121P6705</stp>
        <tr r="U112" s="1"/>
        <tr r="U112" s="1"/>
      </tp>
      <tp>
        <v>3921</v>
        <stp/>
        <stp>VOLUME</stp>
        <stp>.SPX251121P6700</stp>
        <tr r="U113" s="1"/>
        <tr r="U113" s="1"/>
      </tp>
      <tp t="s">
        <v>N/A</v>
        <stp/>
        <stp>VOLUME</stp>
        <stp>.SPX260731P6630</stp>
        <tr r="U128" s="2"/>
      </tp>
      <tp t="s">
        <v>N/A</v>
        <stp/>
        <stp>VOLUME</stp>
        <stp>.SPX260130P6620</stp>
        <tr r="M130" s="2"/>
      </tp>
      <tp t="s">
        <v>N/A</v>
        <stp/>
        <stp>VOLUME</stp>
        <stp>.SPX260529C6745</stp>
        <tr r="S105" s="2"/>
      </tp>
      <tp t="s">
        <v>N/A</v>
        <stp/>
        <stp>VOLUME</stp>
        <stp>.SPX260529C6740</stp>
        <tr r="S106" s="2"/>
      </tp>
      <tp t="s">
        <v>N/A</v>
        <stp/>
        <stp>VOLUME</stp>
        <stp>.SPX260529P6745</stp>
        <tr r="S105" s="2"/>
      </tp>
      <tp t="s">
        <v>N/A</v>
        <stp/>
        <stp>VOLUME</stp>
        <stp>.SPX260529P6740</stp>
        <tr r="S106" s="2"/>
      </tp>
      <tp t="s">
        <v>N/A</v>
        <stp/>
        <stp>VOLUME</stp>
        <stp>.SPX260529C6755</stp>
        <tr r="S103" s="2"/>
      </tp>
      <tp t="s">
        <v>N/A</v>
        <stp/>
        <stp>VOLUME</stp>
        <stp>.SPX260529C6750</stp>
        <tr r="S104" s="2"/>
      </tp>
      <tp t="s">
        <v>N/A</v>
        <stp/>
        <stp>VOLUME</stp>
        <stp>.SPX260529P6755</stp>
        <tr r="S103" s="2"/>
      </tp>
      <tp t="s">
        <v>N/A</v>
        <stp/>
        <stp>VOLUME</stp>
        <stp>.SPX260529P6750</stp>
        <tr r="S104" s="2"/>
      </tp>
      <tp t="s">
        <v>N/A</v>
        <stp/>
        <stp>VOLUME</stp>
        <stp>.SPX260529C6765</stp>
        <tr r="S101" s="2"/>
      </tp>
      <tp t="s">
        <v>N/A</v>
        <stp/>
        <stp>VOLUME</stp>
        <stp>.SPX260529C6760</stp>
        <tr r="S102" s="2"/>
      </tp>
      <tp t="s">
        <v>N/A</v>
        <stp/>
        <stp>VOLUME</stp>
        <stp>.SPX260529P6765</stp>
        <tr r="S101" s="2"/>
      </tp>
      <tp t="s">
        <v>N/A</v>
        <stp/>
        <stp>VOLUME</stp>
        <stp>.SPX260529P6760</stp>
        <tr r="S102" s="2"/>
      </tp>
      <tp t="s">
        <v>N/A</v>
        <stp/>
        <stp>VOLUME</stp>
        <stp>.SPX260529C6775</stp>
        <tr r="S99" s="2"/>
      </tp>
      <tp t="s">
        <v>N/A</v>
        <stp/>
        <stp>VOLUME</stp>
        <stp>.SPX260529C6770</stp>
        <tr r="S100" s="2"/>
      </tp>
      <tp t="s">
        <v>N/A</v>
        <stp/>
        <stp>VOLUME</stp>
        <stp>.SPX260529P6775</stp>
        <tr r="S99" s="2"/>
      </tp>
      <tp t="s">
        <v>N/A</v>
        <stp/>
        <stp>VOLUME</stp>
        <stp>.SPX260529P6770</stp>
        <tr r="S100" s="2"/>
      </tp>
      <tp t="s">
        <v>N/A</v>
        <stp/>
        <stp>VOLUME</stp>
        <stp>.SPX260529C6705</stp>
        <tr r="S113" s="2"/>
      </tp>
      <tp t="s">
        <v>N/A</v>
        <stp/>
        <stp>VOLUME</stp>
        <stp>.SPX260731C6685</stp>
        <tr r="U117" s="2"/>
      </tp>
      <tp t="s">
        <v>N/A</v>
        <stp/>
        <stp>VOLUME</stp>
        <stp>.SPX260130C6695</stp>
        <tr r="M115" s="2"/>
      </tp>
      <tp t="s">
        <v>N/A</v>
        <stp/>
        <stp>VOLUME</stp>
        <stp>.SPX260529C6700</stp>
        <tr r="S114" s="2"/>
      </tp>
      <tp t="s">
        <v>N/A</v>
        <stp/>
        <stp>VOLUME</stp>
        <stp>.SPX260731C6680</stp>
        <tr r="U118" s="2"/>
      </tp>
      <tp t="s">
        <v>N/A</v>
        <stp/>
        <stp>VOLUME</stp>
        <stp>.SPX260130C6690</stp>
        <tr r="M116" s="2"/>
      </tp>
      <tp t="s">
        <v>N/A</v>
        <stp/>
        <stp>VOLUME</stp>
        <stp>.SPX260529P6705</stp>
        <tr r="S113" s="2"/>
      </tp>
      <tp t="s">
        <v>N/A</v>
        <stp/>
        <stp>VOLUME</stp>
        <stp>.SPX260731P6685</stp>
        <tr r="U117" s="2"/>
      </tp>
      <tp t="s">
        <v>N/A</v>
        <stp/>
        <stp>VOLUME</stp>
        <stp>.SPX260130P6695</stp>
        <tr r="M115" s="2"/>
      </tp>
      <tp t="s">
        <v>N/A</v>
        <stp/>
        <stp>VOLUME</stp>
        <stp>.SPX260529P6700</stp>
        <tr r="S114" s="2"/>
      </tp>
      <tp t="s">
        <v>N/A</v>
        <stp/>
        <stp>VOLUME</stp>
        <stp>.SPX260731P6680</stp>
        <tr r="U118" s="2"/>
      </tp>
      <tp t="s">
        <v>N/A</v>
        <stp/>
        <stp>VOLUME</stp>
        <stp>.SPX260130P6690</stp>
        <tr r="M116" s="2"/>
      </tp>
      <tp t="s">
        <v>N/A</v>
        <stp/>
        <stp>VOLUME</stp>
        <stp>.SPX260529C6715</stp>
        <tr r="S111" s="2"/>
      </tp>
      <tp t="s">
        <v>N/A</v>
        <stp/>
        <stp>VOLUME</stp>
        <stp>.SPX260731C6695</stp>
        <tr r="U115" s="2"/>
      </tp>
      <tp t="s">
        <v>N/A</v>
        <stp/>
        <stp>VOLUME</stp>
        <stp>.SPX260130C6685</stp>
        <tr r="M117" s="2"/>
      </tp>
      <tp t="s">
        <v>N/A</v>
        <stp/>
        <stp>VOLUME</stp>
        <stp>.SPX260529C6710</stp>
        <tr r="S112" s="2"/>
      </tp>
      <tp t="s">
        <v>N/A</v>
        <stp/>
        <stp>VOLUME</stp>
        <stp>.SPX260731C6690</stp>
        <tr r="U116" s="2"/>
      </tp>
      <tp t="s">
        <v>N/A</v>
        <stp/>
        <stp>VOLUME</stp>
        <stp>.SPX260130C6680</stp>
        <tr r="M118" s="2"/>
      </tp>
      <tp t="s">
        <v>N/A</v>
        <stp/>
        <stp>VOLUME</stp>
        <stp>.SPX260529P6715</stp>
        <tr r="S111" s="2"/>
      </tp>
      <tp t="s">
        <v>N/A</v>
        <stp/>
        <stp>VOLUME</stp>
        <stp>.SPX260731P6695</stp>
        <tr r="U115" s="2"/>
      </tp>
      <tp t="s">
        <v>N/A</v>
        <stp/>
        <stp>VOLUME</stp>
        <stp>.SPX260130P6685</stp>
        <tr r="M117" s="2"/>
      </tp>
      <tp t="s">
        <v>N/A</v>
        <stp/>
        <stp>VOLUME</stp>
        <stp>.SPX260529P6710</stp>
        <tr r="S112" s="2"/>
      </tp>
      <tp t="s">
        <v>N/A</v>
        <stp/>
        <stp>VOLUME</stp>
        <stp>.SPX260731P6690</stp>
        <tr r="U116" s="2"/>
      </tp>
      <tp t="s">
        <v>N/A</v>
        <stp/>
        <stp>VOLUME</stp>
        <stp>.SPX260130P6680</stp>
        <tr r="M118" s="2"/>
      </tp>
      <tp>
        <v>26</v>
        <stp/>
        <stp>VOLUME</stp>
        <stp>.SPX251121C6795</stp>
        <tr r="T94" s="1"/>
        <tr r="T94" s="1"/>
      </tp>
      <tp t="s">
        <v>N/A</v>
        <stp/>
        <stp>VOLUME</stp>
        <stp>.SPX251231C6695</stp>
        <tr r="O115" s="2"/>
      </tp>
      <tp t="s">
        <v>N/A</v>
        <stp/>
        <stp>VOLUME</stp>
        <stp>.SPX260529C6725</stp>
        <tr r="S109" s="2"/>
      </tp>
      <tp t="s">
        <v>N/A</v>
        <stp/>
        <stp>VOLUME</stp>
        <stp>.SPX260529C6720</stp>
        <tr r="S110" s="2"/>
      </tp>
      <tp>
        <v>36</v>
        <stp/>
        <stp>VOLUME</stp>
        <stp>.SPX251121C6790</stp>
        <tr r="T95" s="1"/>
        <tr r="T95" s="1"/>
      </tp>
      <tp t="s">
        <v>N/A</v>
        <stp/>
        <stp>VOLUME</stp>
        <stp>.SPX251231C6690</stp>
        <tr r="O116" s="2"/>
      </tp>
      <tp t="s">
        <v>N/A</v>
        <stp/>
        <stp>VOLUME</stp>
        <stp>.SPX260529P6725</stp>
        <tr r="S109" s="2"/>
      </tp>
      <tp>
        <v>17</v>
        <stp/>
        <stp>VOLUME</stp>
        <stp>.SPX251121P6795</stp>
        <tr r="U94" s="1"/>
        <tr r="U94" s="1"/>
      </tp>
      <tp t="s">
        <v>N/A</v>
        <stp/>
        <stp>VOLUME</stp>
        <stp>.SPX251231P6695</stp>
        <tr r="O115" s="2"/>
      </tp>
      <tp>
        <v>8</v>
        <stp/>
        <stp>VOLUME</stp>
        <stp>.SPX251121P6790</stp>
        <tr r="U95" s="1"/>
        <tr r="U95" s="1"/>
      </tp>
      <tp t="s">
        <v>N/A</v>
        <stp/>
        <stp>VOLUME</stp>
        <stp>.SPX251231P6690</stp>
        <tr r="O116" s="2"/>
      </tp>
      <tp t="s">
        <v>N/A</v>
        <stp/>
        <stp>VOLUME</stp>
        <stp>.SPX260529P6720</stp>
        <tr r="S110" s="2"/>
      </tp>
      <tp>
        <v>131</v>
        <stp/>
        <stp>VOLUME</stp>
        <stp>.SPX251121C6785</stp>
        <tr r="T96" s="1"/>
        <tr r="T96" s="1"/>
      </tp>
      <tp t="s">
        <v>N/A</v>
        <stp/>
        <stp>VOLUME</stp>
        <stp>.SPX251231C6685</stp>
        <tr r="O117" s="2"/>
      </tp>
      <tp t="s">
        <v>N/A</v>
        <stp/>
        <stp>VOLUME</stp>
        <stp>.SPX260529C6735</stp>
        <tr r="S107" s="2"/>
      </tp>
      <tp t="s">
        <v>N/A</v>
        <stp/>
        <stp>VOLUME</stp>
        <stp>.SPX260529C6730</stp>
        <tr r="S108" s="2"/>
      </tp>
      <tp>
        <v>82</v>
        <stp/>
        <stp>VOLUME</stp>
        <stp>.SPX251121C6780</stp>
        <tr r="T97" s="1"/>
        <tr r="T97" s="1"/>
      </tp>
      <tp t="s">
        <v>N/A</v>
        <stp/>
        <stp>VOLUME</stp>
        <stp>.SPX251231C6680</stp>
        <tr r="O118" s="2"/>
      </tp>
      <tp t="s">
        <v>N/A</v>
        <stp/>
        <stp>VOLUME</stp>
        <stp>.SPX260529P6735</stp>
        <tr r="S107" s="2"/>
      </tp>
      <tp>
        <v>2</v>
        <stp/>
        <stp>VOLUME</stp>
        <stp>.SPX251121P6785</stp>
        <tr r="U96" s="1"/>
        <tr r="U96" s="1"/>
      </tp>
      <tp t="s">
        <v>N/A</v>
        <stp/>
        <stp>VOLUME</stp>
        <stp>.SPX251231P6685</stp>
        <tr r="O117" s="2"/>
      </tp>
      <tp>
        <v>22</v>
        <stp/>
        <stp>VOLUME</stp>
        <stp>.SPX251121P6780</stp>
        <tr r="U97" s="1"/>
        <tr r="U97" s="1"/>
      </tp>
      <tp t="s">
        <v>N/A</v>
        <stp/>
        <stp>VOLUME</stp>
        <stp>.SPX251231P6680</stp>
        <tr r="O118" s="2"/>
      </tp>
      <tp t="s">
        <v>N/A</v>
        <stp/>
        <stp>VOLUME</stp>
        <stp>.SPX260529P6730</stp>
        <tr r="S108" s="2"/>
      </tp>
      <tp>
        <v>271</v>
        <stp/>
        <stp>VOLUME</stp>
        <stp>.SPX251121C6675</stp>
        <tr r="T118" s="1"/>
        <tr r="T118" s="1"/>
      </tp>
      <tp t="s">
        <v>N/A</v>
        <stp/>
        <stp>VOLUME</stp>
        <stp>.SPX251231C6775</stp>
        <tr r="O99" s="2"/>
      </tp>
      <tp t="s">
        <v>N/A</v>
        <stp/>
        <stp>VOLUME</stp>
        <stp>.SPX260731C6745</stp>
        <tr r="U105" s="2"/>
      </tp>
      <tp t="s">
        <v>N/A</v>
        <stp/>
        <stp>VOLUME</stp>
        <stp>.SPX260130C6755</stp>
        <tr r="M103" s="2"/>
      </tp>
      <tp t="s">
        <v>N/A</v>
        <stp/>
        <stp>VOLUME</stp>
        <stp>.SPX260731C6740</stp>
        <tr r="U106" s="2"/>
      </tp>
      <tp t="s">
        <v>N/A</v>
        <stp/>
        <stp>VOLUME</stp>
        <stp>.SPX260130C6750</stp>
        <tr r="M104" s="2"/>
      </tp>
      <tp>
        <v>14</v>
        <stp/>
        <stp>VOLUME</stp>
        <stp>.SPX251121C6670</stp>
        <tr r="T119" s="1"/>
        <tr r="T119" s="1"/>
      </tp>
      <tp t="s">
        <v>N/A</v>
        <stp/>
        <stp>VOLUME</stp>
        <stp>.SPX251231C6770</stp>
        <tr r="O100" s="2"/>
      </tp>
      <tp t="s">
        <v>N/A</v>
        <stp/>
        <stp>VOLUME</stp>
        <stp>.SPX260731P6745</stp>
        <tr r="U105" s="2"/>
      </tp>
      <tp t="s">
        <v>N/A</v>
        <stp/>
        <stp>VOLUME</stp>
        <stp>.SPX260130P6755</stp>
        <tr r="M103" s="2"/>
      </tp>
      <tp>
        <v>294</v>
        <stp/>
        <stp>VOLUME</stp>
        <stp>.SPX251121P6675</stp>
        <tr r="U118" s="1"/>
        <tr r="U118" s="1"/>
      </tp>
      <tp t="s">
        <v>N/A</v>
        <stp/>
        <stp>VOLUME</stp>
        <stp>.SPX251231P6775</stp>
        <tr r="O99" s="2"/>
      </tp>
      <tp>
        <v>107</v>
        <stp/>
        <stp>VOLUME</stp>
        <stp>.SPX251121P6670</stp>
        <tr r="U119" s="1"/>
        <tr r="U119" s="1"/>
      </tp>
      <tp t="s">
        <v>N/A</v>
        <stp/>
        <stp>VOLUME</stp>
        <stp>.SPX251231P6770</stp>
        <tr r="O100" s="2"/>
      </tp>
      <tp t="s">
        <v>N/A</v>
        <stp/>
        <stp>VOLUME</stp>
        <stp>.SPX260731P6740</stp>
        <tr r="U106" s="2"/>
      </tp>
      <tp t="s">
        <v>N/A</v>
        <stp/>
        <stp>VOLUME</stp>
        <stp>.SPX260130P6750</stp>
        <tr r="M104" s="2"/>
      </tp>
      <tp>
        <v>43</v>
        <stp/>
        <stp>VOLUME</stp>
        <stp>.SPX251121C6665</stp>
        <tr r="T120" s="1"/>
        <tr r="T120" s="1"/>
      </tp>
      <tp t="s">
        <v>N/A</v>
        <stp/>
        <stp>VOLUME</stp>
        <stp>.SPX251231C6765</stp>
        <tr r="O101" s="2"/>
      </tp>
      <tp t="s">
        <v>N/A</v>
        <stp/>
        <stp>VOLUME</stp>
        <stp>.SPX260731C6755</stp>
        <tr r="U103" s="2"/>
      </tp>
      <tp t="s">
        <v>N/A</v>
        <stp/>
        <stp>VOLUME</stp>
        <stp>.SPX260130C6745</stp>
        <tr r="M105" s="2"/>
      </tp>
      <tp t="s">
        <v>N/A</v>
        <stp/>
        <stp>VOLUME</stp>
        <stp>.SPX260731C6750</stp>
        <tr r="U104" s="2"/>
      </tp>
      <tp t="s">
        <v>N/A</v>
        <stp/>
        <stp>VOLUME</stp>
        <stp>.SPX260130C6740</stp>
        <tr r="M106" s="2"/>
      </tp>
      <tp>
        <v>56</v>
        <stp/>
        <stp>VOLUME</stp>
        <stp>.SPX251121C6660</stp>
        <tr r="T121" s="1"/>
        <tr r="T121" s="1"/>
      </tp>
      <tp t="s">
        <v>N/A</v>
        <stp/>
        <stp>VOLUME</stp>
        <stp>.SPX251231C6760</stp>
        <tr r="O102" s="2"/>
      </tp>
      <tp t="s">
        <v>N/A</v>
        <stp/>
        <stp>VOLUME</stp>
        <stp>.SPX260731P6755</stp>
        <tr r="U103" s="2"/>
      </tp>
      <tp t="s">
        <v>N/A</v>
        <stp/>
        <stp>VOLUME</stp>
        <stp>.SPX260130P6745</stp>
        <tr r="M105" s="2"/>
      </tp>
      <tp>
        <v>70</v>
        <stp/>
        <stp>VOLUME</stp>
        <stp>.SPX251121P6665</stp>
        <tr r="U120" s="1"/>
        <tr r="U120" s="1"/>
      </tp>
      <tp t="s">
        <v>N/A</v>
        <stp/>
        <stp>VOLUME</stp>
        <stp>.SPX251231P6765</stp>
        <tr r="O101" s="2"/>
      </tp>
      <tp>
        <v>50</v>
        <stp/>
        <stp>VOLUME</stp>
        <stp>.SPX251121P6660</stp>
        <tr r="U121" s="1"/>
        <tr r="U121" s="1"/>
      </tp>
      <tp t="s">
        <v>N/A</v>
        <stp/>
        <stp>VOLUME</stp>
        <stp>.SPX251231P6760</stp>
        <tr r="O102" s="2"/>
      </tp>
      <tp t="s">
        <v>N/A</v>
        <stp/>
        <stp>VOLUME</stp>
        <stp>.SPX260731P6750</stp>
        <tr r="U104" s="2"/>
      </tp>
      <tp t="s">
        <v>N/A</v>
        <stp/>
        <stp>VOLUME</stp>
        <stp>.SPX260130P6740</stp>
        <tr r="M106" s="2"/>
      </tp>
      <tp>
        <v>17</v>
        <stp/>
        <stp>VOLUME</stp>
        <stp>.SPX251121C6655</stp>
        <tr r="T122" s="1"/>
        <tr r="T122" s="1"/>
      </tp>
      <tp t="s">
        <v>N/A</v>
        <stp/>
        <stp>VOLUME</stp>
        <stp>.SPX251231C6755</stp>
        <tr r="O103" s="2"/>
      </tp>
      <tp t="s">
        <v>N/A</v>
        <stp/>
        <stp>VOLUME</stp>
        <stp>.SPX260731C6765</stp>
        <tr r="U101" s="2"/>
      </tp>
      <tp t="s">
        <v>N/A</v>
        <stp/>
        <stp>VOLUME</stp>
        <stp>.SPX260130C6775</stp>
        <tr r="M99" s="2"/>
      </tp>
      <tp t="s">
        <v>N/A</v>
        <stp/>
        <stp>VOLUME</stp>
        <stp>.SPX260731C6760</stp>
        <tr r="U102" s="2"/>
      </tp>
      <tp t="s">
        <v>N/A</v>
        <stp/>
        <stp>VOLUME</stp>
        <stp>.SPX260130C6770</stp>
        <tr r="M100" s="2"/>
      </tp>
      <tp>
        <v>851</v>
        <stp/>
        <stp>VOLUME</stp>
        <stp>.SPX251121C6650</stp>
        <tr r="T123" s="1"/>
        <tr r="T123" s="1"/>
      </tp>
      <tp t="s">
        <v>N/A</v>
        <stp/>
        <stp>VOLUME</stp>
        <stp>.SPX251231C6750</stp>
        <tr r="O104" s="2"/>
      </tp>
      <tp t="s">
        <v>N/A</v>
        <stp/>
        <stp>VOLUME</stp>
        <stp>.SPX260731P6765</stp>
        <tr r="U101" s="2"/>
      </tp>
      <tp t="s">
        <v>N/A</v>
        <stp/>
        <stp>VOLUME</stp>
        <stp>.SPX260130P6775</stp>
        <tr r="M99" s="2"/>
      </tp>
      <tp>
        <v>53</v>
        <stp/>
        <stp>VOLUME</stp>
        <stp>.SPX251121P6655</stp>
        <tr r="U122" s="1"/>
        <tr r="U122" s="1"/>
      </tp>
      <tp t="s">
        <v>N/A</v>
        <stp/>
        <stp>VOLUME</stp>
        <stp>.SPX251231P6755</stp>
        <tr r="O103" s="2"/>
      </tp>
      <tp>
        <v>2004</v>
        <stp/>
        <stp>VOLUME</stp>
        <stp>.SPX251121P6650</stp>
        <tr r="U123" s="1"/>
        <tr r="U123" s="1"/>
      </tp>
      <tp t="s">
        <v>N/A</v>
        <stp/>
        <stp>VOLUME</stp>
        <stp>.SPX251231P6750</stp>
        <tr r="O104" s="2"/>
      </tp>
      <tp t="s">
        <v>N/A</v>
        <stp/>
        <stp>VOLUME</stp>
        <stp>.SPX260731P6760</stp>
        <tr r="U102" s="2"/>
      </tp>
      <tp t="s">
        <v>N/A</v>
        <stp/>
        <stp>VOLUME</stp>
        <stp>.SPX260130P6770</stp>
        <tr r="M100" s="2"/>
      </tp>
      <tp>
        <v>18</v>
        <stp/>
        <stp>VOLUME</stp>
        <stp>.SPX251121C6645</stp>
        <tr r="T124" s="1"/>
        <tr r="T124" s="1"/>
      </tp>
      <tp t="s">
        <v>N/A</v>
        <stp/>
        <stp>VOLUME</stp>
        <stp>.SPX251231C6745</stp>
        <tr r="O105" s="2"/>
      </tp>
      <tp t="s">
        <v>N/A</v>
        <stp/>
        <stp>VOLUME</stp>
        <stp>.SPX260731C6775</stp>
        <tr r="U99" s="2"/>
      </tp>
      <tp t="s">
        <v>N/A</v>
        <stp/>
        <stp>VOLUME</stp>
        <stp>.SPX260130C6765</stp>
        <tr r="M101" s="2"/>
      </tp>
      <tp t="s">
        <v>N/A</v>
        <stp/>
        <stp>VOLUME</stp>
        <stp>.SPX260731C6770</stp>
        <tr r="U100" s="2"/>
      </tp>
      <tp t="s">
        <v>N/A</v>
        <stp/>
        <stp>VOLUME</stp>
        <stp>.SPX260130C6760</stp>
        <tr r="M102" s="2"/>
      </tp>
      <tp>
        <v>16</v>
        <stp/>
        <stp>VOLUME</stp>
        <stp>.SPX251121C6640</stp>
        <tr r="T125" s="1"/>
        <tr r="T125" s="1"/>
      </tp>
      <tp t="s">
        <v>N/A</v>
        <stp/>
        <stp>VOLUME</stp>
        <stp>.SPX251231C6740</stp>
        <tr r="O106" s="2"/>
      </tp>
      <tp t="s">
        <v>N/A</v>
        <stp/>
        <stp>VOLUME</stp>
        <stp>.SPX260731P6775</stp>
        <tr r="U99" s="2"/>
      </tp>
      <tp t="s">
        <v>N/A</v>
        <stp/>
        <stp>VOLUME</stp>
        <stp>.SPX260130P6765</stp>
        <tr r="M101" s="2"/>
      </tp>
      <tp>
        <v>36</v>
        <stp/>
        <stp>VOLUME</stp>
        <stp>.SPX251121P6645</stp>
        <tr r="U124" s="1"/>
        <tr r="U124" s="1"/>
      </tp>
      <tp t="s">
        <v>N/A</v>
        <stp/>
        <stp>VOLUME</stp>
        <stp>.SPX251231P6745</stp>
        <tr r="O105" s="2"/>
      </tp>
      <tp>
        <v>234</v>
        <stp/>
        <stp>VOLUME</stp>
        <stp>.SPX251121P6640</stp>
        <tr r="U125" s="1"/>
        <tr r="U125" s="1"/>
      </tp>
      <tp t="s">
        <v>N/A</v>
        <stp/>
        <stp>VOLUME</stp>
        <stp>.SPX251231P6740</stp>
        <tr r="O106" s="2"/>
      </tp>
      <tp t="s">
        <v>N/A</v>
        <stp/>
        <stp>VOLUME</stp>
        <stp>.SPX260731P6770</stp>
        <tr r="U100" s="2"/>
      </tp>
      <tp t="s">
        <v>N/A</v>
        <stp/>
        <stp>VOLUME</stp>
        <stp>.SPX260130P6760</stp>
        <tr r="M102" s="2"/>
      </tp>
      <tp>
        <v>2</v>
        <stp/>
        <stp>VOLUME</stp>
        <stp>.SPX251121C6635</stp>
        <tr r="T126" s="1"/>
        <tr r="T126" s="1"/>
      </tp>
      <tp t="s">
        <v>N/A</v>
        <stp/>
        <stp>VOLUME</stp>
        <stp>.SPX251231C6735</stp>
        <tr r="O107" s="2"/>
      </tp>
      <tp t="s">
        <v>N/A</v>
        <stp/>
        <stp>VOLUME</stp>
        <stp>.SPX260529C6685</stp>
        <tr r="S117" s="2"/>
      </tp>
      <tp t="s">
        <v>N/A</v>
        <stp/>
        <stp>VOLUME</stp>
        <stp>.SPX260731C6705</stp>
        <tr r="U113" s="2"/>
      </tp>
      <tp t="s">
        <v>N/A</v>
        <stp/>
        <stp>VOLUME</stp>
        <stp>.SPX260130C6715</stp>
        <tr r="M111" s="2"/>
      </tp>
      <tp t="s">
        <v>N/A</v>
        <stp/>
        <stp>VOLUME</stp>
        <stp>.SPX260529C6680</stp>
        <tr r="S118" s="2"/>
      </tp>
      <tp t="s">
        <v>N/A</v>
        <stp/>
        <stp>VOLUME</stp>
        <stp>.SPX260731C6700</stp>
        <tr r="U114" s="2"/>
      </tp>
      <tp t="s">
        <v>N/A</v>
        <stp/>
        <stp>VOLUME</stp>
        <stp>.SPX260130C6710</stp>
        <tr r="M112" s="2"/>
      </tp>
      <tp>
        <v>23</v>
        <stp/>
        <stp>VOLUME</stp>
        <stp>.SPX251121C6630</stp>
        <tr r="T127" s="1"/>
        <tr r="T127" s="1"/>
      </tp>
      <tp t="s">
        <v>N/A</v>
        <stp/>
        <stp>VOLUME</stp>
        <stp>.SPX251231C6730</stp>
        <tr r="O108" s="2"/>
      </tp>
      <tp t="s">
        <v>N/A</v>
        <stp/>
        <stp>VOLUME</stp>
        <stp>.SPX260529P6685</stp>
        <tr r="S117" s="2"/>
      </tp>
      <tp t="s">
        <v>N/A</v>
        <stp/>
        <stp>VOLUME</stp>
        <stp>.SPX260731P6705</stp>
        <tr r="U113" s="2"/>
      </tp>
      <tp t="s">
        <v>N/A</v>
        <stp/>
        <stp>VOLUME</stp>
        <stp>.SPX260130P6715</stp>
        <tr r="M111" s="2"/>
      </tp>
      <tp>
        <v>57</v>
        <stp/>
        <stp>VOLUME</stp>
        <stp>.SPX251121P6635</stp>
        <tr r="U126" s="1"/>
        <tr r="U126" s="1"/>
      </tp>
      <tp t="s">
        <v>N/A</v>
        <stp/>
        <stp>VOLUME</stp>
        <stp>.SPX251231P6735</stp>
        <tr r="O107" s="2"/>
      </tp>
      <tp>
        <v>12</v>
        <stp/>
        <stp>VOLUME</stp>
        <stp>.SPX251121P6630</stp>
        <tr r="U127" s="1"/>
        <tr r="U127" s="1"/>
      </tp>
      <tp t="s">
        <v>N/A</v>
        <stp/>
        <stp>VOLUME</stp>
        <stp>.SPX251231P6730</stp>
        <tr r="O108" s="2"/>
      </tp>
      <tp t="s">
        <v>N/A</v>
        <stp/>
        <stp>VOLUME</stp>
        <stp>.SPX260529P6680</stp>
        <tr r="S118" s="2"/>
      </tp>
      <tp t="s">
        <v>N/A</v>
        <stp/>
        <stp>VOLUME</stp>
        <stp>.SPX260731P6700</stp>
        <tr r="U114" s="2"/>
      </tp>
      <tp t="s">
        <v>N/A</v>
        <stp/>
        <stp>VOLUME</stp>
        <stp>.SPX260130P6710</stp>
        <tr r="M112" s="2"/>
      </tp>
      <tp>
        <v>186</v>
        <stp/>
        <stp>VOLUME</stp>
        <stp>.SPX251121C6625</stp>
        <tr r="T128" s="1"/>
        <tr r="T128" s="1"/>
      </tp>
      <tp t="s">
        <v>N/A</v>
        <stp/>
        <stp>VOLUME</stp>
        <stp>.SPX251231C6725</stp>
        <tr r="O109" s="2"/>
      </tp>
      <tp t="s">
        <v>N/A</v>
        <stp/>
        <stp>VOLUME</stp>
        <stp>.SPX260529C6695</stp>
        <tr r="S115" s="2"/>
      </tp>
      <tp t="s">
        <v>N/A</v>
        <stp/>
        <stp>VOLUME</stp>
        <stp>.SPX260731C6715</stp>
        <tr r="U111" s="2"/>
      </tp>
      <tp t="s">
        <v>N/A</v>
        <stp/>
        <stp>VOLUME</stp>
        <stp>.SPX260130C6705</stp>
        <tr r="M113" s="2"/>
      </tp>
      <tp t="s">
        <v>N/A</v>
        <stp/>
        <stp>VOLUME</stp>
        <stp>.SPX260529C6690</stp>
        <tr r="S116" s="2"/>
      </tp>
      <tp t="s">
        <v>N/A</v>
        <stp/>
        <stp>VOLUME</stp>
        <stp>.SPX260731C6710</stp>
        <tr r="U112" s="2"/>
      </tp>
      <tp t="s">
        <v>N/A</v>
        <stp/>
        <stp>VOLUME</stp>
        <stp>.SPX260130C6700</stp>
        <tr r="M114" s="2"/>
      </tp>
      <tp>
        <v>18</v>
        <stp/>
        <stp>VOLUME</stp>
        <stp>.SPX251121C6620</stp>
        <tr r="T129" s="1"/>
        <tr r="T129" s="1"/>
      </tp>
      <tp t="s">
        <v>N/A</v>
        <stp/>
        <stp>VOLUME</stp>
        <stp>.SPX251231C6720</stp>
        <tr r="O110" s="2"/>
      </tp>
      <tp t="s">
        <v>N/A</v>
        <stp/>
        <stp>VOLUME</stp>
        <stp>.SPX260529P6695</stp>
        <tr r="S115" s="2"/>
      </tp>
      <tp t="s">
        <v>N/A</v>
        <stp/>
        <stp>VOLUME</stp>
        <stp>.SPX260731P6715</stp>
        <tr r="U111" s="2"/>
      </tp>
      <tp t="s">
        <v>N/A</v>
        <stp/>
        <stp>VOLUME</stp>
        <stp>.SPX260130P6705</stp>
        <tr r="M113" s="2"/>
      </tp>
      <tp>
        <v>555</v>
        <stp/>
        <stp>VOLUME</stp>
        <stp>.SPX251121P6625</stp>
        <tr r="U128" s="1"/>
        <tr r="U128" s="1"/>
      </tp>
      <tp t="s">
        <v>N/A</v>
        <stp/>
        <stp>VOLUME</stp>
        <stp>.SPX251231P6725</stp>
        <tr r="O109" s="2"/>
      </tp>
      <tp>
        <v>34</v>
        <stp/>
        <stp>VOLUME</stp>
        <stp>.SPX251121P6620</stp>
        <tr r="U129" s="1"/>
        <tr r="U129" s="1"/>
      </tp>
      <tp t="s">
        <v>N/A</v>
        <stp/>
        <stp>VOLUME</stp>
        <stp>.SPX251231P6720</stp>
        <tr r="O110" s="2"/>
      </tp>
      <tp t="s">
        <v>N/A</v>
        <stp/>
        <stp>VOLUME</stp>
        <stp>.SPX260529P6690</stp>
        <tr r="S116" s="2"/>
      </tp>
      <tp t="s">
        <v>N/A</v>
        <stp/>
        <stp>VOLUME</stp>
        <stp>.SPX260731P6710</stp>
        <tr r="U112" s="2"/>
      </tp>
      <tp t="s">
        <v>N/A</v>
        <stp/>
        <stp>VOLUME</stp>
        <stp>.SPX260130P6700</stp>
        <tr r="M114" s="2"/>
      </tp>
      <tp>
        <v>2</v>
        <stp/>
        <stp>VOLUME</stp>
        <stp>.SPX251121C6615</stp>
        <tr r="T130" s="1"/>
        <tr r="T130" s="1"/>
      </tp>
      <tp t="s">
        <v>N/A</v>
        <stp/>
        <stp>VOLUME</stp>
        <stp>.SPX251231C6715</stp>
        <tr r="O111" s="2"/>
      </tp>
      <tp t="s">
        <v>N/A</v>
        <stp/>
        <stp>VOLUME</stp>
        <stp>.SPX260731C6725</stp>
        <tr r="U109" s="2"/>
      </tp>
      <tp t="s">
        <v>N/A</v>
        <stp/>
        <stp>VOLUME</stp>
        <stp>.SPX260130C6735</stp>
        <tr r="M107" s="2"/>
      </tp>
      <tp t="s">
        <v>N/A</v>
        <stp/>
        <stp>VOLUME</stp>
        <stp>.SPX260731C6720</stp>
        <tr r="U110" s="2"/>
      </tp>
      <tp t="s">
        <v>N/A</v>
        <stp/>
        <stp>VOLUME</stp>
        <stp>.SPX260130C6730</stp>
        <tr r="M108" s="2"/>
      </tp>
      <tp t="s">
        <v>N/A</v>
        <stp/>
        <stp>VOLUME</stp>
        <stp>.SPX251231C6710</stp>
        <tr r="O112" s="2"/>
      </tp>
      <tp t="s">
        <v>N/A</v>
        <stp/>
        <stp>VOLUME</stp>
        <stp>.SPX260731P6725</stp>
        <tr r="U109" s="2"/>
      </tp>
      <tp t="s">
        <v>N/A</v>
        <stp/>
        <stp>VOLUME</stp>
        <stp>.SPX260130P6735</stp>
        <tr r="M107" s="2"/>
      </tp>
      <tp>
        <v>20</v>
        <stp/>
        <stp>VOLUME</stp>
        <stp>.SPX251121P6615</stp>
        <tr r="U130" s="1"/>
        <tr r="U130" s="1"/>
      </tp>
      <tp t="s">
        <v>N/A</v>
        <stp/>
        <stp>VOLUME</stp>
        <stp>.SPX251231P6715</stp>
        <tr r="O111" s="2"/>
      </tp>
      <tp t="s">
        <v>N/A</v>
        <stp/>
        <stp>VOLUME</stp>
        <stp>.SPX251231P6710</stp>
        <tr r="O112" s="2"/>
      </tp>
      <tp t="s">
        <v>N/A</v>
        <stp/>
        <stp>VOLUME</stp>
        <stp>.SPX260731P6720</stp>
        <tr r="U110" s="2"/>
      </tp>
      <tp t="s">
        <v>N/A</v>
        <stp/>
        <stp>VOLUME</stp>
        <stp>.SPX260130P6730</stp>
        <tr r="M108" s="2"/>
      </tp>
      <tp t="s">
        <v>N/A</v>
        <stp/>
        <stp>VOLUME</stp>
        <stp>.SPX251231C6705</stp>
        <tr r="O113" s="2"/>
      </tp>
      <tp t="s">
        <v>N/A</v>
        <stp/>
        <stp>VOLUME</stp>
        <stp>.SPX260731C6735</stp>
        <tr r="U107" s="2"/>
      </tp>
      <tp t="s">
        <v>N/A</v>
        <stp/>
        <stp>VOLUME</stp>
        <stp>.SPX260130C6725</stp>
        <tr r="M109" s="2"/>
      </tp>
      <tp t="s">
        <v>N/A</v>
        <stp/>
        <stp>VOLUME</stp>
        <stp>.SPX260731C6730</stp>
        <tr r="U108" s="2"/>
      </tp>
      <tp t="s">
        <v>N/A</v>
        <stp/>
        <stp>VOLUME</stp>
        <stp>.SPX260130C6720</stp>
        <tr r="M110" s="2"/>
      </tp>
      <tp t="s">
        <v>N/A</v>
        <stp/>
        <stp>VOLUME</stp>
        <stp>.SPX251231C6700</stp>
        <tr r="O114" s="2"/>
      </tp>
      <tp t="s">
        <v>N/A</v>
        <stp/>
        <stp>VOLUME</stp>
        <stp>.SPX260731P6735</stp>
        <tr r="U107" s="2"/>
      </tp>
      <tp t="s">
        <v>N/A</v>
        <stp/>
        <stp>VOLUME</stp>
        <stp>.SPX260130P6725</stp>
        <tr r="M109" s="2"/>
      </tp>
      <tp t="s">
        <v>N/A</v>
        <stp/>
        <stp>VOLUME</stp>
        <stp>.SPX251231P6705</stp>
        <tr r="O113" s="2"/>
      </tp>
      <tp t="s">
        <v>N/A</v>
        <stp/>
        <stp>VOLUME</stp>
        <stp>.SPX251231P6700</stp>
        <tr r="O114" s="2"/>
      </tp>
      <tp t="s">
        <v>N/A</v>
        <stp/>
        <stp>VOLUME</stp>
        <stp>.SPX260731P6730</stp>
        <tr r="U108" s="2"/>
      </tp>
      <tp t="s">
        <v>N/A</v>
        <stp/>
        <stp>VOLUME</stp>
        <stp>.SPX260130P6720</stp>
        <tr r="M110" s="2"/>
      </tp>
      <tp t="s">
        <v>N/A</v>
        <stp/>
        <stp>VOLUME</stp>
        <stp>.SPX260529C6645</stp>
        <tr r="S125" s="2"/>
      </tp>
      <tp t="s">
        <v>N/A</v>
        <stp/>
        <stp>VOLUME</stp>
        <stp>.SPX260529C6640</stp>
        <tr r="S126" s="2"/>
      </tp>
      <tp t="s">
        <v>N/A</v>
        <stp/>
        <stp>VOLUME</stp>
        <stp>.SPX260529P6645</stp>
        <tr r="S125" s="2"/>
      </tp>
      <tp t="s">
        <v>N/A</v>
        <stp/>
        <stp>VOLUME</stp>
        <stp>.SPX260529P6640</stp>
        <tr r="S126" s="2"/>
      </tp>
      <tp t="s">
        <v>N/A</v>
        <stp/>
        <stp>VOLUME</stp>
        <stp>.SPX260529C6655</stp>
        <tr r="S123" s="2"/>
      </tp>
      <tp t="s">
        <v>N/A</v>
        <stp/>
        <stp>VOLUME</stp>
        <stp>.SPX260529C6650</stp>
        <tr r="S124" s="2"/>
      </tp>
      <tp t="s">
        <v>N/A</v>
        <stp/>
        <stp>VOLUME</stp>
        <stp>.SPX260529P6655</stp>
        <tr r="S123" s="2"/>
      </tp>
      <tp t="s">
        <v>N/A</v>
        <stp/>
        <stp>VOLUME</stp>
        <stp>.SPX260529P6650</stp>
        <tr r="S124" s="2"/>
      </tp>
      <tp t="s">
        <v>N/A</v>
        <stp/>
        <stp>VOLUME</stp>
        <stp>.SPX260529C6665</stp>
        <tr r="S121" s="2"/>
      </tp>
      <tp t="s">
        <v>N/A</v>
        <stp/>
        <stp>VOLUME</stp>
        <stp>.SPX260529C6660</stp>
        <tr r="S122" s="2"/>
      </tp>
      <tp t="s">
        <v>N/A</v>
        <stp/>
        <stp>VOLUME</stp>
        <stp>.SPX260529P6665</stp>
        <tr r="S121" s="2"/>
      </tp>
      <tp t="s">
        <v>N/A</v>
        <stp/>
        <stp>VOLUME</stp>
        <stp>.SPX260529P6660</stp>
        <tr r="S122" s="2"/>
      </tp>
      <tp t="s">
        <v>N/A</v>
        <stp/>
        <stp>VOLUME</stp>
        <stp>.SPX260529C6675</stp>
        <tr r="S119" s="2"/>
      </tp>
      <tp t="s">
        <v>N/A</v>
        <stp/>
        <stp>VOLUME</stp>
        <stp>.SPX260529C6670</stp>
        <tr r="S120" s="2"/>
      </tp>
      <tp t="s">
        <v>N/A</v>
        <stp/>
        <stp>VOLUME</stp>
        <stp>.SPX260529P6675</stp>
        <tr r="S119" s="2"/>
      </tp>
      <tp t="s">
        <v>N/A</v>
        <stp/>
        <stp>VOLUME</stp>
        <stp>.SPX260529P6670</stp>
        <tr r="S120" s="2"/>
      </tp>
      <tp t="s">
        <v>N/A</v>
        <stp/>
        <stp>VOLUME</stp>
        <stp>.SPX260731C6785</stp>
        <tr r="U97" s="2"/>
      </tp>
      <tp t="s">
        <v>N/A</v>
        <stp/>
        <stp>VOLUME</stp>
        <stp>.SPX260130C6795</stp>
        <tr r="M95" s="2"/>
      </tp>
      <tp t="s">
        <v>N/A</v>
        <stp/>
        <stp>VOLUME</stp>
        <stp>.SPX260731C6780</stp>
        <tr r="U98" s="2"/>
      </tp>
      <tp t="s">
        <v>N/A</v>
        <stp/>
        <stp>VOLUME</stp>
        <stp>.SPX260130C6790</stp>
        <tr r="M96" s="2"/>
      </tp>
      <tp t="s">
        <v>N/A</v>
        <stp/>
        <stp>VOLUME</stp>
        <stp>.SPX260731P6785</stp>
        <tr r="U97" s="2"/>
      </tp>
      <tp t="s">
        <v>N/A</v>
        <stp/>
        <stp>VOLUME</stp>
        <stp>.SPX260130P6795</stp>
        <tr r="M95" s="2"/>
      </tp>
      <tp t="s">
        <v>N/A</v>
        <stp/>
        <stp>VOLUME</stp>
        <stp>.SPX260731P6780</stp>
        <tr r="U98" s="2"/>
      </tp>
      <tp t="s">
        <v>N/A</v>
        <stp/>
        <stp>VOLUME</stp>
        <stp>.SPX260130P6790</stp>
        <tr r="M96" s="2"/>
      </tp>
      <tp t="s">
        <v>N/A</v>
        <stp/>
        <stp>VOLUME</stp>
        <stp>.SPX260529C6615</stp>
        <tr r="S131" s="2"/>
      </tp>
      <tp t="s">
        <v>N/A</v>
        <stp/>
        <stp>VOLUME</stp>
        <stp>.SPX260731C6795</stp>
        <tr r="U95" s="2"/>
      </tp>
      <tp t="s">
        <v>N/A</v>
        <stp/>
        <stp>VOLUME</stp>
        <stp>.SPX260130C6785</stp>
        <tr r="M97" s="2"/>
      </tp>
      <tp t="s">
        <v>N/A</v>
        <stp/>
        <stp>VOLUME</stp>
        <stp>.SPX260731C6790</stp>
        <tr r="U96" s="2"/>
      </tp>
      <tp t="s">
        <v>N/A</v>
        <stp/>
        <stp>VOLUME</stp>
        <stp>.SPX260130C6780</stp>
        <tr r="M98" s="2"/>
      </tp>
      <tp t="s">
        <v>N/A</v>
        <stp/>
        <stp>VOLUME</stp>
        <stp>.SPX260529P6615</stp>
        <tr r="S131" s="2"/>
      </tp>
      <tp t="s">
        <v>N/A</v>
        <stp/>
        <stp>VOLUME</stp>
        <stp>.SPX260731P6795</stp>
        <tr r="U95" s="2"/>
      </tp>
      <tp t="s">
        <v>N/A</v>
        <stp/>
        <stp>VOLUME</stp>
        <stp>.SPX260130P6785</stp>
        <tr r="M97" s="2"/>
      </tp>
      <tp t="s">
        <v>N/A</v>
        <stp/>
        <stp>VOLUME</stp>
        <stp>.SPX260731P6790</stp>
        <tr r="U96" s="2"/>
      </tp>
      <tp t="s">
        <v>N/A</v>
        <stp/>
        <stp>VOLUME</stp>
        <stp>.SPX260130P6780</stp>
        <tr r="M98" s="2"/>
      </tp>
      <tp>
        <v>26</v>
        <stp/>
        <stp>VOLUME</stp>
        <stp>.SPX251121C6695</stp>
        <tr r="T114" s="1"/>
        <tr r="T114" s="1"/>
      </tp>
      <tp t="s">
        <v>N/A</v>
        <stp/>
        <stp>VOLUME</stp>
        <stp>.SPX251231C6795</stp>
        <tr r="O95" s="2"/>
      </tp>
      <tp t="s">
        <v>N/A</v>
        <stp/>
        <stp>VOLUME</stp>
        <stp>.SPX260529C6625</stp>
        <tr r="S129" s="2"/>
      </tp>
      <tp t="s">
        <v>N/A</v>
        <stp/>
        <stp>VOLUME</stp>
        <stp>.SPX260529C6620</stp>
        <tr r="S130" s="2"/>
      </tp>
      <tp>
        <v>87</v>
        <stp/>
        <stp>VOLUME</stp>
        <stp>.SPX251121C6690</stp>
        <tr r="T115" s="1"/>
        <tr r="T115" s="1"/>
      </tp>
      <tp t="s">
        <v>N/A</v>
        <stp/>
        <stp>VOLUME</stp>
        <stp>.SPX251231C6790</stp>
        <tr r="O96" s="2"/>
      </tp>
      <tp t="s">
        <v>N/A</v>
        <stp/>
        <stp>VOLUME</stp>
        <stp>.SPX260529P6625</stp>
        <tr r="S129" s="2"/>
      </tp>
      <tp>
        <v>41</v>
        <stp/>
        <stp>VOLUME</stp>
        <stp>.SPX251121P6695</stp>
        <tr r="U114" s="1"/>
        <tr r="U114" s="1"/>
      </tp>
      <tp t="s">
        <v>N/A</v>
        <stp/>
        <stp>VOLUME</stp>
        <stp>.SPX251231P6795</stp>
        <tr r="O95" s="2"/>
      </tp>
      <tp>
        <v>65</v>
        <stp/>
        <stp>VOLUME</stp>
        <stp>.SPX251121P6690</stp>
        <tr r="U115" s="1"/>
        <tr r="U115" s="1"/>
      </tp>
      <tp t="s">
        <v>N/A</v>
        <stp/>
        <stp>VOLUME</stp>
        <stp>.SPX251231P6790</stp>
        <tr r="O96" s="2"/>
      </tp>
      <tp t="s">
        <v>N/A</v>
        <stp/>
        <stp>VOLUME</stp>
        <stp>.SPX260529P6620</stp>
        <tr r="S130" s="2"/>
      </tp>
      <tp>
        <v>21</v>
        <stp/>
        <stp>VOLUME</stp>
        <stp>.SPX251121C6685</stp>
        <tr r="T116" s="1"/>
        <tr r="T116" s="1"/>
      </tp>
      <tp t="s">
        <v>N/A</v>
        <stp/>
        <stp>VOLUME</stp>
        <stp>.SPX251231C6785</stp>
        <tr r="O97" s="2"/>
      </tp>
      <tp t="s">
        <v>N/A</v>
        <stp/>
        <stp>VOLUME</stp>
        <stp>.SPX260529C6635</stp>
        <tr r="S127" s="2"/>
      </tp>
      <tp t="s">
        <v>N/A</v>
        <stp/>
        <stp>VOLUME</stp>
        <stp>.SPX260529C6630</stp>
        <tr r="S128" s="2"/>
      </tp>
      <tp>
        <v>143</v>
        <stp/>
        <stp>VOLUME</stp>
        <stp>.SPX251121C6680</stp>
        <tr r="T117" s="1"/>
        <tr r="T117" s="1"/>
      </tp>
      <tp t="s">
        <v>N/A</v>
        <stp/>
        <stp>VOLUME</stp>
        <stp>.SPX251231C6780</stp>
        <tr r="O98" s="2"/>
      </tp>
      <tp t="s">
        <v>N/A</v>
        <stp/>
        <stp>VOLUME</stp>
        <stp>.SPX260529P6635</stp>
        <tr r="S127" s="2"/>
      </tp>
      <tp>
        <v>55</v>
        <stp/>
        <stp>VOLUME</stp>
        <stp>.SPX251121P6685</stp>
        <tr r="U116" s="1"/>
        <tr r="U116" s="1"/>
      </tp>
      <tp t="s">
        <v>N/A</v>
        <stp/>
        <stp>VOLUME</stp>
        <stp>.SPX251231P6785</stp>
        <tr r="O97" s="2"/>
      </tp>
      <tp>
        <v>94</v>
        <stp/>
        <stp>VOLUME</stp>
        <stp>.SPX251121P6680</stp>
        <tr r="U117" s="1"/>
        <tr r="U117" s="1"/>
      </tp>
      <tp t="s">
        <v>N/A</v>
        <stp/>
        <stp>VOLUME</stp>
        <stp>.SPX251231P6780</stp>
        <tr r="O98" s="2"/>
      </tp>
      <tp t="s">
        <v>N/A</v>
        <stp/>
        <stp>VOLUME</stp>
        <stp>.SPX260529P6630</stp>
        <tr r="S128" s="2"/>
      </tp>
      <tp t="s">
        <v>N/A</v>
        <stp/>
        <stp>VOLUME</stp>
        <stp>.SPX261002C6775</stp>
        <tr r="W99" s="2"/>
      </tp>
      <tp t="s">
        <v>N/A</v>
        <stp/>
        <stp>VOLUME</stp>
        <stp>.SPX260403C6765</stp>
        <tr r="Q101" s="2"/>
      </tp>
      <tp t="s">
        <v>N/A</v>
        <stp/>
        <stp>VOLUME</stp>
        <stp>.SPX260403C6760</stp>
        <tr r="Q102" s="2"/>
      </tp>
      <tp t="s">
        <v>N/A</v>
        <stp/>
        <stp>VOLUME</stp>
        <stp>.SPX261002C6770</stp>
        <tr r="W100" s="2"/>
      </tp>
      <tp t="s">
        <v>N/A</v>
        <stp/>
        <stp>VOLUME</stp>
        <stp>.SPX260403P6765</stp>
        <tr r="Q101" s="2"/>
      </tp>
      <tp t="s">
        <v>N/A</v>
        <stp/>
        <stp>VOLUME</stp>
        <stp>.SPX261002P6775</stp>
        <tr r="W99" s="2"/>
      </tp>
      <tp t="s">
        <v>N/A</v>
        <stp/>
        <stp>VOLUME</stp>
        <stp>.SPX261002P6770</stp>
        <tr r="W100" s="2"/>
      </tp>
      <tp t="s">
        <v>N/A</v>
        <stp/>
        <stp>VOLUME</stp>
        <stp>.SPX260403P6760</stp>
        <tr r="Q102" s="2"/>
      </tp>
      <tp t="s">
        <v>N/A</v>
        <stp/>
        <stp>VOLUME</stp>
        <stp>.SPX261002C6765</stp>
        <tr r="W101" s="2"/>
      </tp>
      <tp t="s">
        <v>N/A</v>
        <stp/>
        <stp>VOLUME</stp>
        <stp>.SPX260403C6775</stp>
        <tr r="Q99" s="2"/>
      </tp>
      <tp t="s">
        <v>N/A</v>
        <stp/>
        <stp>VOLUME</stp>
        <stp>.SPX260403C6770</stp>
        <tr r="Q100" s="2"/>
      </tp>
      <tp t="s">
        <v>N/A</v>
        <stp/>
        <stp>VOLUME</stp>
        <stp>.SPX261002C6760</stp>
        <tr r="W102" s="2"/>
      </tp>
      <tp t="s">
        <v>N/A</v>
        <stp/>
        <stp>VOLUME</stp>
        <stp>.SPX260403P6775</stp>
        <tr r="Q99" s="2"/>
      </tp>
      <tp t="s">
        <v>N/A</v>
        <stp/>
        <stp>VOLUME</stp>
        <stp>.SPX261002P6765</stp>
        <tr r="W101" s="2"/>
      </tp>
      <tp t="s">
        <v>N/A</v>
        <stp/>
        <stp>VOLUME</stp>
        <stp>.SPX261002P6760</stp>
        <tr r="W102" s="2"/>
      </tp>
      <tp t="s">
        <v>N/A</v>
        <stp/>
        <stp>VOLUME</stp>
        <stp>.SPX260403P6770</stp>
        <tr r="Q100" s="2"/>
      </tp>
      <tp t="s">
        <v>N/A</v>
        <stp/>
        <stp>VOLUME</stp>
        <stp>.SPX261002C6755</stp>
        <tr r="W103" s="2"/>
      </tp>
      <tp t="s">
        <v>N/A</v>
        <stp/>
        <stp>VOLUME</stp>
        <stp>.SPX260403C6745</stp>
        <tr r="Q105" s="2"/>
      </tp>
      <tp t="s">
        <v>N/A</v>
        <stp/>
        <stp>VOLUME</stp>
        <stp>.SPX260403C6740</stp>
        <tr r="Q106" s="2"/>
      </tp>
      <tp t="s">
        <v>N/A</v>
        <stp/>
        <stp>VOLUME</stp>
        <stp>.SPX261002C6750</stp>
        <tr r="W104" s="2"/>
      </tp>
      <tp t="s">
        <v>N/A</v>
        <stp/>
        <stp>VOLUME</stp>
        <stp>.SPX260403P6745</stp>
        <tr r="Q105" s="2"/>
      </tp>
      <tp t="s">
        <v>N/A</v>
        <stp/>
        <stp>VOLUME</stp>
        <stp>.SPX261002P6755</stp>
        <tr r="W103" s="2"/>
      </tp>
      <tp t="s">
        <v>N/A</v>
        <stp/>
        <stp>VOLUME</stp>
        <stp>.SPX261002P6750</stp>
        <tr r="W104" s="2"/>
      </tp>
      <tp t="s">
        <v>N/A</v>
        <stp/>
        <stp>VOLUME</stp>
        <stp>.SPX260403P6740</stp>
        <tr r="Q106" s="2"/>
      </tp>
      <tp t="s">
        <v>N/A</v>
        <stp/>
        <stp>VOLUME</stp>
        <stp>.SPX261002C6745</stp>
        <tr r="W105" s="2"/>
      </tp>
      <tp t="s">
        <v>N/A</v>
        <stp/>
        <stp>VOLUME</stp>
        <stp>.SPX260403C6755</stp>
        <tr r="Q103" s="2"/>
      </tp>
      <tp t="s">
        <v>N/A</v>
        <stp/>
        <stp>VOLUME</stp>
        <stp>.SPX260403C6750</stp>
        <tr r="Q104" s="2"/>
      </tp>
      <tp t="s">
        <v>N/A</v>
        <stp/>
        <stp>VOLUME</stp>
        <stp>.SPX261002C6740</stp>
        <tr r="W106" s="2"/>
      </tp>
      <tp t="s">
        <v>N/A</v>
        <stp/>
        <stp>VOLUME</stp>
        <stp>.SPX260403P6755</stp>
        <tr r="Q103" s="2"/>
      </tp>
      <tp t="s">
        <v>N/A</v>
        <stp/>
        <stp>VOLUME</stp>
        <stp>.SPX261002P6745</stp>
        <tr r="W105" s="2"/>
      </tp>
      <tp t="s">
        <v>N/A</v>
        <stp/>
        <stp>VOLUME</stp>
        <stp>.SPX261002P6740</stp>
        <tr r="W106" s="2"/>
      </tp>
      <tp t="s">
        <v>N/A</v>
        <stp/>
        <stp>VOLUME</stp>
        <stp>.SPX260403P6750</stp>
        <tr r="Q104" s="2"/>
      </tp>
      <tp t="s">
        <v>N/A</v>
        <stp/>
        <stp>VOLUME</stp>
        <stp>.SPX261002C6735</stp>
        <tr r="W107" s="2"/>
      </tp>
      <tp t="s">
        <v>N/A</v>
        <stp/>
        <stp>VOLUME</stp>
        <stp>.SPX260403C6725</stp>
        <tr r="Q109" s="2"/>
      </tp>
      <tp t="s">
        <v>N/A</v>
        <stp/>
        <stp>VOLUME</stp>
        <stp>.SPX260403C6720</stp>
        <tr r="Q110" s="2"/>
      </tp>
      <tp t="s">
        <v>N/A</v>
        <stp/>
        <stp>VOLUME</stp>
        <stp>.SPX261002C6730</stp>
        <tr r="W108" s="2"/>
      </tp>
      <tp t="s">
        <v>N/A</v>
        <stp/>
        <stp>VOLUME</stp>
        <stp>.SPX260403P6725</stp>
        <tr r="Q109" s="2"/>
      </tp>
      <tp t="s">
        <v>N/A</v>
        <stp/>
        <stp>VOLUME</stp>
        <stp>.SPX261002P6735</stp>
        <tr r="W107" s="2"/>
      </tp>
      <tp t="s">
        <v>N/A</v>
        <stp/>
        <stp>VOLUME</stp>
        <stp>.SPX261002P6730</stp>
        <tr r="W108" s="2"/>
      </tp>
      <tp t="s">
        <v>N/A</v>
        <stp/>
        <stp>VOLUME</stp>
        <stp>.SPX260403P6720</stp>
        <tr r="Q110" s="2"/>
      </tp>
      <tp t="s">
        <v>N/A</v>
        <stp/>
        <stp>VOLUME</stp>
        <stp>.SPX261002C6725</stp>
        <tr r="W109" s="2"/>
      </tp>
      <tp t="s">
        <v>N/A</v>
        <stp/>
        <stp>VOLUME</stp>
        <stp>.SPX260403C6735</stp>
        <tr r="Q107" s="2"/>
      </tp>
      <tp t="s">
        <v>N/A</v>
        <stp/>
        <stp>VOLUME</stp>
        <stp>.SPX260403C6730</stp>
        <tr r="Q108" s="2"/>
      </tp>
      <tp t="s">
        <v>N/A</v>
        <stp/>
        <stp>VOLUME</stp>
        <stp>.SPX261002C6720</stp>
        <tr r="W110" s="2"/>
      </tp>
      <tp t="s">
        <v>N/A</v>
        <stp/>
        <stp>VOLUME</stp>
        <stp>.SPX260403P6735</stp>
        <tr r="Q107" s="2"/>
      </tp>
      <tp t="s">
        <v>N/A</v>
        <stp/>
        <stp>VOLUME</stp>
        <stp>.SPX261002P6725</stp>
        <tr r="W109" s="2"/>
      </tp>
      <tp t="s">
        <v>N/A</v>
        <stp/>
        <stp>VOLUME</stp>
        <stp>.SPX261002P6720</stp>
        <tr r="W110" s="2"/>
      </tp>
      <tp t="s">
        <v>N/A</v>
        <stp/>
        <stp>VOLUME</stp>
        <stp>.SPX260403P6730</stp>
        <tr r="Q108" s="2"/>
      </tp>
      <tp t="s">
        <v>N/A</v>
        <stp/>
        <stp>VOLUME</stp>
        <stp>.SPX261002C6715</stp>
        <tr r="W111" s="2"/>
      </tp>
      <tp t="s">
        <v>N/A</v>
        <stp/>
        <stp>VOLUME</stp>
        <stp>.SPX260403C6705</stp>
        <tr r="Q113" s="2"/>
      </tp>
      <tp t="s">
        <v>N/A</v>
        <stp/>
        <stp>VOLUME</stp>
        <stp>.SPX260403C6700</stp>
        <tr r="Q114" s="2"/>
      </tp>
      <tp t="s">
        <v>N/A</v>
        <stp/>
        <stp>VOLUME</stp>
        <stp>.SPX261002C6710</stp>
        <tr r="W112" s="2"/>
      </tp>
      <tp t="s">
        <v>N/A</v>
        <stp/>
        <stp>VOLUME</stp>
        <stp>.SPX260403P6705</stp>
        <tr r="Q113" s="2"/>
      </tp>
      <tp t="s">
        <v>N/A</v>
        <stp/>
        <stp>VOLUME</stp>
        <stp>.SPX261002P6715</stp>
        <tr r="W111" s="2"/>
      </tp>
      <tp t="s">
        <v>N/A</v>
        <stp/>
        <stp>VOLUME</stp>
        <stp>.SPX261002P6710</stp>
        <tr r="W112" s="2"/>
      </tp>
      <tp t="s">
        <v>N/A</v>
        <stp/>
        <stp>VOLUME</stp>
        <stp>.SPX260403P6700</stp>
        <tr r="Q114" s="2"/>
      </tp>
      <tp t="s">
        <v>N/A</v>
        <stp/>
        <stp>VOLUME</stp>
        <stp>.SPX261002C6705</stp>
        <tr r="W113" s="2"/>
      </tp>
      <tp t="s">
        <v>N/A</v>
        <stp/>
        <stp>VOLUME</stp>
        <stp>.SPX260403C6715</stp>
        <tr r="Q111" s="2"/>
      </tp>
      <tp t="s">
        <v>N/A</v>
        <stp/>
        <stp>VOLUME</stp>
        <stp>.SPX260403C6710</stp>
        <tr r="Q112" s="2"/>
      </tp>
      <tp t="s">
        <v>N/A</v>
        <stp/>
        <stp>VOLUME</stp>
        <stp>.SPX261002C6700</stp>
        <tr r="W114" s="2"/>
      </tp>
      <tp t="s">
        <v>N/A</v>
        <stp/>
        <stp>VOLUME</stp>
        <stp>.SPX260403P6715</stp>
        <tr r="Q111" s="2"/>
      </tp>
      <tp t="s">
        <v>N/A</v>
        <stp/>
        <stp>VOLUME</stp>
        <stp>.SPX261002P6705</stp>
        <tr r="W113" s="2"/>
      </tp>
      <tp t="s">
        <v>N/A</v>
        <stp/>
        <stp>VOLUME</stp>
        <stp>.SPX261002P6700</stp>
        <tr r="W114" s="2"/>
      </tp>
      <tp t="s">
        <v>N/A</v>
        <stp/>
        <stp>VOLUME</stp>
        <stp>.SPX260403P6710</stp>
        <tr r="Q112" s="2"/>
      </tp>
      <tp t="s">
        <v>N/A</v>
        <stp/>
        <stp>VOLUME</stp>
        <stp>.SPX261002C6795</stp>
        <tr r="W95" s="2"/>
      </tp>
      <tp t="s">
        <v>N/A</v>
        <stp/>
        <stp>VOLUME</stp>
        <stp>.SPX260403C6785</stp>
        <tr r="Q97" s="2"/>
      </tp>
      <tp t="s">
        <v>N/A</v>
        <stp/>
        <stp>VOLUME</stp>
        <stp>.SPX260403C6780</stp>
        <tr r="Q98" s="2"/>
      </tp>
      <tp t="s">
        <v>N/A</v>
        <stp/>
        <stp>VOLUME</stp>
        <stp>.SPX261002C6790</stp>
        <tr r="W96" s="2"/>
      </tp>
      <tp t="s">
        <v>N/A</v>
        <stp/>
        <stp>VOLUME</stp>
        <stp>.SPX260403P6785</stp>
        <tr r="Q97" s="2"/>
      </tp>
      <tp t="s">
        <v>N/A</v>
        <stp/>
        <stp>VOLUME</stp>
        <stp>.SPX261002P6795</stp>
        <tr r="W95" s="2"/>
      </tp>
      <tp t="s">
        <v>N/A</v>
        <stp/>
        <stp>VOLUME</stp>
        <stp>.SPX261002P6790</stp>
        <tr r="W96" s="2"/>
      </tp>
      <tp t="s">
        <v>N/A</v>
        <stp/>
        <stp>VOLUME</stp>
        <stp>.SPX260403P6780</stp>
        <tr r="Q98" s="2"/>
      </tp>
      <tp t="s">
        <v>N/A</v>
        <stp/>
        <stp>VOLUME</stp>
        <stp>.SPX261002C6785</stp>
        <tr r="W97" s="2"/>
      </tp>
      <tp t="s">
        <v>N/A</v>
        <stp/>
        <stp>VOLUME</stp>
        <stp>.SPX260403C6795</stp>
        <tr r="Q95" s="2"/>
      </tp>
      <tp t="s">
        <v>N/A</v>
        <stp/>
        <stp>VOLUME</stp>
        <stp>.SPX260403C6790</stp>
        <tr r="Q96" s="2"/>
      </tp>
      <tp t="s">
        <v>N/A</v>
        <stp/>
        <stp>VOLUME</stp>
        <stp>.SPX261002C6780</stp>
        <tr r="W98" s="2"/>
      </tp>
      <tp t="s">
        <v>N/A</v>
        <stp/>
        <stp>VOLUME</stp>
        <stp>.SPX260403P6795</stp>
        <tr r="Q95" s="2"/>
      </tp>
      <tp t="s">
        <v>N/A</v>
        <stp/>
        <stp>VOLUME</stp>
        <stp>.SPX261002P6785</stp>
        <tr r="W97" s="2"/>
      </tp>
      <tp t="s">
        <v>N/A</v>
        <stp/>
        <stp>VOLUME</stp>
        <stp>.SPX261002P6780</stp>
        <tr r="W98" s="2"/>
      </tp>
      <tp t="s">
        <v>N/A</v>
        <stp/>
        <stp>VOLUME</stp>
        <stp>.SPX260403P6790</stp>
        <tr r="Q96" s="2"/>
      </tp>
      <tp t="s">
        <v>N/A</v>
        <stp/>
        <stp>VOLUME</stp>
        <stp>.SPX261002C6675</stp>
        <tr r="W119" s="2"/>
      </tp>
      <tp t="s">
        <v>N/A</v>
        <stp/>
        <stp>VOLUME</stp>
        <stp>.SPX260403C6665</stp>
        <tr r="Q121" s="2"/>
      </tp>
      <tp t="s">
        <v>N/A</v>
        <stp/>
        <stp>VOLUME</stp>
        <stp>.SPX260403C6660</stp>
        <tr r="Q122" s="2"/>
      </tp>
      <tp t="s">
        <v>N/A</v>
        <stp/>
        <stp>VOLUME</stp>
        <stp>.SPX261002C6670</stp>
        <tr r="W120" s="2"/>
      </tp>
      <tp t="s">
        <v>N/A</v>
        <stp/>
        <stp>VOLUME</stp>
        <stp>.SPX260403P6665</stp>
        <tr r="Q121" s="2"/>
      </tp>
      <tp t="s">
        <v>N/A</v>
        <stp/>
        <stp>VOLUME</stp>
        <stp>.SPX261002P6675</stp>
        <tr r="W119" s="2"/>
      </tp>
      <tp t="s">
        <v>N/A</v>
        <stp/>
        <stp>VOLUME</stp>
        <stp>.SPX261002P6670</stp>
        <tr r="W120" s="2"/>
      </tp>
      <tp t="s">
        <v>N/A</v>
        <stp/>
        <stp>VOLUME</stp>
        <stp>.SPX260403P6660</stp>
        <tr r="Q122" s="2"/>
      </tp>
      <tp t="s">
        <v>N/A</v>
        <stp/>
        <stp>VOLUME</stp>
        <stp>.SPX261002C6665</stp>
        <tr r="W121" s="2"/>
      </tp>
      <tp t="s">
        <v>N/A</v>
        <stp/>
        <stp>VOLUME</stp>
        <stp>.SPX260403C6675</stp>
        <tr r="Q119" s="2"/>
      </tp>
      <tp t="s">
        <v>N/A</v>
        <stp/>
        <stp>VOLUME</stp>
        <stp>.SPX260403C6670</stp>
        <tr r="Q120" s="2"/>
      </tp>
      <tp t="s">
        <v>N/A</v>
        <stp/>
        <stp>VOLUME</stp>
        <stp>.SPX261002C6660</stp>
        <tr r="W122" s="2"/>
      </tp>
      <tp t="s">
        <v>N/A</v>
        <stp/>
        <stp>VOLUME</stp>
        <stp>.SPX260403P6675</stp>
        <tr r="Q119" s="2"/>
      </tp>
      <tp t="s">
        <v>N/A</v>
        <stp/>
        <stp>VOLUME</stp>
        <stp>.SPX261002P6665</stp>
        <tr r="W121" s="2"/>
      </tp>
      <tp t="s">
        <v>N/A</v>
        <stp/>
        <stp>VOLUME</stp>
        <stp>.SPX261002P6660</stp>
        <tr r="W122" s="2"/>
      </tp>
      <tp t="s">
        <v>N/A</v>
        <stp/>
        <stp>VOLUME</stp>
        <stp>.SPX260403P6670</stp>
        <tr r="Q120" s="2"/>
      </tp>
      <tp t="s">
        <v>N/A</v>
        <stp/>
        <stp>VOLUME</stp>
        <stp>.SPX261002C6655</stp>
        <tr r="W123" s="2"/>
      </tp>
      <tp t="s">
        <v>N/A</v>
        <stp/>
        <stp>VOLUME</stp>
        <stp>.SPX260403C6645</stp>
        <tr r="Q125" s="2"/>
      </tp>
      <tp t="s">
        <v>N/A</v>
        <stp/>
        <stp>VOLUME</stp>
        <stp>.SPX260403C6640</stp>
        <tr r="Q126" s="2"/>
      </tp>
      <tp t="s">
        <v>N/A</v>
        <stp/>
        <stp>VOLUME</stp>
        <stp>.SPX261002C6650</stp>
        <tr r="W124" s="2"/>
      </tp>
      <tp t="s">
        <v>N/A</v>
        <stp/>
        <stp>VOLUME</stp>
        <stp>.SPX260403P6645</stp>
        <tr r="Q125" s="2"/>
      </tp>
      <tp t="s">
        <v>N/A</v>
        <stp/>
        <stp>VOLUME</stp>
        <stp>.SPX261002P6655</stp>
        <tr r="W123" s="2"/>
      </tp>
      <tp t="s">
        <v>N/A</v>
        <stp/>
        <stp>VOLUME</stp>
        <stp>.SPX261002P6650</stp>
        <tr r="W124" s="2"/>
      </tp>
      <tp t="s">
        <v>N/A</v>
        <stp/>
        <stp>VOLUME</stp>
        <stp>.SPX260403P6640</stp>
        <tr r="Q126" s="2"/>
      </tp>
      <tp t="s">
        <v>N/A</v>
        <stp/>
        <stp>VOLUME</stp>
        <stp>.SPX261002C6645</stp>
        <tr r="W125" s="2"/>
      </tp>
      <tp t="s">
        <v>N/A</v>
        <stp/>
        <stp>VOLUME</stp>
        <stp>.SPX260403C6655</stp>
        <tr r="Q123" s="2"/>
      </tp>
      <tp t="s">
        <v>N/A</v>
        <stp/>
        <stp>VOLUME</stp>
        <stp>.SPX260403C6650</stp>
        <tr r="Q124" s="2"/>
      </tp>
      <tp t="s">
        <v>N/A</v>
        <stp/>
        <stp>VOLUME</stp>
        <stp>.SPX261002C6640</stp>
        <tr r="W126" s="2"/>
      </tp>
      <tp t="s">
        <v>N/A</v>
        <stp/>
        <stp>VOLUME</stp>
        <stp>.SPX260403P6655</stp>
        <tr r="Q123" s="2"/>
      </tp>
      <tp t="s">
        <v>N/A</v>
        <stp/>
        <stp>VOLUME</stp>
        <stp>.SPX261002P6645</stp>
        <tr r="W125" s="2"/>
      </tp>
      <tp t="s">
        <v>N/A</v>
        <stp/>
        <stp>VOLUME</stp>
        <stp>.SPX261002P6640</stp>
        <tr r="W126" s="2"/>
      </tp>
      <tp t="s">
        <v>N/A</v>
        <stp/>
        <stp>VOLUME</stp>
        <stp>.SPX260403P6650</stp>
        <tr r="Q124" s="2"/>
      </tp>
      <tp t="s">
        <v>N/A</v>
        <stp/>
        <stp>VOLUME</stp>
        <stp>.SPX261002C6635</stp>
        <tr r="W127" s="2"/>
      </tp>
      <tp t="s">
        <v>N/A</v>
        <stp/>
        <stp>VOLUME</stp>
        <stp>.SPX260403C6625</stp>
        <tr r="Q129" s="2"/>
      </tp>
      <tp t="s">
        <v>N/A</v>
        <stp/>
        <stp>VOLUME</stp>
        <stp>.SPX260403C6620</stp>
        <tr r="Q130" s="2"/>
      </tp>
      <tp t="s">
        <v>N/A</v>
        <stp/>
        <stp>VOLUME</stp>
        <stp>.SPX261002C6630</stp>
        <tr r="W128" s="2"/>
      </tp>
      <tp t="s">
        <v>N/A</v>
        <stp/>
        <stp>VOLUME</stp>
        <stp>.SPX260403P6625</stp>
        <tr r="Q129" s="2"/>
      </tp>
      <tp t="s">
        <v>N/A</v>
        <stp/>
        <stp>VOLUME</stp>
        <stp>.SPX261002P6635</stp>
        <tr r="W127" s="2"/>
      </tp>
      <tp t="s">
        <v>N/A</v>
        <stp/>
        <stp>VOLUME</stp>
        <stp>.SPX261002P6630</stp>
        <tr r="W128" s="2"/>
      </tp>
      <tp t="s">
        <v>N/A</v>
        <stp/>
        <stp>VOLUME</stp>
        <stp>.SPX260403P6620</stp>
        <tr r="Q130" s="2"/>
      </tp>
      <tp t="s">
        <v>N/A</v>
        <stp/>
        <stp>VOLUME</stp>
        <stp>.SPX261002C6625</stp>
        <tr r="W129" s="2"/>
      </tp>
      <tp t="s">
        <v>N/A</v>
        <stp/>
        <stp>VOLUME</stp>
        <stp>.SPX260403C6635</stp>
        <tr r="Q127" s="2"/>
      </tp>
      <tp t="s">
        <v>N/A</v>
        <stp/>
        <stp>VOLUME</stp>
        <stp>.SPX260403C6630</stp>
        <tr r="Q128" s="2"/>
      </tp>
      <tp t="s">
        <v>N/A</v>
        <stp/>
        <stp>VOLUME</stp>
        <stp>.SPX261002C6620</stp>
        <tr r="W130" s="2"/>
      </tp>
      <tp t="s">
        <v>N/A</v>
        <stp/>
        <stp>VOLUME</stp>
        <stp>.SPX260403P6635</stp>
        <tr r="Q127" s="2"/>
      </tp>
      <tp t="s">
        <v>N/A</v>
        <stp/>
        <stp>VOLUME</stp>
        <stp>.SPX261002P6625</stp>
        <tr r="W129" s="2"/>
      </tp>
      <tp t="s">
        <v>N/A</v>
        <stp/>
        <stp>VOLUME</stp>
        <stp>.SPX261002P6620</stp>
        <tr r="W130" s="2"/>
      </tp>
      <tp t="s">
        <v>N/A</v>
        <stp/>
        <stp>VOLUME</stp>
        <stp>.SPX260403P6630</stp>
        <tr r="Q128" s="2"/>
      </tp>
      <tp t="s">
        <v>N/A</v>
        <stp/>
        <stp>VOLUME</stp>
        <stp>.SPX261002C6615</stp>
        <tr r="W131" s="2"/>
      </tp>
      <tp t="s">
        <v>N/A</v>
        <stp/>
        <stp>VOLUME</stp>
        <stp>.SPX261002P6615</stp>
        <tr r="W131" s="2"/>
      </tp>
      <tp t="s">
        <v>N/A</v>
        <stp/>
        <stp>VOLUME</stp>
        <stp>.SPX260403C6615</stp>
        <tr r="Q131" s="2"/>
      </tp>
      <tp t="s">
        <v>N/A</v>
        <stp/>
        <stp>VOLUME</stp>
        <stp>.SPX260403P6615</stp>
        <tr r="Q131" s="2"/>
      </tp>
      <tp t="s">
        <v>N/A</v>
        <stp/>
        <stp>VOLUME</stp>
        <stp>.SPX261002C6695</stp>
        <tr r="W115" s="2"/>
      </tp>
      <tp t="s">
        <v>N/A</v>
        <stp/>
        <stp>VOLUME</stp>
        <stp>.SPX260403C6685</stp>
        <tr r="Q117" s="2"/>
      </tp>
      <tp t="s">
        <v>N/A</v>
        <stp/>
        <stp>VOLUME</stp>
        <stp>.SPX260403C6680</stp>
        <tr r="Q118" s="2"/>
      </tp>
      <tp t="s">
        <v>N/A</v>
        <stp/>
        <stp>VOLUME</stp>
        <stp>.SPX261002C6690</stp>
        <tr r="W116" s="2"/>
      </tp>
      <tp t="s">
        <v>N/A</v>
        <stp/>
        <stp>VOLUME</stp>
        <stp>.SPX260403P6685</stp>
        <tr r="Q117" s="2"/>
      </tp>
      <tp t="s">
        <v>N/A</v>
        <stp/>
        <stp>VOLUME</stp>
        <stp>.SPX261002P6695</stp>
        <tr r="W115" s="2"/>
      </tp>
      <tp t="s">
        <v>N/A</v>
        <stp/>
        <stp>VOLUME</stp>
        <stp>.SPX261002P6690</stp>
        <tr r="W116" s="2"/>
      </tp>
      <tp t="s">
        <v>N/A</v>
        <stp/>
        <stp>VOLUME</stp>
        <stp>.SPX260403P6680</stp>
        <tr r="Q118" s="2"/>
      </tp>
      <tp t="s">
        <v>N/A</v>
        <stp/>
        <stp>VOLUME</stp>
        <stp>.SPX261002C6685</stp>
        <tr r="W117" s="2"/>
      </tp>
      <tp t="s">
        <v>N/A</v>
        <stp/>
        <stp>VOLUME</stp>
        <stp>.SPX260403C6695</stp>
        <tr r="Q115" s="2"/>
      </tp>
      <tp t="s">
        <v>N/A</v>
        <stp/>
        <stp>VOLUME</stp>
        <stp>.SPX260403C6690</stp>
        <tr r="Q116" s="2"/>
      </tp>
      <tp t="s">
        <v>N/A</v>
        <stp/>
        <stp>VOLUME</stp>
        <stp>.SPX261002C6680</stp>
        <tr r="W118" s="2"/>
      </tp>
      <tp t="s">
        <v>N/A</v>
        <stp/>
        <stp>VOLUME</stp>
        <stp>.SPX260403P6695</stp>
        <tr r="Q115" s="2"/>
      </tp>
      <tp t="s">
        <v>N/A</v>
        <stp/>
        <stp>VOLUME</stp>
        <stp>.SPX261002P6685</stp>
        <tr r="W117" s="2"/>
      </tp>
      <tp t="s">
        <v>N/A</v>
        <stp/>
        <stp>VOLUME</stp>
        <stp>.SPX261002P6680</stp>
        <tr r="W118" s="2"/>
      </tp>
      <tp t="s">
        <v>N/A</v>
        <stp/>
        <stp>VOLUME</stp>
        <stp>.SPX260403P6690</stp>
        <tr r="Q116" s="2"/>
      </tp>
      <tp>
        <v>90</v>
        <stp/>
        <stp>OPEN_INT</stp>
        <stp>.NDX251121P24800</stp>
        <tr r="M169" s="1"/>
        <tr r="M169" s="1"/>
      </tp>
      <tp>
        <v>6</v>
        <stp/>
        <stp>OPEN_INT</stp>
        <stp>.NDX251121P24825</stp>
        <tr r="M168" s="1"/>
        <tr r="M168" s="1"/>
      </tp>
      <tp>
        <v>10</v>
        <stp/>
        <stp>OPEN_INT</stp>
        <stp>.NDX251121P24850</stp>
        <tr r="M167" s="1"/>
        <tr r="M167" s="1"/>
      </tp>
      <tp>
        <v>53</v>
        <stp/>
        <stp>OPEN_INT</stp>
        <stp>.NDX251121P24875</stp>
        <tr r="M166" s="1"/>
        <tr r="M166" s="1"/>
      </tp>
      <tp>
        <v>4</v>
        <stp/>
        <stp>OPEN_INT</stp>
        <stp>.NDX251121C24825</stp>
        <tr r="L168" s="1"/>
        <tr r="L168" s="1"/>
      </tp>
      <tp>
        <v>91</v>
        <stp/>
        <stp>OPEN_INT</stp>
        <stp>.NDX251121C24800</stp>
        <tr r="L169" s="1"/>
        <tr r="L169" s="1"/>
      </tp>
      <tp>
        <v>59</v>
        <stp/>
        <stp>OPEN_INT</stp>
        <stp>.NDX251121C24875</stp>
        <tr r="L166" s="1"/>
        <tr r="L166" s="1"/>
      </tp>
      <tp>
        <v>17</v>
        <stp/>
        <stp>OPEN_INT</stp>
        <stp>.NDX251121C24850</stp>
        <tr r="L167" s="1"/>
        <tr r="L167" s="1"/>
      </tp>
      <tp>
        <v>3120</v>
        <stp/>
        <stp>OPEN_INT</stp>
        <stp>.QQQ251121P597</stp>
        <tr r="M77" s="1"/>
        <tr r="M77" s="1"/>
      </tp>
      <tp>
        <v>86</v>
        <stp/>
        <stp>OPEN_INT</stp>
        <stp>.QQQ251121C597</stp>
        <tr r="L77" s="1"/>
        <tr r="L77" s="1"/>
      </tp>
      <tp>
        <v>34680</v>
        <stp/>
        <stp>OPEN_INT</stp>
        <stp>.QQQ251121P596</stp>
        <tr r="M78" s="1"/>
        <tr r="M78" s="1"/>
      </tp>
      <tp>
        <v>1137</v>
        <stp/>
        <stp>OPEN_INT</stp>
        <stp>.QQQ251121C596</stp>
        <tr r="L78" s="1"/>
        <tr r="L78" s="1"/>
      </tp>
      <tp>
        <v>16602</v>
        <stp/>
        <stp>OPEN_INT</stp>
        <stp>.QQQ251121P595</stp>
        <tr r="M79" s="1"/>
        <tr r="M79" s="1"/>
      </tp>
      <tp>
        <v>6349</v>
        <stp/>
        <stp>OPEN_INT</stp>
        <stp>.QQQ251121C595</stp>
        <tr r="L79" s="1"/>
        <tr r="L79" s="1"/>
      </tp>
      <tp>
        <v>833</v>
        <stp/>
        <stp>OPEN_INT</stp>
        <stp>.QQQ251121P599</stp>
        <tr r="M75" s="1"/>
        <tr r="M75" s="1"/>
      </tp>
      <tp>
        <v>674</v>
        <stp/>
        <stp>OPEN_INT</stp>
        <stp>.QQQ251121C599</stp>
        <tr r="L75" s="1"/>
        <tr r="L75" s="1"/>
      </tp>
      <tp>
        <v>4494</v>
        <stp/>
        <stp>OPEN_INT</stp>
        <stp>.QQQ251121P598</stp>
        <tr r="M76" s="1"/>
        <tr r="M76" s="1"/>
      </tp>
      <tp>
        <v>2642</v>
        <stp/>
        <stp>OPEN_INT</stp>
        <stp>.QQQ251121C598</stp>
        <tr r="L76" s="1"/>
        <tr r="L76" s="1"/>
      </tp>
      <tp>
        <v>578</v>
        <stp/>
        <stp>OPEN_INT</stp>
        <stp>.QQQ251110P596</stp>
        <tr r="I78" s="1"/>
        <tr r="I78" s="1"/>
      </tp>
      <tp>
        <v>54</v>
        <stp/>
        <stp>OPEN_INT</stp>
        <stp>.QQQ251110C596</stp>
        <tr r="H78" s="1"/>
        <tr r="H78" s="1"/>
      </tp>
      <tp>
        <v>696</v>
        <stp/>
        <stp>OPEN_INT</stp>
        <stp>.QQQ251110P597</stp>
        <tr r="I77" s="1"/>
        <tr r="I77" s="1"/>
      </tp>
      <tp>
        <v>58</v>
        <stp/>
        <stp>OPEN_INT</stp>
        <stp>.QQQ251110C597</stp>
        <tr r="H77" s="1"/>
        <tr r="H77" s="1"/>
      </tp>
      <tp>
        <v>3903</v>
        <stp/>
        <stp>OPEN_INT</stp>
        <stp>.QQQ251110P595</stp>
        <tr r="I79" s="1"/>
        <tr r="I79" s="1"/>
      </tp>
      <tp>
        <v>84</v>
        <stp/>
        <stp>OPEN_INT</stp>
        <stp>.QQQ251110C595</stp>
        <tr r="H79" s="1"/>
        <tr r="H79" s="1"/>
      </tp>
      <tp>
        <v>2812</v>
        <stp/>
        <stp>OPEN_INT</stp>
        <stp>.QQQ251114P596</stp>
        <tr r="K78" s="1"/>
        <tr r="K78" s="1"/>
      </tp>
      <tp>
        <v>362</v>
        <stp/>
        <stp>OPEN_INT</stp>
        <stp>.QQQ251114C596</stp>
        <tr r="J78" s="1"/>
        <tr r="J78" s="1"/>
      </tp>
      <tp>
        <v>1177</v>
        <stp/>
        <stp>OPEN_INT</stp>
        <stp>.QQQ251114P597</stp>
        <tr r="K77" s="1"/>
        <tr r="K77" s="1"/>
      </tp>
      <tp>
        <v>157</v>
        <stp/>
        <stp>OPEN_INT</stp>
        <stp>.QQQ251114C597</stp>
        <tr r="J77" s="1"/>
        <tr r="J77" s="1"/>
      </tp>
      <tp>
        <v>7422</v>
        <stp/>
        <stp>OPEN_INT</stp>
        <stp>.QQQ251114P595</stp>
        <tr r="K79" s="1"/>
        <tr r="K79" s="1"/>
      </tp>
      <tp>
        <v>288</v>
        <stp/>
        <stp>OPEN_INT</stp>
        <stp>.QQQ251114C595</stp>
        <tr r="J79" s="1"/>
        <tr r="J79" s="1"/>
      </tp>
      <tp>
        <v>641</v>
        <stp/>
        <stp>OPEN_INT</stp>
        <stp>.QQQ251114P598</stp>
        <tr r="K76" s="1"/>
        <tr r="K76" s="1"/>
      </tp>
      <tp>
        <v>242</v>
        <stp/>
        <stp>OPEN_INT</stp>
        <stp>.QQQ251114C598</stp>
        <tr r="J76" s="1"/>
        <tr r="J76" s="1"/>
      </tp>
      <tp>
        <v>2085</v>
        <stp/>
        <stp>OPEN_INT</stp>
        <stp>.QQQ251114P599</stp>
        <tr r="K75" s="1"/>
        <tr r="K75" s="1"/>
      </tp>
      <tp>
        <v>254</v>
        <stp/>
        <stp>OPEN_INT</stp>
        <stp>.QQQ251114C599</stp>
        <tr r="J75" s="1"/>
        <tr r="J75" s="1"/>
      </tp>
      <tp>
        <v>842</v>
        <stp/>
        <stp>OPEN_INT</stp>
        <stp>.QQQ251110P598</stp>
        <tr r="I76" s="1"/>
        <tr r="I76" s="1"/>
      </tp>
      <tp>
        <v>45</v>
        <stp/>
        <stp>OPEN_INT</stp>
        <stp>.QQQ251110C598</stp>
        <tr r="H76" s="1"/>
        <tr r="H76" s="1"/>
      </tp>
      <tp>
        <v>374</v>
        <stp/>
        <stp>OPEN_INT</stp>
        <stp>.QQQ251110P599</stp>
        <tr r="I75" s="1"/>
        <tr r="I75" s="1"/>
      </tp>
      <tp>
        <v>35</v>
        <stp/>
        <stp>OPEN_INT</stp>
        <stp>.QQQ251110C599</stp>
        <tr r="H75" s="1"/>
        <tr r="H75" s="1"/>
      </tp>
      <tp>
        <v>33</v>
        <stp/>
        <stp>OPEN_INT</stp>
        <stp>.NDX251121P24900</stp>
        <tr r="M165" s="1"/>
        <tr r="M165" s="1"/>
      </tp>
      <tp>
        <v>3</v>
        <stp/>
        <stp>OPEN_INT</stp>
        <stp>.NDX251121P24925</stp>
        <tr r="M164" s="1"/>
        <tr r="M164" s="1"/>
      </tp>
      <tp>
        <v>53</v>
        <stp/>
        <stp>OPEN_INT</stp>
        <stp>.NDX251121P24950</stp>
        <tr r="M163" s="1"/>
        <tr r="M163" s="1"/>
      </tp>
      <tp>
        <v>11</v>
        <stp/>
        <stp>OPEN_INT</stp>
        <stp>.NDX251121P24975</stp>
        <tr r="M162" s="1"/>
        <tr r="M162" s="1"/>
      </tp>
      <tp>
        <v>5</v>
        <stp/>
        <stp>OPEN_INT</stp>
        <stp>.NDX251121C24925</stp>
        <tr r="L164" s="1"/>
        <tr r="L164" s="1"/>
      </tp>
      <tp>
        <v>29</v>
        <stp/>
        <stp>OPEN_INT</stp>
        <stp>.NDX251121C24900</stp>
        <tr r="L165" s="1"/>
        <tr r="L165" s="1"/>
      </tp>
      <tp>
        <v>5</v>
        <stp/>
        <stp>OPEN_INT</stp>
        <stp>.NDX251121C24975</stp>
        <tr r="L162" s="1"/>
        <tr r="L162" s="1"/>
      </tp>
      <tp>
        <v>35</v>
        <stp/>
        <stp>OPEN_INT</stp>
        <stp>.NDX251121C24950</stp>
        <tr r="L163" s="1"/>
        <tr r="L163" s="1"/>
      </tp>
      <tp>
        <v>1449</v>
        <stp/>
        <stp>OPEN_INT</stp>
        <stp>.QQQ251121P607</stp>
        <tr r="M67" s="1"/>
        <tr r="M67" s="1"/>
      </tp>
      <tp>
        <v>169</v>
        <stp/>
        <stp>OPEN_INT</stp>
        <stp>.QQQ251121C607</stp>
        <tr r="L67" s="1"/>
        <tr r="L67" s="1"/>
      </tp>
      <tp>
        <v>2647</v>
        <stp/>
        <stp>OPEN_INT</stp>
        <stp>.QQQ251121P606</stp>
        <tr r="M68" s="1"/>
        <tr r="M68" s="1"/>
      </tp>
      <tp>
        <v>4613</v>
        <stp/>
        <stp>OPEN_INT</stp>
        <stp>.QQQ251121C606</stp>
        <tr r="L68" s="1"/>
        <tr r="L68" s="1"/>
      </tp>
      <tp>
        <v>16560</v>
        <stp/>
        <stp>OPEN_INT</stp>
        <stp>.QQQ251121P605</stp>
        <tr r="M69" s="1"/>
        <tr r="M69" s="1"/>
      </tp>
      <tp>
        <v>10694</v>
        <stp/>
        <stp>OPEN_INT</stp>
        <stp>.QQQ251121C605</stp>
        <tr r="L69" s="1"/>
        <tr r="L69" s="1"/>
      </tp>
      <tp>
        <v>5380</v>
        <stp/>
        <stp>OPEN_INT</stp>
        <stp>.QQQ251121P604</stp>
        <tr r="M70" s="1"/>
        <tr r="M70" s="1"/>
      </tp>
      <tp>
        <v>5155</v>
        <stp/>
        <stp>OPEN_INT</stp>
        <stp>.QQQ251121C604</stp>
        <tr r="L70" s="1"/>
        <tr r="L70" s="1"/>
      </tp>
      <tp>
        <v>2960</v>
        <stp/>
        <stp>OPEN_INT</stp>
        <stp>.QQQ251121P603</stp>
        <tr r="M71" s="1"/>
        <tr r="M71" s="1"/>
      </tp>
      <tp>
        <v>184</v>
        <stp/>
        <stp>OPEN_INT</stp>
        <stp>.QQQ251121C603</stp>
        <tr r="L71" s="1"/>
        <tr r="L71" s="1"/>
      </tp>
      <tp>
        <v>3372</v>
        <stp/>
        <stp>OPEN_INT</stp>
        <stp>.QQQ251121P602</stp>
        <tr r="M72" s="1"/>
        <tr r="M72" s="1"/>
      </tp>
      <tp>
        <v>6532</v>
        <stp/>
        <stp>OPEN_INT</stp>
        <stp>.QQQ251121C602</stp>
        <tr r="L72" s="1"/>
        <tr r="L72" s="1"/>
      </tp>
      <tp>
        <v>2081</v>
        <stp/>
        <stp>OPEN_INT</stp>
        <stp>.QQQ251121P601</stp>
        <tr r="M73" s="1"/>
        <tr r="M73" s="1"/>
      </tp>
      <tp>
        <v>333</v>
        <stp/>
        <stp>OPEN_INT</stp>
        <stp>.QQQ251121C601</stp>
        <tr r="L73" s="1"/>
        <tr r="L73" s="1"/>
      </tp>
      <tp>
        <v>80240</v>
        <stp/>
        <stp>OPEN_INT</stp>
        <stp>.QQQ251121P600</stp>
        <tr r="M74" s="1"/>
        <tr r="M74" s="1"/>
      </tp>
      <tp>
        <v>49712</v>
        <stp/>
        <stp>OPEN_INT</stp>
        <stp>.QQQ251121C600</stp>
        <tr r="L74" s="1"/>
        <tr r="L74" s="1"/>
      </tp>
      <tp>
        <v>3194</v>
        <stp/>
        <stp>OPEN_INT</stp>
        <stp>.QQQ251121P609</stp>
        <tr r="M65" s="1"/>
        <tr r="M65" s="1"/>
      </tp>
      <tp>
        <v>301</v>
        <stp/>
        <stp>OPEN_INT</stp>
        <stp>.QQQ251121C609</stp>
        <tr r="L65" s="1"/>
        <tr r="L65" s="1"/>
      </tp>
      <tp>
        <v>2683</v>
        <stp/>
        <stp>OPEN_INT</stp>
        <stp>.QQQ251121P608</stp>
        <tr r="M66" s="1"/>
        <tr r="M66" s="1"/>
      </tp>
      <tp>
        <v>2881</v>
        <stp/>
        <stp>OPEN_INT</stp>
        <stp>.QQQ251121C608</stp>
        <tr r="L66" s="1"/>
        <tr r="L66" s="1"/>
      </tp>
      <tp>
        <v>354</v>
        <stp/>
        <stp>OPEN_INT</stp>
        <stp>.QQQ251110P626</stp>
        <tr r="I48" s="1"/>
        <tr r="I48" s="1"/>
      </tp>
      <tp>
        <v>1142</v>
        <stp/>
        <stp>OPEN_INT</stp>
        <stp>.QQQ251114P622</stp>
        <tr r="K52" s="1"/>
        <tr r="K52" s="1"/>
      </tp>
      <tp>
        <v>5028</v>
        <stp/>
        <stp>OPEN_INT</stp>
        <stp>.QQQ251121P617</stp>
        <tr r="M57" s="1"/>
        <tr r="M57" s="1"/>
      </tp>
      <tp>
        <v>2635</v>
        <stp/>
        <stp>OPEN_INT</stp>
        <stp>.QQQ251110C626</stp>
        <tr r="H48" s="1"/>
        <tr r="H48" s="1"/>
      </tp>
      <tp>
        <v>1200</v>
        <stp/>
        <stp>OPEN_INT</stp>
        <stp>.QQQ251114C622</stp>
        <tr r="J52" s="1"/>
        <tr r="J52" s="1"/>
      </tp>
      <tp>
        <v>748</v>
        <stp/>
        <stp>OPEN_INT</stp>
        <stp>.QQQ251121C617</stp>
        <tr r="L57" s="1"/>
        <tr r="L57" s="1"/>
      </tp>
      <tp>
        <v>612</v>
        <stp/>
        <stp>OPEN_INT</stp>
        <stp>.QQQ251110P627</stp>
        <tr r="I47" s="1"/>
        <tr r="I47" s="1"/>
      </tp>
      <tp>
        <v>3416</v>
        <stp/>
        <stp>OPEN_INT</stp>
        <stp>.QQQ251114P623</stp>
        <tr r="K51" s="1"/>
        <tr r="K51" s="1"/>
      </tp>
      <tp>
        <v>3111</v>
        <stp/>
        <stp>OPEN_INT</stp>
        <stp>.QQQ251121P616</stp>
        <tr r="M58" s="1"/>
        <tr r="M58" s="1"/>
      </tp>
      <tp>
        <v>1108</v>
        <stp/>
        <stp>OPEN_INT</stp>
        <stp>.QQQ251110C627</stp>
        <tr r="H47" s="1"/>
        <tr r="H47" s="1"/>
      </tp>
      <tp>
        <v>940</v>
        <stp/>
        <stp>OPEN_INT</stp>
        <stp>.QQQ251114C623</stp>
        <tr r="J51" s="1"/>
        <tr r="J51" s="1"/>
      </tp>
      <tp>
        <v>1661</v>
        <stp/>
        <stp>OPEN_INT</stp>
        <stp>.QQQ251121C616</stp>
        <tr r="L58" s="1"/>
        <tr r="L58" s="1"/>
      </tp>
      <tp>
        <v>748</v>
        <stp/>
        <stp>OPEN_INT</stp>
        <stp>.QQQ251110P624</stp>
        <tr r="I50" s="1"/>
        <tr r="I50" s="1"/>
      </tp>
      <tp>
        <v>3908</v>
        <stp/>
        <stp>OPEN_INT</stp>
        <stp>.QQQ251114P620</stp>
        <tr r="K54" s="1"/>
        <tr r="K54" s="1"/>
      </tp>
      <tp>
        <v>26642</v>
        <stp/>
        <stp>OPEN_INT</stp>
        <stp>.QQQ251121P615</stp>
        <tr r="M59" s="1"/>
        <tr r="M59" s="1"/>
      </tp>
      <tp>
        <v>965</v>
        <stp/>
        <stp>OPEN_INT</stp>
        <stp>.QQQ251110C624</stp>
        <tr r="H50" s="1"/>
        <tr r="H50" s="1"/>
      </tp>
      <tp>
        <v>4581</v>
        <stp/>
        <stp>OPEN_INT</stp>
        <stp>.QQQ251114C620</stp>
        <tr r="J54" s="1"/>
        <tr r="J54" s="1"/>
      </tp>
      <tp>
        <v>7846</v>
        <stp/>
        <stp>OPEN_INT</stp>
        <stp>.QQQ251121C615</stp>
        <tr r="L59" s="1"/>
        <tr r="L59" s="1"/>
      </tp>
      <tp>
        <v>7935</v>
        <stp/>
        <stp>OPEN_INT</stp>
        <stp>.QQQ251110P625</stp>
        <tr r="I49" s="1"/>
        <tr r="I49" s="1"/>
      </tp>
      <tp>
        <v>589</v>
        <stp/>
        <stp>OPEN_INT</stp>
        <stp>.QQQ251114P621</stp>
        <tr r="K53" s="1"/>
        <tr r="K53" s="1"/>
      </tp>
      <tp>
        <v>1271</v>
        <stp/>
        <stp>OPEN_INT</stp>
        <stp>.QQQ251121P614</stp>
        <tr r="M60" s="1"/>
        <tr r="M60" s="1"/>
      </tp>
      <tp>
        <v>5999</v>
        <stp/>
        <stp>OPEN_INT</stp>
        <stp>.QQQ251110C625</stp>
        <tr r="H49" s="1"/>
        <tr r="H49" s="1"/>
      </tp>
      <tp>
        <v>1017</v>
        <stp/>
        <stp>OPEN_INT</stp>
        <stp>.QQQ251114C621</stp>
        <tr r="J53" s="1"/>
        <tr r="J53" s="1"/>
      </tp>
      <tp>
        <v>1516</v>
        <stp/>
        <stp>OPEN_INT</stp>
        <stp>.QQQ251121C614</stp>
        <tr r="L60" s="1"/>
        <tr r="L60" s="1"/>
      </tp>
      <tp>
        <v>2491</v>
        <stp/>
        <stp>OPEN_INT</stp>
        <stp>.QQQ251110P622</stp>
        <tr r="I52" s="1"/>
        <tr r="I52" s="1"/>
      </tp>
      <tp>
        <v>955</v>
        <stp/>
        <stp>OPEN_INT</stp>
        <stp>.QQQ251114P626</stp>
        <tr r="K48" s="1"/>
        <tr r="K48" s="1"/>
      </tp>
      <tp>
        <v>2429</v>
        <stp/>
        <stp>OPEN_INT</stp>
        <stp>.QQQ251121P613</stp>
        <tr r="M61" s="1"/>
        <tr r="M61" s="1"/>
      </tp>
      <tp>
        <v>1459</v>
        <stp/>
        <stp>OPEN_INT</stp>
        <stp>.QQQ251110C622</stp>
        <tr r="H52" s="1"/>
        <tr r="H52" s="1"/>
      </tp>
      <tp>
        <v>838</v>
        <stp/>
        <stp>OPEN_INT</stp>
        <stp>.QQQ251114C626</stp>
        <tr r="J48" s="1"/>
        <tr r="J48" s="1"/>
      </tp>
      <tp>
        <v>637</v>
        <stp/>
        <stp>OPEN_INT</stp>
        <stp>.QQQ251121C613</stp>
        <tr r="L61" s="1"/>
        <tr r="L61" s="1"/>
      </tp>
      <tp>
        <v>883</v>
        <stp/>
        <stp>OPEN_INT</stp>
        <stp>.QQQ251110P623</stp>
        <tr r="I51" s="1"/>
        <tr r="I51" s="1"/>
      </tp>
      <tp>
        <v>1994</v>
        <stp/>
        <stp>OPEN_INT</stp>
        <stp>.QQQ251114P627</stp>
        <tr r="K47" s="1"/>
        <tr r="K47" s="1"/>
      </tp>
      <tp>
        <v>4105</v>
        <stp/>
        <stp>OPEN_INT</stp>
        <stp>.QQQ251121P612</stp>
        <tr r="M62" s="1"/>
        <tr r="M62" s="1"/>
      </tp>
      <tp>
        <v>1224</v>
        <stp/>
        <stp>OPEN_INT</stp>
        <stp>.QQQ251110C623</stp>
        <tr r="H51" s="1"/>
        <tr r="H51" s="1"/>
      </tp>
      <tp>
        <v>1482</v>
        <stp/>
        <stp>OPEN_INT</stp>
        <stp>.QQQ251114C627</stp>
        <tr r="J47" s="1"/>
        <tr r="J47" s="1"/>
      </tp>
      <tp>
        <v>2708</v>
        <stp/>
        <stp>OPEN_INT</stp>
        <stp>.QQQ251121C612</stp>
        <tr r="L62" s="1"/>
        <tr r="L62" s="1"/>
      </tp>
      <tp>
        <v>2340</v>
        <stp/>
        <stp>OPEN_INT</stp>
        <stp>.QQQ251110P620</stp>
        <tr r="I54" s="1"/>
        <tr r="I54" s="1"/>
      </tp>
      <tp>
        <v>1462</v>
        <stp/>
        <stp>OPEN_INT</stp>
        <stp>.QQQ251114P624</stp>
        <tr r="K50" s="1"/>
        <tr r="K50" s="1"/>
      </tp>
      <tp>
        <v>4417</v>
        <stp/>
        <stp>OPEN_INT</stp>
        <stp>.QQQ251121P611</stp>
        <tr r="M63" s="1"/>
        <tr r="M63" s="1"/>
      </tp>
      <tp>
        <v>2617</v>
        <stp/>
        <stp>OPEN_INT</stp>
        <stp>.QQQ251110C620</stp>
        <tr r="H54" s="1"/>
        <tr r="H54" s="1"/>
      </tp>
      <tp>
        <v>1098</v>
        <stp/>
        <stp>OPEN_INT</stp>
        <stp>.QQQ251114C624</stp>
        <tr r="J50" s="1"/>
        <tr r="J50" s="1"/>
      </tp>
      <tp>
        <v>1416</v>
        <stp/>
        <stp>OPEN_INT</stp>
        <stp>.QQQ251121C611</stp>
        <tr r="L63" s="1"/>
        <tr r="L63" s="1"/>
      </tp>
      <tp>
        <v>1342</v>
        <stp/>
        <stp>OPEN_INT</stp>
        <stp>.QQQ251110P621</stp>
        <tr r="I53" s="1"/>
        <tr r="I53" s="1"/>
      </tp>
      <tp>
        <v>20547</v>
        <stp/>
        <stp>OPEN_INT</stp>
        <stp>.QQQ251114P625</stp>
        <tr r="K49" s="1"/>
        <tr r="K49" s="1"/>
      </tp>
      <tp>
        <v>22743</v>
        <stp/>
        <stp>OPEN_INT</stp>
        <stp>.QQQ251121P610</stp>
        <tr r="M64" s="1"/>
        <tr r="M64" s="1"/>
      </tp>
      <tp>
        <v>1544</v>
        <stp/>
        <stp>OPEN_INT</stp>
        <stp>.QQQ251110C621</stp>
        <tr r="H53" s="1"/>
        <tr r="H53" s="1"/>
      </tp>
      <tp>
        <v>6844</v>
        <stp/>
        <stp>OPEN_INT</stp>
        <stp>.QQQ251114C625</stp>
        <tr r="J49" s="1"/>
        <tr r="J49" s="1"/>
      </tp>
      <tp>
        <v>19066</v>
        <stp/>
        <stp>OPEN_INT</stp>
        <stp>.QQQ251121C610</stp>
        <tr r="L64" s="1"/>
        <tr r="L64" s="1"/>
      </tp>
      <tp>
        <v>1568</v>
        <stp/>
        <stp>OPEN_INT</stp>
        <stp>.QQQ251114P628</stp>
        <tr r="K46" s="1"/>
        <tr r="K46" s="1"/>
      </tp>
      <tp>
        <v>2028</v>
        <stp/>
        <stp>OPEN_INT</stp>
        <stp>.QQQ251114C628</stp>
        <tr r="J46" s="1"/>
        <tr r="J46" s="1"/>
      </tp>
      <tp>
        <v>1041</v>
        <stp/>
        <stp>OPEN_INT</stp>
        <stp>.QQQ251114P629</stp>
        <tr r="K45" s="1"/>
        <tr r="K45" s="1"/>
      </tp>
      <tp>
        <v>612</v>
        <stp/>
        <stp>OPEN_INT</stp>
        <stp>.QQQ251114C629</stp>
        <tr r="J45" s="1"/>
        <tr r="J45" s="1"/>
      </tp>
      <tp>
        <v>208</v>
        <stp/>
        <stp>OPEN_INT</stp>
        <stp>.QQQ251110P628</stp>
        <tr r="I46" s="1"/>
        <tr r="I46" s="1"/>
      </tp>
      <tp>
        <v>1176</v>
        <stp/>
        <stp>OPEN_INT</stp>
        <stp>.QQQ251121P619</stp>
        <tr r="M55" s="1"/>
        <tr r="M55" s="1"/>
      </tp>
      <tp>
        <v>1366</v>
        <stp/>
        <stp>OPEN_INT</stp>
        <stp>.QQQ251110C628</stp>
        <tr r="H46" s="1"/>
        <tr r="H46" s="1"/>
      </tp>
      <tp>
        <v>901</v>
        <stp/>
        <stp>OPEN_INT</stp>
        <stp>.QQQ251121C619</stp>
        <tr r="L55" s="1"/>
        <tr r="L55" s="1"/>
      </tp>
      <tp>
        <v>302</v>
        <stp/>
        <stp>OPEN_INT</stp>
        <stp>.QQQ251110P629</stp>
        <tr r="I45" s="1"/>
        <tr r="I45" s="1"/>
      </tp>
      <tp>
        <v>4159</v>
        <stp/>
        <stp>OPEN_INT</stp>
        <stp>.QQQ251121P618</stp>
        <tr r="M56" s="1"/>
        <tr r="M56" s="1"/>
      </tp>
      <tp>
        <v>1154</v>
        <stp/>
        <stp>OPEN_INT</stp>
        <stp>.QQQ251110C629</stp>
        <tr r="H45" s="1"/>
        <tr r="H45" s="1"/>
      </tp>
      <tp>
        <v>3741</v>
        <stp/>
        <stp>OPEN_INT</stp>
        <stp>.QQQ251121C618</stp>
        <tr r="L56" s="1"/>
        <tr r="L56" s="1"/>
      </tp>
      <tp>
        <v>1411</v>
        <stp/>
        <stp>OPEN_INT</stp>
        <stp>.QQQ251110P616</stp>
        <tr r="I58" s="1"/>
        <tr r="I58" s="1"/>
      </tp>
      <tp>
        <v>1824</v>
        <stp/>
        <stp>OPEN_INT</stp>
        <stp>.QQQ251114P612</stp>
        <tr r="K62" s="1"/>
        <tr r="K62" s="1"/>
      </tp>
      <tp>
        <v>1972</v>
        <stp/>
        <stp>OPEN_INT</stp>
        <stp>.QQQ251121P627</stp>
        <tr r="M47" s="1"/>
        <tr r="M47" s="1"/>
      </tp>
      <tp>
        <v>1634</v>
        <stp/>
        <stp>OPEN_INT</stp>
        <stp>.QQQ251110C616</stp>
        <tr r="H58" s="1"/>
        <tr r="H58" s="1"/>
      </tp>
      <tp>
        <v>1706</v>
        <stp/>
        <stp>OPEN_INT</stp>
        <stp>.QQQ251114C612</stp>
        <tr r="J62" s="1"/>
        <tr r="J62" s="1"/>
      </tp>
      <tp>
        <v>4109</v>
        <stp/>
        <stp>OPEN_INT</stp>
        <stp>.QQQ251121C627</stp>
        <tr r="L47" s="1"/>
        <tr r="L47" s="1"/>
      </tp>
      <tp>
        <v>1224</v>
        <stp/>
        <stp>OPEN_INT</stp>
        <stp>.QQQ251110P617</stp>
        <tr r="I57" s="1"/>
        <tr r="I57" s="1"/>
      </tp>
      <tp>
        <v>1480</v>
        <stp/>
        <stp>OPEN_INT</stp>
        <stp>.QQQ251114P613</stp>
        <tr r="K61" s="1"/>
        <tr r="K61" s="1"/>
      </tp>
      <tp>
        <v>1745</v>
        <stp/>
        <stp>OPEN_INT</stp>
        <stp>.QQQ251121P626</stp>
        <tr r="M48" s="1"/>
        <tr r="M48" s="1"/>
      </tp>
      <tp>
        <v>2021</v>
        <stp/>
        <stp>OPEN_INT</stp>
        <stp>.QQQ251110C617</stp>
        <tr r="H57" s="1"/>
        <tr r="H57" s="1"/>
      </tp>
      <tp>
        <v>1950</v>
        <stp/>
        <stp>OPEN_INT</stp>
        <stp>.QQQ251114C613</stp>
        <tr r="J61" s="1"/>
        <tr r="J61" s="1"/>
      </tp>
      <tp>
        <v>1653</v>
        <stp/>
        <stp>OPEN_INT</stp>
        <stp>.QQQ251121C626</stp>
        <tr r="L48" s="1"/>
        <tr r="L48" s="1"/>
      </tp>
      <tp>
        <v>1296</v>
        <stp/>
        <stp>OPEN_INT</stp>
        <stp>.QQQ251110P614</stp>
        <tr r="I60" s="1"/>
        <tr r="I60" s="1"/>
      </tp>
      <tp>
        <v>36223</v>
        <stp/>
        <stp>OPEN_INT</stp>
        <stp>.QQQ251114P610</stp>
        <tr r="K64" s="1"/>
        <tr r="K64" s="1"/>
      </tp>
      <tp>
        <v>20226</v>
        <stp/>
        <stp>OPEN_INT</stp>
        <stp>.QQQ251121P625</stp>
        <tr r="M49" s="1"/>
        <tr r="M49" s="1"/>
      </tp>
      <tp>
        <v>1437</v>
        <stp/>
        <stp>OPEN_INT</stp>
        <stp>.QQQ251110C614</stp>
        <tr r="H60" s="1"/>
        <tr r="H60" s="1"/>
      </tp>
      <tp>
        <v>1386</v>
        <stp/>
        <stp>OPEN_INT</stp>
        <stp>.QQQ251114C610</stp>
        <tr r="J64" s="1"/>
        <tr r="J64" s="1"/>
      </tp>
      <tp>
        <v>26148</v>
        <stp/>
        <stp>OPEN_INT</stp>
        <stp>.QQQ251121C625</stp>
        <tr r="L49" s="1"/>
        <tr r="L49" s="1"/>
      </tp>
      <tp>
        <v>1772</v>
        <stp/>
        <stp>OPEN_INT</stp>
        <stp>.QQQ251110P615</stp>
        <tr r="I59" s="1"/>
        <tr r="I59" s="1"/>
      </tp>
      <tp>
        <v>736</v>
        <stp/>
        <stp>OPEN_INT</stp>
        <stp>.QQQ251114P611</stp>
        <tr r="K63" s="1"/>
        <tr r="K63" s="1"/>
      </tp>
      <tp>
        <v>3210</v>
        <stp/>
        <stp>OPEN_INT</stp>
        <stp>.QQQ251121P624</stp>
        <tr r="M50" s="1"/>
        <tr r="M50" s="1"/>
      </tp>
      <tp>
        <v>3128</v>
        <stp/>
        <stp>OPEN_INT</stp>
        <stp>.QQQ251110C615</stp>
        <tr r="H59" s="1"/>
        <tr r="H59" s="1"/>
      </tp>
      <tp>
        <v>576</v>
        <stp/>
        <stp>OPEN_INT</stp>
        <stp>.QQQ251114C611</stp>
        <tr r="J63" s="1"/>
        <tr r="J63" s="1"/>
      </tp>
      <tp>
        <v>2338</v>
        <stp/>
        <stp>OPEN_INT</stp>
        <stp>.QQQ251121C624</stp>
        <tr r="L50" s="1"/>
        <tr r="L50" s="1"/>
      </tp>
      <tp>
        <v>2145</v>
        <stp/>
        <stp>OPEN_INT</stp>
        <stp>.QQQ251110P612</stp>
        <tr r="I62" s="1"/>
        <tr r="I62" s="1"/>
      </tp>
      <tp>
        <v>3807</v>
        <stp/>
        <stp>OPEN_INT</stp>
        <stp>.QQQ251114P616</stp>
        <tr r="K58" s="1"/>
        <tr r="K58" s="1"/>
      </tp>
      <tp>
        <v>6083</v>
        <stp/>
        <stp>OPEN_INT</stp>
        <stp>.QQQ251121P623</stp>
        <tr r="M51" s="1"/>
        <tr r="M51" s="1"/>
      </tp>
      <tp>
        <v>2258</v>
        <stp/>
        <stp>OPEN_INT</stp>
        <stp>.QQQ251110C612</stp>
        <tr r="H62" s="1"/>
        <tr r="H62" s="1"/>
      </tp>
      <tp>
        <v>5889</v>
        <stp/>
        <stp>OPEN_INT</stp>
        <stp>.QQQ251121C623</stp>
        <tr r="L51" s="1"/>
        <tr r="L51" s="1"/>
      </tp>
      <tp>
        <v>1034</v>
        <stp/>
        <stp>OPEN_INT</stp>
        <stp>.QQQ251110P613</stp>
        <tr r="I61" s="1"/>
        <tr r="I61" s="1"/>
      </tp>
      <tp>
        <v>3346</v>
        <stp/>
        <stp>OPEN_INT</stp>
        <stp>.QQQ251114P617</stp>
        <tr r="K57" s="1"/>
        <tr r="K57" s="1"/>
      </tp>
      <tp>
        <v>1933</v>
        <stp/>
        <stp>OPEN_INT</stp>
        <stp>.QQQ251121P622</stp>
        <tr r="M52" s="1"/>
        <tr r="M52" s="1"/>
      </tp>
      <tp>
        <v>3174</v>
        <stp/>
        <stp>OPEN_INT</stp>
        <stp>.QQQ251110C613</stp>
        <tr r="H61" s="1"/>
        <tr r="H61" s="1"/>
      </tp>
      <tp>
        <v>807</v>
        <stp/>
        <stp>OPEN_INT</stp>
        <stp>.QQQ251114C617</stp>
        <tr r="J57" s="1"/>
        <tr r="J57" s="1"/>
      </tp>
      <tp>
        <v>4268</v>
        <stp/>
        <stp>OPEN_INT</stp>
        <stp>.QQQ251121C622</stp>
        <tr r="L52" s="1"/>
        <tr r="L52" s="1"/>
      </tp>
      <tp>
        <v>4481</v>
        <stp/>
        <stp>OPEN_INT</stp>
        <stp>.QQQ251110P610</stp>
        <tr r="I64" s="1"/>
        <tr r="I64" s="1"/>
      </tp>
      <tp>
        <v>564</v>
        <stp/>
        <stp>OPEN_INT</stp>
        <stp>.QQQ251114P614</stp>
        <tr r="K60" s="1"/>
        <tr r="K60" s="1"/>
      </tp>
      <tp>
        <v>1019</v>
        <stp/>
        <stp>OPEN_INT</stp>
        <stp>.QQQ251121P621</stp>
        <tr r="M53" s="1"/>
        <tr r="M53" s="1"/>
      </tp>
      <tp>
        <v>732</v>
        <stp/>
        <stp>OPEN_INT</stp>
        <stp>.QQQ251110C610</stp>
        <tr r="H64" s="1"/>
        <tr r="H64" s="1"/>
      </tp>
      <tp>
        <v>1002</v>
        <stp/>
        <stp>OPEN_INT</stp>
        <stp>.QQQ251114C614</stp>
        <tr r="J60" s="1"/>
        <tr r="J60" s="1"/>
      </tp>
      <tp>
        <v>1712</v>
        <stp/>
        <stp>OPEN_INT</stp>
        <stp>.QQQ251121C621</stp>
        <tr r="L53" s="1"/>
        <tr r="L53" s="1"/>
      </tp>
      <tp>
        <v>702</v>
        <stp/>
        <stp>OPEN_INT</stp>
        <stp>.QQQ251110P611</stp>
        <tr r="I63" s="1"/>
        <tr r="I63" s="1"/>
      </tp>
      <tp>
        <v>23876</v>
        <stp/>
        <stp>OPEN_INT</stp>
        <stp>.QQQ251114P615</stp>
        <tr r="K59" s="1"/>
        <tr r="K59" s="1"/>
      </tp>
      <tp>
        <v>10281</v>
        <stp/>
        <stp>OPEN_INT</stp>
        <stp>.QQQ251121P620</stp>
        <tr r="M54" s="1"/>
        <tr r="M54" s="1"/>
      </tp>
      <tp>
        <v>1355</v>
        <stp/>
        <stp>OPEN_INT</stp>
        <stp>.QQQ251110C611</stp>
        <tr r="H63" s="1"/>
        <tr r="H63" s="1"/>
      </tp>
      <tp>
        <v>4514</v>
        <stp/>
        <stp>OPEN_INT</stp>
        <stp>.QQQ251114C615</stp>
        <tr r="J59" s="1"/>
        <tr r="J59" s="1"/>
      </tp>
      <tp>
        <v>16577</v>
        <stp/>
        <stp>OPEN_INT</stp>
        <stp>.QQQ251121C620</stp>
        <tr r="L54" s="1"/>
        <tr r="L54" s="1"/>
      </tp>
      <tp>
        <v>5522</v>
        <stp/>
        <stp>OPEN_INT</stp>
        <stp>.QQQ251114P618</stp>
        <tr r="K56" s="1"/>
        <tr r="K56" s="1"/>
      </tp>
      <tp>
        <v>1585</v>
        <stp/>
        <stp>OPEN_INT</stp>
        <stp>.QQQ251114C618</stp>
        <tr r="J56" s="1"/>
        <tr r="J56" s="1"/>
      </tp>
      <tp>
        <v>4299</v>
        <stp/>
        <stp>OPEN_INT</stp>
        <stp>.QQQ251114P619</stp>
        <tr r="K55" s="1"/>
        <tr r="K55" s="1"/>
      </tp>
      <tp>
        <v>775</v>
        <stp/>
        <stp>OPEN_INT</stp>
        <stp>.QQQ251114C619</stp>
        <tr r="J55" s="1"/>
        <tr r="J55" s="1"/>
      </tp>
      <tp>
        <v>1873</v>
        <stp/>
        <stp>OPEN_INT</stp>
        <stp>.QQQ251110P618</stp>
        <tr r="I56" s="1"/>
        <tr r="I56" s="1"/>
      </tp>
      <tp>
        <v>8249</v>
        <stp/>
        <stp>OPEN_INT</stp>
        <stp>.QQQ251121P629</stp>
        <tr r="M45" s="1"/>
        <tr r="M45" s="1"/>
      </tp>
      <tp>
        <v>2405</v>
        <stp/>
        <stp>OPEN_INT</stp>
        <stp>.QQQ251110C618</stp>
        <tr r="H56" s="1"/>
        <tr r="H56" s="1"/>
      </tp>
      <tp>
        <v>3032</v>
        <stp/>
        <stp>OPEN_INT</stp>
        <stp>.QQQ251121C629</stp>
        <tr r="L45" s="1"/>
        <tr r="L45" s="1"/>
      </tp>
      <tp>
        <v>519</v>
        <stp/>
        <stp>OPEN_INT</stp>
        <stp>.QQQ251110P619</stp>
        <tr r="I55" s="1"/>
        <tr r="I55" s="1"/>
      </tp>
      <tp>
        <v>1209</v>
        <stp/>
        <stp>OPEN_INT</stp>
        <stp>.QQQ251121P628</stp>
        <tr r="M46" s="1"/>
        <tr r="M46" s="1"/>
      </tp>
      <tp>
        <v>861</v>
        <stp/>
        <stp>OPEN_INT</stp>
        <stp>.QQQ251110C619</stp>
        <tr r="H55" s="1"/>
        <tr r="H55" s="1"/>
      </tp>
      <tp>
        <v>2003</v>
        <stp/>
        <stp>OPEN_INT</stp>
        <stp>.QQQ251121C628</stp>
        <tr r="L46" s="1"/>
        <tr r="L46" s="1"/>
      </tp>
      <tp>
        <v>1166</v>
        <stp/>
        <stp>OPEN_INT</stp>
        <stp>.QQQ251110P606</stp>
        <tr r="I68" s="1"/>
        <tr r="I68" s="1"/>
      </tp>
      <tp>
        <v>4672</v>
        <stp/>
        <stp>OPEN_INT</stp>
        <stp>.QQQ251114P602</stp>
        <tr r="K72" s="1"/>
        <tr r="K72" s="1"/>
      </tp>
      <tp>
        <v>89</v>
        <stp/>
        <stp>OPEN_INT</stp>
        <stp>.QQQ251110C606</stp>
        <tr r="H68" s="1"/>
        <tr r="H68" s="1"/>
      </tp>
      <tp>
        <v>287</v>
        <stp/>
        <stp>OPEN_INT</stp>
        <stp>.QQQ251114C602</stp>
        <tr r="J72" s="1"/>
        <tr r="J72" s="1"/>
      </tp>
      <tp>
        <v>1373</v>
        <stp/>
        <stp>OPEN_INT</stp>
        <stp>.QQQ251110P607</stp>
        <tr r="I67" s="1"/>
        <tr r="I67" s="1"/>
      </tp>
      <tp>
        <v>2883</v>
        <stp/>
        <stp>OPEN_INT</stp>
        <stp>.QQQ251114P603</stp>
        <tr r="K71" s="1"/>
        <tr r="K71" s="1"/>
      </tp>
      <tp>
        <v>143</v>
        <stp/>
        <stp>OPEN_INT</stp>
        <stp>.QQQ251110C607</stp>
        <tr r="H67" s="1"/>
        <tr r="H67" s="1"/>
      </tp>
      <tp>
        <v>1969</v>
        <stp/>
        <stp>OPEN_INT</stp>
        <stp>.QQQ251114C603</stp>
        <tr r="J71" s="1"/>
        <tr r="J71" s="1"/>
      </tp>
      <tp>
        <v>701</v>
        <stp/>
        <stp>OPEN_INT</stp>
        <stp>.QQQ251110P604</stp>
        <tr r="I70" s="1"/>
        <tr r="I70" s="1"/>
      </tp>
      <tp>
        <v>61789</v>
        <stp/>
        <stp>OPEN_INT</stp>
        <stp>.QQQ251114P600</stp>
        <tr r="K74" s="1"/>
        <tr r="K74" s="1"/>
      </tp>
      <tp>
        <v>25</v>
        <stp/>
        <stp>OPEN_INT</stp>
        <stp>.QQQ251110C604</stp>
        <tr r="H70" s="1"/>
        <tr r="H70" s="1"/>
      </tp>
      <tp>
        <v>5366</v>
        <stp/>
        <stp>OPEN_INT</stp>
        <stp>.QQQ251114C600</stp>
        <tr r="J74" s="1"/>
        <tr r="J74" s="1"/>
      </tp>
      <tp>
        <v>3111</v>
        <stp/>
        <stp>OPEN_INT</stp>
        <stp>.QQQ251110P605</stp>
        <tr r="I69" s="1"/>
        <tr r="I69" s="1"/>
      </tp>
      <tp>
        <v>3837</v>
        <stp/>
        <stp>OPEN_INT</stp>
        <stp>.QQQ251114P601</stp>
        <tr r="K73" s="1"/>
        <tr r="K73" s="1"/>
      </tp>
      <tp>
        <v>111</v>
        <stp/>
        <stp>OPEN_INT</stp>
        <stp>.QQQ251110C605</stp>
        <tr r="H69" s="1"/>
        <tr r="H69" s="1"/>
      </tp>
      <tp>
        <v>192</v>
        <stp/>
        <stp>OPEN_INT</stp>
        <stp>.QQQ251114C601</stp>
        <tr r="J73" s="1"/>
        <tr r="J73" s="1"/>
      </tp>
      <tp>
        <v>561</v>
        <stp/>
        <stp>OPEN_INT</stp>
        <stp>.QQQ251110P602</stp>
        <tr r="I72" s="1"/>
        <tr r="I72" s="1"/>
      </tp>
      <tp>
        <v>1094</v>
        <stp/>
        <stp>OPEN_INT</stp>
        <stp>.QQQ251114P606</stp>
        <tr r="K68" s="1"/>
        <tr r="K68" s="1"/>
      </tp>
      <tp>
        <v>36</v>
        <stp/>
        <stp>OPEN_INT</stp>
        <stp>.QQQ251110C602</stp>
        <tr r="H72" s="1"/>
        <tr r="H72" s="1"/>
      </tp>
      <tp>
        <v>376</v>
        <stp/>
        <stp>OPEN_INT</stp>
        <stp>.QQQ251114C606</stp>
        <tr r="J68" s="1"/>
        <tr r="J68" s="1"/>
      </tp>
      <tp>
        <v>1153</v>
        <stp/>
        <stp>OPEN_INT</stp>
        <stp>.QQQ251110P603</stp>
        <tr r="I71" s="1"/>
        <tr r="I71" s="1"/>
      </tp>
      <tp>
        <v>998</v>
        <stp/>
        <stp>OPEN_INT</stp>
        <stp>.QQQ251114P607</stp>
        <tr r="K67" s="1"/>
        <tr r="K67" s="1"/>
      </tp>
      <tp>
        <v>86</v>
        <stp/>
        <stp>OPEN_INT</stp>
        <stp>.QQQ251110C603</stp>
        <tr r="H71" s="1"/>
        <tr r="H71" s="1"/>
      </tp>
      <tp>
        <v>630</v>
        <stp/>
        <stp>OPEN_INT</stp>
        <stp>.QQQ251114C607</stp>
        <tr r="J67" s="1"/>
        <tr r="J67" s="1"/>
      </tp>
      <tp>
        <v>7182</v>
        <stp/>
        <stp>OPEN_INT</stp>
        <stp>.QQQ251110P600</stp>
        <tr r="I74" s="1"/>
        <tr r="I74" s="1"/>
      </tp>
      <tp>
        <v>851</v>
        <stp/>
        <stp>OPEN_INT</stp>
        <stp>.QQQ251114P604</stp>
        <tr r="K70" s="1"/>
        <tr r="K70" s="1"/>
      </tp>
      <tp>
        <v>117</v>
        <stp/>
        <stp>OPEN_INT</stp>
        <stp>.QQQ251110C600</stp>
        <tr r="H74" s="1"/>
        <tr r="H74" s="1"/>
      </tp>
      <tp>
        <v>393</v>
        <stp/>
        <stp>OPEN_INT</stp>
        <stp>.QQQ251114C604</stp>
        <tr r="J70" s="1"/>
        <tr r="J70" s="1"/>
      </tp>
      <tp>
        <v>540</v>
        <stp/>
        <stp>OPEN_INT</stp>
        <stp>.QQQ251110P601</stp>
        <tr r="I73" s="1"/>
        <tr r="I73" s="1"/>
      </tp>
      <tp>
        <v>6493</v>
        <stp/>
        <stp>OPEN_INT</stp>
        <stp>.QQQ251114P605</stp>
        <tr r="K69" s="1"/>
        <tr r="K69" s="1"/>
      </tp>
      <tp>
        <v>49</v>
        <stp/>
        <stp>OPEN_INT</stp>
        <stp>.QQQ251110C601</stp>
        <tr r="H73" s="1"/>
        <tr r="H73" s="1"/>
      </tp>
      <tp>
        <v>1262</v>
        <stp/>
        <stp>OPEN_INT</stp>
        <stp>.QQQ251114C605</stp>
        <tr r="J69" s="1"/>
        <tr r="J69" s="1"/>
      </tp>
      <tp>
        <v>1877</v>
        <stp/>
        <stp>OPEN_INT</stp>
        <stp>.QQQ251114P608</stp>
        <tr r="K66" s="1"/>
        <tr r="K66" s="1"/>
      </tp>
      <tp>
        <v>408</v>
        <stp/>
        <stp>OPEN_INT</stp>
        <stp>.QQQ251114C608</stp>
        <tr r="J66" s="1"/>
        <tr r="J66" s="1"/>
      </tp>
      <tp>
        <v>1820</v>
        <stp/>
        <stp>OPEN_INT</stp>
        <stp>.QQQ251114P609</stp>
        <tr r="K65" s="1"/>
        <tr r="K65" s="1"/>
      </tp>
      <tp>
        <v>448</v>
        <stp/>
        <stp>OPEN_INT</stp>
        <stp>.QQQ251114C609</stp>
        <tr r="J65" s="1"/>
        <tr r="J65" s="1"/>
      </tp>
      <tp>
        <v>910</v>
        <stp/>
        <stp>OPEN_INT</stp>
        <stp>.QQQ251110P608</stp>
        <tr r="I66" s="1"/>
        <tr r="I66" s="1"/>
      </tp>
      <tp>
        <v>230</v>
        <stp/>
        <stp>OPEN_INT</stp>
        <stp>.QQQ251110C608</stp>
        <tr r="H66" s="1"/>
        <tr r="H66" s="1"/>
      </tp>
      <tp>
        <v>807</v>
        <stp/>
        <stp>OPEN_INT</stp>
        <stp>.QQQ251110P609</stp>
        <tr r="I65" s="1"/>
        <tr r="I65" s="1"/>
      </tp>
      <tp>
        <v>298</v>
        <stp/>
        <stp>OPEN_INT</stp>
        <stp>.QQQ251110C609</stp>
        <tr r="H65" s="1"/>
        <tr r="H65" s="1"/>
      </tp>
      <tp>
        <v>117</v>
        <stp/>
        <stp>OPEN_INT</stp>
        <stp>.NDX251121P25000</stp>
        <tr r="M161" s="1"/>
        <tr r="M161" s="1"/>
      </tp>
      <tp>
        <v>7</v>
        <stp/>
        <stp>OPEN_INT</stp>
        <stp>.NDX251121P25025</stp>
        <tr r="M160" s="1"/>
        <tr r="M160" s="1"/>
      </tp>
      <tp>
        <v>15</v>
        <stp/>
        <stp>OPEN_INT</stp>
        <stp>.NDX251121P25050</stp>
        <tr r="M159" s="1"/>
        <tr r="M159" s="1"/>
      </tp>
      <tp>
        <v>10</v>
        <stp/>
        <stp>OPEN_INT</stp>
        <stp>.NDX251121P25075</stp>
        <tr r="M158" s="1"/>
        <tr r="M158" s="1"/>
      </tp>
      <tp>
        <v>12</v>
        <stp/>
        <stp>OPEN_INT</stp>
        <stp>.NDX251121C25025</stp>
        <tr r="L160" s="1"/>
        <tr r="L160" s="1"/>
      </tp>
      <tp>
        <v>139</v>
        <stp/>
        <stp>OPEN_INT</stp>
        <stp>.NDX251121C25000</stp>
        <tr r="L161" s="1"/>
        <tr r="L161" s="1"/>
      </tp>
      <tp>
        <v>8</v>
        <stp/>
        <stp>OPEN_INT</stp>
        <stp>.NDX251121C25075</stp>
        <tr r="L158" s="1"/>
        <tr r="L158" s="1"/>
      </tp>
      <tp>
        <v>27</v>
        <stp/>
        <stp>OPEN_INT</stp>
        <stp>.NDX251121C25050</stp>
        <tr r="L159" s="1"/>
        <tr r="L159" s="1"/>
      </tp>
      <tp>
        <v>15</v>
        <stp/>
        <stp>OPEN_INT</stp>
        <stp>.NDX251121P25100</stp>
        <tr r="M157" s="1"/>
        <tr r="M157" s="1"/>
      </tp>
      <tp>
        <v>15</v>
        <stp/>
        <stp>OPEN_INT</stp>
        <stp>.NDX251121P25125</stp>
        <tr r="M156" s="1"/>
        <tr r="M156" s="1"/>
      </tp>
      <tp>
        <v>11</v>
        <stp/>
        <stp>OPEN_INT</stp>
        <stp>.NDX251121P25150</stp>
        <tr r="M155" s="1"/>
        <tr r="M155" s="1"/>
      </tp>
      <tp>
        <v>9</v>
        <stp/>
        <stp>OPEN_INT</stp>
        <stp>.NDX251121P25175</stp>
        <tr r="M154" s="1"/>
        <tr r="M154" s="1"/>
      </tp>
      <tp>
        <v>8</v>
        <stp/>
        <stp>OPEN_INT</stp>
        <stp>.NDX251121C25125</stp>
        <tr r="L156" s="1"/>
        <tr r="L156" s="1"/>
      </tp>
      <tp>
        <v>17</v>
        <stp/>
        <stp>OPEN_INT</stp>
        <stp>.NDX251121C25100</stp>
        <tr r="L157" s="1"/>
        <tr r="L157" s="1"/>
      </tp>
      <tp>
        <v>17</v>
        <stp/>
        <stp>OPEN_INT</stp>
        <stp>.NDX251121C25175</stp>
        <tr r="L154" s="1"/>
        <tr r="L154" s="1"/>
      </tp>
      <tp>
        <v>13</v>
        <stp/>
        <stp>OPEN_INT</stp>
        <stp>.NDX251121C25150</stp>
        <tr r="L155" s="1"/>
        <tr r="L155" s="1"/>
      </tp>
      <tp>
        <v>9</v>
        <stp/>
        <stp>OPEN_INT</stp>
        <stp>.NDX251121P25200</stp>
        <tr r="M153" s="1"/>
        <tr r="M153" s="1"/>
      </tp>
      <tp>
        <v>38</v>
        <stp/>
        <stp>OPEN_INT</stp>
        <stp>.NDX251121P25225</stp>
        <tr r="M152" s="1"/>
        <tr r="M152" s="1"/>
      </tp>
      <tp>
        <v>2</v>
        <stp/>
        <stp>OPEN_INT</stp>
        <stp>.NDX251121P25250</stp>
        <tr r="M151" s="1"/>
        <tr r="M151" s="1"/>
      </tp>
      <tp>
        <v>3</v>
        <stp/>
        <stp>OPEN_INT</stp>
        <stp>.NDX251121P25275</stp>
        <tr r="M150" s="1"/>
        <tr r="M150" s="1"/>
      </tp>
      <tp>
        <v>55</v>
        <stp/>
        <stp>OPEN_INT</stp>
        <stp>.NDX251121C25225</stp>
        <tr r="L152" s="1"/>
        <tr r="L152" s="1"/>
      </tp>
      <tp>
        <v>244</v>
        <stp/>
        <stp>OPEN_INT</stp>
        <stp>.NDX251121C25200</stp>
        <tr r="L153" s="1"/>
        <tr r="L153" s="1"/>
      </tp>
      <tp>
        <v>10</v>
        <stp/>
        <stp>OPEN_INT</stp>
        <stp>.NDX251121C25275</stp>
        <tr r="L150" s="1"/>
        <tr r="L150" s="1"/>
      </tp>
      <tp>
        <v>7</v>
        <stp/>
        <stp>OPEN_INT</stp>
        <stp>.NDX251121C25250</stp>
        <tr r="L151" s="1"/>
        <tr r="L151" s="1"/>
      </tp>
      <tp>
        <v>171</v>
        <stp/>
        <stp>OPEN_INT</stp>
        <stp>.NDX251121P24300</stp>
        <tr r="M189" s="1"/>
        <tr r="M189" s="1"/>
      </tp>
      <tp>
        <v>28</v>
        <stp/>
        <stp>OPEN_INT</stp>
        <stp>.NDX251121P25300</stp>
        <tr r="M149" s="1"/>
        <tr r="M149" s="1"/>
      </tp>
      <tp>
        <v>7</v>
        <stp/>
        <stp>OPEN_INT</stp>
        <stp>.NDX251121P24325</stp>
        <tr r="M188" s="1"/>
        <tr r="M188" s="1"/>
      </tp>
      <tp>
        <v>7</v>
        <stp/>
        <stp>OPEN_INT</stp>
        <stp>.NDX251121P25325</stp>
        <tr r="M148" s="1"/>
        <tr r="M148" s="1"/>
      </tp>
      <tp>
        <v>15</v>
        <stp/>
        <stp>OPEN_INT</stp>
        <stp>.NDX251121P24350</stp>
        <tr r="M187" s="1"/>
        <tr r="M187" s="1"/>
      </tp>
      <tp>
        <v>1</v>
        <stp/>
        <stp>OPEN_INT</stp>
        <stp>.NDX251121P25350</stp>
        <tr r="M147" s="1"/>
        <tr r="M147" s="1"/>
      </tp>
      <tp>
        <v>2</v>
        <stp/>
        <stp>OPEN_INT</stp>
        <stp>.NDX251121P24375</stp>
        <tr r="M186" s="1"/>
        <tr r="M186" s="1"/>
      </tp>
      <tp>
        <v>7</v>
        <stp/>
        <stp>OPEN_INT</stp>
        <stp>.NDX251121P25375</stp>
        <tr r="M146" s="1"/>
        <tr r="M146" s="1"/>
      </tp>
      <tp>
        <v>11</v>
        <stp/>
        <stp>OPEN_INT</stp>
        <stp>.NDX251121C24325</stp>
        <tr r="L188" s="1"/>
        <tr r="L188" s="1"/>
      </tp>
      <tp>
        <v>9</v>
        <stp/>
        <stp>OPEN_INT</stp>
        <stp>.NDX251121C25325</stp>
        <tr r="L148" s="1"/>
        <tr r="L148" s="1"/>
      </tp>
      <tp>
        <v>7</v>
        <stp/>
        <stp>OPEN_INT</stp>
        <stp>.NDX251121C24300</stp>
        <tr r="L189" s="1"/>
        <tr r="L189" s="1"/>
      </tp>
      <tp>
        <v>36</v>
        <stp/>
        <stp>OPEN_INT</stp>
        <stp>.NDX251121C25300</stp>
        <tr r="L149" s="1"/>
        <tr r="L149" s="1"/>
      </tp>
      <tp>
        <v>2981</v>
        <stp/>
        <stp>OPEN_INT</stp>
        <stp>.SPY251110P674</stp>
        <tr r="I19" s="1"/>
        <tr r="I19" s="1"/>
      </tp>
      <tp>
        <v>12044</v>
        <stp/>
        <stp>OPEN_INT</stp>
        <stp>.SPY251114P670</stp>
        <tr r="K23" s="1"/>
        <tr r="K23" s="1"/>
      </tp>
      <tp>
        <v>3951</v>
        <stp/>
        <stp>OPEN_INT</stp>
        <stp>.SPY251110C674</stp>
        <tr r="H19" s="1"/>
        <tr r="H19" s="1"/>
      </tp>
      <tp>
        <v>2784</v>
        <stp/>
        <stp>OPEN_INT</stp>
        <stp>.SPY251114C670</stp>
        <tr r="J23" s="1"/>
        <tr r="J23" s="1"/>
      </tp>
      <tp>
        <v>2043</v>
        <stp/>
        <stp>OPEN_INT</stp>
        <stp>.SPY251110P675</stp>
        <tr r="I18" s="1"/>
        <tr r="I18" s="1"/>
      </tp>
      <tp>
        <v>6353</v>
        <stp/>
        <stp>OPEN_INT</stp>
        <stp>.SPY251114P671</stp>
        <tr r="K22" s="1"/>
        <tr r="K22" s="1"/>
      </tp>
      <tp>
        <v>5076</v>
        <stp/>
        <stp>OPEN_INT</stp>
        <stp>.SPY251110C675</stp>
        <tr r="H18" s="1"/>
        <tr r="H18" s="1"/>
      </tp>
      <tp>
        <v>2264</v>
        <stp/>
        <stp>OPEN_INT</stp>
        <stp>.SPY251114C671</stp>
        <tr r="J22" s="1"/>
        <tr r="J22" s="1"/>
      </tp>
      <tp>
        <v>2921</v>
        <stp/>
        <stp>OPEN_INT</stp>
        <stp>.SPY251110P676</stp>
        <tr r="I17" s="1"/>
        <tr r="I17" s="1"/>
      </tp>
      <tp>
        <v>4999</v>
        <stp/>
        <stp>OPEN_INT</stp>
        <stp>.SPY251114P672</stp>
        <tr r="K21" s="1"/>
        <tr r="K21" s="1"/>
      </tp>
      <tp>
        <v>4382</v>
        <stp/>
        <stp>OPEN_INT</stp>
        <stp>.SPY251110C676</stp>
        <tr r="H17" s="1"/>
        <tr r="H17" s="1"/>
      </tp>
      <tp>
        <v>2401</v>
        <stp/>
        <stp>OPEN_INT</stp>
        <stp>.SPY251114C672</stp>
        <tr r="J21" s="1"/>
        <tr r="J21" s="1"/>
      </tp>
      <tp>
        <v>1763</v>
        <stp/>
        <stp>OPEN_INT</stp>
        <stp>.SPY251110P677</stp>
        <tr r="I16" s="1"/>
        <tr r="I16" s="1"/>
      </tp>
      <tp>
        <v>1416</v>
        <stp/>
        <stp>OPEN_INT</stp>
        <stp>.SPY251114P673</stp>
        <tr r="K20" s="1"/>
        <tr r="K20" s="1"/>
      </tp>
      <tp>
        <v>3018</v>
        <stp/>
        <stp>OPEN_INT</stp>
        <stp>.SPY251110C677</stp>
        <tr r="H16" s="1"/>
        <tr r="H16" s="1"/>
      </tp>
      <tp>
        <v>1145</v>
        <stp/>
        <stp>OPEN_INT</stp>
        <stp>.SPY251114C673</stp>
        <tr r="J20" s="1"/>
        <tr r="J20" s="1"/>
      </tp>
      <tp>
        <v>4645</v>
        <stp/>
        <stp>OPEN_INT</stp>
        <stp>.SPY251110P670</stp>
        <tr r="I23" s="1"/>
        <tr r="I23" s="1"/>
      </tp>
      <tp>
        <v>1166</v>
        <stp/>
        <stp>OPEN_INT</stp>
        <stp>.SPY251114P674</stp>
        <tr r="K19" s="1"/>
        <tr r="K19" s="1"/>
      </tp>
      <tp>
        <v>2635</v>
        <stp/>
        <stp>OPEN_INT</stp>
        <stp>.SPY251110C670</stp>
        <tr r="H23" s="1"/>
        <tr r="H23" s="1"/>
      </tp>
      <tp>
        <v>1815</v>
        <stp/>
        <stp>OPEN_INT</stp>
        <stp>.SPY251114C674</stp>
        <tr r="J19" s="1"/>
        <tr r="J19" s="1"/>
      </tp>
      <tp>
        <v>1218</v>
        <stp/>
        <stp>OPEN_INT</stp>
        <stp>.SPY251110P671</stp>
        <tr r="I22" s="1"/>
        <tr r="I22" s="1"/>
      </tp>
      <tp>
        <v>4628</v>
        <stp/>
        <stp>OPEN_INT</stp>
        <stp>.SPY251114P675</stp>
        <tr r="K18" s="1"/>
        <tr r="K18" s="1"/>
      </tp>
      <tp>
        <v>1477</v>
        <stp/>
        <stp>OPEN_INT</stp>
        <stp>.SPY251110C671</stp>
        <tr r="H22" s="1"/>
        <tr r="H22" s="1"/>
      </tp>
      <tp>
        <v>5716</v>
        <stp/>
        <stp>OPEN_INT</stp>
        <stp>.SPY251114C675</stp>
        <tr r="J18" s="1"/>
        <tr r="J18" s="1"/>
      </tp>
      <tp>
        <v>3624</v>
        <stp/>
        <stp>OPEN_INT</stp>
        <stp>.SPY251110P672</stp>
        <tr r="I21" s="1"/>
        <tr r="I21" s="1"/>
      </tp>
      <tp>
        <v>1171</v>
        <stp/>
        <stp>OPEN_INT</stp>
        <stp>.SPY251114P676</stp>
        <tr r="K17" s="1"/>
        <tr r="K17" s="1"/>
      </tp>
      <tp>
        <v>1987</v>
        <stp/>
        <stp>OPEN_INT</stp>
        <stp>.SPY251110C672</stp>
        <tr r="H21" s="1"/>
        <tr r="H21" s="1"/>
      </tp>
      <tp>
        <v>1867</v>
        <stp/>
        <stp>OPEN_INT</stp>
        <stp>.SPY251114C676</stp>
        <tr r="J17" s="1"/>
        <tr r="J17" s="1"/>
      </tp>
      <tp>
        <v>1823</v>
        <stp/>
        <stp>OPEN_INT</stp>
        <stp>.SPY251110P673</stp>
        <tr r="I20" s="1"/>
        <tr r="I20" s="1"/>
      </tp>
      <tp>
        <v>8057</v>
        <stp/>
        <stp>OPEN_INT</stp>
        <stp>.SPY251114P677</stp>
        <tr r="K16" s="1"/>
        <tr r="K16" s="1"/>
      </tp>
      <tp>
        <v>4740</v>
        <stp/>
        <stp>OPEN_INT</stp>
        <stp>.SPY251110C673</stp>
        <tr r="H20" s="1"/>
        <tr r="H20" s="1"/>
      </tp>
      <tp>
        <v>3754</v>
        <stp/>
        <stp>OPEN_INT</stp>
        <stp>.SPY251114C677</stp>
        <tr r="J16" s="1"/>
        <tr r="J16" s="1"/>
      </tp>
      <tp>
        <v>1442</v>
        <stp/>
        <stp>OPEN_INT</stp>
        <stp>.SPY251114P678</stp>
        <tr r="K15" s="1"/>
        <tr r="K15" s="1"/>
      </tp>
      <tp>
        <v>3417</v>
        <stp/>
        <stp>OPEN_INT</stp>
        <stp>.SPY251114C678</stp>
        <tr r="J15" s="1"/>
        <tr r="J15" s="1"/>
      </tp>
      <tp>
        <v>994</v>
        <stp/>
        <stp>OPEN_INT</stp>
        <stp>.SPY251114P679</stp>
        <tr r="K14" s="1"/>
        <tr r="K14" s="1"/>
      </tp>
      <tp>
        <v>2057</v>
        <stp/>
        <stp>OPEN_INT</stp>
        <stp>.SPY251114C679</stp>
        <tr r="J14" s="1"/>
        <tr r="J14" s="1"/>
      </tp>
      <tp>
        <v>1988</v>
        <stp/>
        <stp>OPEN_INT</stp>
        <stp>.SPY251110P678</stp>
        <tr r="I15" s="1"/>
        <tr r="I15" s="1"/>
      </tp>
      <tp>
        <v>3224</v>
        <stp/>
        <stp>OPEN_INT</stp>
        <stp>.SPY251110C678</stp>
        <tr r="H15" s="1"/>
        <tr r="H15" s="1"/>
      </tp>
      <tp>
        <v>3171</v>
        <stp/>
        <stp>OPEN_INT</stp>
        <stp>.SPY251110P679</stp>
        <tr r="I14" s="1"/>
        <tr r="I14" s="1"/>
      </tp>
      <tp>
        <v>2597</v>
        <stp/>
        <stp>OPEN_INT</stp>
        <stp>.SPY251110C679</stp>
        <tr r="H14" s="1"/>
        <tr r="H14" s="1"/>
      </tp>
      <tp>
        <v>12161</v>
        <stp/>
        <stp>OPEN_INT</stp>
        <stp>.SPY251110P664</stp>
        <tr r="I29" s="1"/>
        <tr r="I29" s="1"/>
      </tp>
      <tp>
        <v>6623</v>
        <stp/>
        <stp>OPEN_INT</stp>
        <stp>.SPY251114P660</stp>
        <tr r="K33" s="1"/>
        <tr r="K33" s="1"/>
      </tp>
      <tp>
        <v>26012</v>
        <stp/>
        <stp>OPEN_INT</stp>
        <stp>.SPY251121P655</stp>
        <tr r="M38" s="1"/>
        <tr r="M38" s="1"/>
      </tp>
      <tp>
        <v>175</v>
        <stp/>
        <stp>OPEN_INT</stp>
        <stp>.SPY251110C664</stp>
        <tr r="H29" s="1"/>
        <tr r="H29" s="1"/>
      </tp>
      <tp>
        <v>925</v>
        <stp/>
        <stp>OPEN_INT</stp>
        <stp>.SPY251114C660</stp>
        <tr r="J33" s="1"/>
        <tr r="J33" s="1"/>
      </tp>
      <tp>
        <v>3824</v>
        <stp/>
        <stp>OPEN_INT</stp>
        <stp>.SPY251121C655</stp>
        <tr r="L38" s="1"/>
        <tr r="L38" s="1"/>
      </tp>
      <tp>
        <v>2571</v>
        <stp/>
        <stp>OPEN_INT</stp>
        <stp>.SPY251110P665</stp>
        <tr r="I28" s="1"/>
        <tr r="I28" s="1"/>
      </tp>
      <tp>
        <v>5430</v>
        <stp/>
        <stp>OPEN_INT</stp>
        <stp>.SPY251114P661</stp>
        <tr r="K32" s="1"/>
        <tr r="K32" s="1"/>
      </tp>
      <tp>
        <v>214</v>
        <stp/>
        <stp>OPEN_INT</stp>
        <stp>.SPY251110C665</stp>
        <tr r="H28" s="1"/>
        <tr r="H28" s="1"/>
      </tp>
      <tp>
        <v>618</v>
        <stp/>
        <stp>OPEN_INT</stp>
        <stp>.SPY251114C661</stp>
        <tr r="J32" s="1"/>
        <tr r="J32" s="1"/>
      </tp>
      <tp>
        <v>4537</v>
        <stp/>
        <stp>OPEN_INT</stp>
        <stp>.SPY251110P666</stp>
        <tr r="I27" s="1"/>
        <tr r="I27" s="1"/>
      </tp>
      <tp>
        <v>2228</v>
        <stp/>
        <stp>OPEN_INT</stp>
        <stp>.SPY251114P662</stp>
        <tr r="K31" s="1"/>
        <tr r="K31" s="1"/>
      </tp>
      <tp>
        <v>3746</v>
        <stp/>
        <stp>OPEN_INT</stp>
        <stp>.SPY251121P657</stp>
        <tr r="M36" s="1"/>
        <tr r="M36" s="1"/>
      </tp>
      <tp>
        <v>351</v>
        <stp/>
        <stp>OPEN_INT</stp>
        <stp>.SPY251110C666</stp>
        <tr r="H27" s="1"/>
        <tr r="H27" s="1"/>
      </tp>
      <tp>
        <v>263</v>
        <stp/>
        <stp>OPEN_INT</stp>
        <stp>.SPY251114C662</stp>
        <tr r="J31" s="1"/>
        <tr r="J31" s="1"/>
      </tp>
      <tp>
        <v>831</v>
        <stp/>
        <stp>OPEN_INT</stp>
        <stp>.SPY251121C657</stp>
        <tr r="L36" s="1"/>
        <tr r="L36" s="1"/>
      </tp>
      <tp>
        <v>1297</v>
        <stp/>
        <stp>OPEN_INT</stp>
        <stp>.SPY251110P667</stp>
        <tr r="I26" s="1"/>
        <tr r="I26" s="1"/>
      </tp>
      <tp>
        <v>5044</v>
        <stp/>
        <stp>OPEN_INT</stp>
        <stp>.SPY251114P663</stp>
        <tr r="K30" s="1"/>
        <tr r="K30" s="1"/>
      </tp>
      <tp>
        <v>3219</v>
        <stp/>
        <stp>OPEN_INT</stp>
        <stp>.SPY251121P656</stp>
        <tr r="M37" s="1"/>
        <tr r="M37" s="1"/>
      </tp>
      <tp>
        <v>393</v>
        <stp/>
        <stp>OPEN_INT</stp>
        <stp>.SPY251110C667</stp>
        <tr r="H26" s="1"/>
        <tr r="H26" s="1"/>
      </tp>
      <tp>
        <v>1113</v>
        <stp/>
        <stp>OPEN_INT</stp>
        <stp>.SPY251114C663</stp>
        <tr r="J30" s="1"/>
        <tr r="J30" s="1"/>
      </tp>
      <tp>
        <v>576</v>
        <stp/>
        <stp>OPEN_INT</stp>
        <stp>.SPY251121C656</stp>
        <tr r="L37" s="1"/>
        <tr r="L37" s="1"/>
      </tp>
      <tp>
        <v>5909</v>
        <stp/>
        <stp>OPEN_INT</stp>
        <stp>.SPY251110P660</stp>
        <tr r="I33" s="1"/>
        <tr r="I33" s="1"/>
      </tp>
      <tp>
        <v>2554</v>
        <stp/>
        <stp>OPEN_INT</stp>
        <stp>.SPY251114P664</stp>
        <tr r="K29" s="1"/>
        <tr r="K29" s="1"/>
      </tp>
      <tp>
        <v>42</v>
        <stp/>
        <stp>OPEN_INT</stp>
        <stp>.SPY251110C660</stp>
        <tr r="H33" s="1"/>
        <tr r="H33" s="1"/>
      </tp>
      <tp>
        <v>754</v>
        <stp/>
        <stp>OPEN_INT</stp>
        <stp>.SPY251114C664</stp>
        <tr r="J29" s="1"/>
        <tr r="J29" s="1"/>
      </tp>
      <tp>
        <v>2248</v>
        <stp/>
        <stp>OPEN_INT</stp>
        <stp>.SPY251110P661</stp>
        <tr r="I32" s="1"/>
        <tr r="I32" s="1"/>
      </tp>
      <tp>
        <v>12342</v>
        <stp/>
        <stp>OPEN_INT</stp>
        <stp>.SPY251114P665</stp>
        <tr r="K28" s="1"/>
        <tr r="K28" s="1"/>
      </tp>
      <tp>
        <v>116</v>
        <stp/>
        <stp>OPEN_INT</stp>
        <stp>.SPY251110C661</stp>
        <tr r="H32" s="1"/>
        <tr r="H32" s="1"/>
      </tp>
      <tp>
        <v>880</v>
        <stp/>
        <stp>OPEN_INT</stp>
        <stp>.SPY251114C665</stp>
        <tr r="J28" s="1"/>
        <tr r="J28" s="1"/>
      </tp>
      <tp>
        <v>1036</v>
        <stp/>
        <stp>OPEN_INT</stp>
        <stp>.SPY251110P662</stp>
        <tr r="I31" s="1"/>
        <tr r="I31" s="1"/>
      </tp>
      <tp>
        <v>2555</v>
        <stp/>
        <stp>OPEN_INT</stp>
        <stp>.SPY251114P666</stp>
        <tr r="K27" s="1"/>
        <tr r="K27" s="1"/>
      </tp>
      <tp>
        <v>57</v>
        <stp/>
        <stp>OPEN_INT</stp>
        <stp>.SPY251110C662</stp>
        <tr r="H31" s="1"/>
        <tr r="H31" s="1"/>
      </tp>
      <tp>
        <v>554</v>
        <stp/>
        <stp>OPEN_INT</stp>
        <stp>.SPY251114C666</stp>
        <tr r="J27" s="1"/>
        <tr r="J27" s="1"/>
      </tp>
      <tp>
        <v>11003</v>
        <stp/>
        <stp>OPEN_INT</stp>
        <stp>.SPY251110P663</stp>
        <tr r="I30" s="1"/>
        <tr r="I30" s="1"/>
      </tp>
      <tp>
        <v>4808</v>
        <stp/>
        <stp>OPEN_INT</stp>
        <stp>.SPY251114P667</stp>
        <tr r="K26" s="1"/>
        <tr r="K26" s="1"/>
      </tp>
      <tp>
        <v>110</v>
        <stp/>
        <stp>OPEN_INT</stp>
        <stp>.SPY251110C663</stp>
        <tr r="H30" s="1"/>
        <tr r="H30" s="1"/>
      </tp>
      <tp>
        <v>671</v>
        <stp/>
        <stp>OPEN_INT</stp>
        <stp>.SPY251114C667</stp>
        <tr r="J26" s="1"/>
        <tr r="J26" s="1"/>
      </tp>
      <tp>
        <v>3149</v>
        <stp/>
        <stp>OPEN_INT</stp>
        <stp>.SPY251114P668</stp>
        <tr r="K25" s="1"/>
        <tr r="K25" s="1"/>
      </tp>
      <tp>
        <v>555</v>
        <stp/>
        <stp>OPEN_INT</stp>
        <stp>.SPY251114C668</stp>
        <tr r="J25" s="1"/>
        <tr r="J25" s="1"/>
      </tp>
      <tp>
        <v>8453</v>
        <stp/>
        <stp>OPEN_INT</stp>
        <stp>.SPY251114P669</stp>
        <tr r="K24" s="1"/>
        <tr r="K24" s="1"/>
      </tp>
      <tp>
        <v>1631</v>
        <stp/>
        <stp>OPEN_INT</stp>
        <stp>.SPY251114C669</stp>
        <tr r="J24" s="1"/>
        <tr r="J24" s="1"/>
      </tp>
      <tp>
        <v>1890</v>
        <stp/>
        <stp>OPEN_INT</stp>
        <stp>.SPY251110P668</stp>
        <tr r="I25" s="1"/>
        <tr r="I25" s="1"/>
      </tp>
      <tp>
        <v>4742</v>
        <stp/>
        <stp>OPEN_INT</stp>
        <stp>.SPY251121P659</stp>
        <tr r="M34" s="1"/>
        <tr r="M34" s="1"/>
      </tp>
      <tp>
        <v>484</v>
        <stp/>
        <stp>OPEN_INT</stp>
        <stp>.SPY251110C668</stp>
        <tr r="H25" s="1"/>
        <tr r="H25" s="1"/>
      </tp>
      <tp>
        <v>1508</v>
        <stp/>
        <stp>OPEN_INT</stp>
        <stp>.SPY251121C659</stp>
        <tr r="L34" s="1"/>
        <tr r="L34" s="1"/>
      </tp>
      <tp>
        <v>1765</v>
        <stp/>
        <stp>OPEN_INT</stp>
        <stp>.SPY251110P669</stp>
        <tr r="I24" s="1"/>
        <tr r="I24" s="1"/>
      </tp>
      <tp>
        <v>4320</v>
        <stp/>
        <stp>OPEN_INT</stp>
        <stp>.SPY251121P658</stp>
        <tr r="M35" s="1"/>
        <tr r="M35" s="1"/>
      </tp>
      <tp>
        <v>473</v>
        <stp/>
        <stp>OPEN_INT</stp>
        <stp>.SPY251110C669</stp>
        <tr r="H24" s="1"/>
        <tr r="H24" s="1"/>
      </tp>
      <tp>
        <v>758</v>
        <stp/>
        <stp>OPEN_INT</stp>
        <stp>.SPY251121C658</stp>
        <tr r="L35" s="1"/>
        <tr r="L35" s="1"/>
      </tp>
      <tp>
        <v>4</v>
        <stp/>
        <stp>OPEN_INT</stp>
        <stp>.NDX251121C24375</stp>
        <tr r="L186" s="1"/>
        <tr r="L186" s="1"/>
      </tp>
      <tp>
        <v>7</v>
        <stp/>
        <stp>OPEN_INT</stp>
        <stp>.NDX251121C25375</stp>
        <tr r="L146" s="1"/>
        <tr r="L146" s="1"/>
      </tp>
      <tp>
        <v>29777</v>
        <stp/>
        <stp>OPEN_INT</stp>
        <stp>.SPY251121P665</stp>
        <tr r="M28" s="1"/>
        <tr r="M28" s="1"/>
      </tp>
      <tp>
        <v>9832</v>
        <stp/>
        <stp>OPEN_INT</stp>
        <stp>.SPY251121C665</stp>
        <tr r="L28" s="1"/>
        <tr r="L28" s="1"/>
      </tp>
      <tp>
        <v>1799</v>
        <stp/>
        <stp>OPEN_INT</stp>
        <stp>.SPY251110P655</stp>
        <tr r="I38" s="1"/>
        <tr r="I38" s="1"/>
      </tp>
      <tp>
        <v>4474</v>
        <stp/>
        <stp>OPEN_INT</stp>
        <stp>.SPY251121P664</stp>
        <tr r="M29" s="1"/>
        <tr r="M29" s="1"/>
      </tp>
      <tp>
        <v>36</v>
        <stp/>
        <stp>OPEN_INT</stp>
        <stp>.SPY251110C655</stp>
        <tr r="H38" s="1"/>
        <tr r="H38" s="1"/>
      </tp>
      <tp>
        <v>2092</v>
        <stp/>
        <stp>OPEN_INT</stp>
        <stp>.SPY251121C664</stp>
        <tr r="L29" s="1"/>
        <tr r="L29" s="1"/>
      </tp>
      <tp>
        <v>1520</v>
        <stp/>
        <stp>OPEN_INT</stp>
        <stp>.SPY251110P656</stp>
        <tr r="I37" s="1"/>
        <tr r="I37" s="1"/>
      </tp>
      <tp>
        <v>4452</v>
        <stp/>
        <stp>OPEN_INT</stp>
        <stp>.SPY251121P667</stp>
        <tr r="M26" s="1"/>
        <tr r="M26" s="1"/>
      </tp>
      <tp>
        <v>20</v>
        <stp/>
        <stp>OPEN_INT</stp>
        <stp>.SPY251110C656</stp>
        <tr r="H37" s="1"/>
        <tr r="H37" s="1"/>
      </tp>
      <tp>
        <v>3240</v>
        <stp/>
        <stp>OPEN_INT</stp>
        <stp>.SPY251121C667</stp>
        <tr r="L26" s="1"/>
        <tr r="L26" s="1"/>
      </tp>
      <tp>
        <v>851</v>
        <stp/>
        <stp>OPEN_INT</stp>
        <stp>.SPY251110P657</stp>
        <tr r="I36" s="1"/>
        <tr r="I36" s="1"/>
      </tp>
      <tp>
        <v>5496</v>
        <stp/>
        <stp>OPEN_INT</stp>
        <stp>.SPY251121P666</stp>
        <tr r="M27" s="1"/>
        <tr r="M27" s="1"/>
      </tp>
      <tp>
        <v>39</v>
        <stp/>
        <stp>OPEN_INT</stp>
        <stp>.SPY251110C657</stp>
        <tr r="H36" s="1"/>
        <tr r="H36" s="1"/>
      </tp>
      <tp>
        <v>3500</v>
        <stp/>
        <stp>OPEN_INT</stp>
        <stp>.SPY251121C666</stp>
        <tr r="L27" s="1"/>
        <tr r="L27" s="1"/>
      </tp>
      <tp>
        <v>4375</v>
        <stp/>
        <stp>OPEN_INT</stp>
        <stp>.SPY251121P661</stp>
        <tr r="M32" s="1"/>
        <tr r="M32" s="1"/>
      </tp>
      <tp>
        <v>1483</v>
        <stp/>
        <stp>OPEN_INT</stp>
        <stp>.SPY251121C661</stp>
        <tr r="L32" s="1"/>
        <tr r="L32" s="1"/>
      </tp>
      <tp>
        <v>4069</v>
        <stp/>
        <stp>OPEN_INT</stp>
        <stp>.SPY251114P655</stp>
        <tr r="K38" s="1"/>
        <tr r="K38" s="1"/>
      </tp>
      <tp>
        <v>70508</v>
        <stp/>
        <stp>OPEN_INT</stp>
        <stp>.SPY251121P660</stp>
        <tr r="M33" s="1"/>
        <tr r="M33" s="1"/>
      </tp>
      <tp>
        <v>323</v>
        <stp/>
        <stp>OPEN_INT</stp>
        <stp>.SPY251114C655</stp>
        <tr r="J38" s="1"/>
        <tr r="J38" s="1"/>
      </tp>
      <tp>
        <v>9974</v>
        <stp/>
        <stp>OPEN_INT</stp>
        <stp>.SPY251121C660</stp>
        <tr r="L33" s="1"/>
        <tr r="L33" s="1"/>
      </tp>
      <tp>
        <v>899</v>
        <stp/>
        <stp>OPEN_INT</stp>
        <stp>.SPY251114P656</stp>
        <tr r="K37" s="1"/>
        <tr r="K37" s="1"/>
      </tp>
      <tp>
        <v>5196</v>
        <stp/>
        <stp>OPEN_INT</stp>
        <stp>.SPY251121P663</stp>
        <tr r="M30" s="1"/>
        <tr r="M30" s="1"/>
      </tp>
      <tp>
        <v>157</v>
        <stp/>
        <stp>OPEN_INT</stp>
        <stp>.SPY251114C656</stp>
        <tr r="J37" s="1"/>
        <tr r="J37" s="1"/>
      </tp>
      <tp>
        <v>4064</v>
        <stp/>
        <stp>OPEN_INT</stp>
        <stp>.SPY251121C663</stp>
        <tr r="L30" s="1"/>
        <tr r="L30" s="1"/>
      </tp>
      <tp>
        <v>3273</v>
        <stp/>
        <stp>OPEN_INT</stp>
        <stp>.SPY251114P657</stp>
        <tr r="K36" s="1"/>
        <tr r="K36" s="1"/>
      </tp>
      <tp>
        <v>7976</v>
        <stp/>
        <stp>OPEN_INT</stp>
        <stp>.SPY251121P662</stp>
        <tr r="M31" s="1"/>
        <tr r="M31" s="1"/>
      </tp>
      <tp>
        <v>258</v>
        <stp/>
        <stp>OPEN_INT</stp>
        <stp>.SPY251114C657</stp>
        <tr r="J36" s="1"/>
        <tr r="J36" s="1"/>
      </tp>
      <tp>
        <v>1653</v>
        <stp/>
        <stp>OPEN_INT</stp>
        <stp>.SPY251121C662</stp>
        <tr r="L31" s="1"/>
        <tr r="L31" s="1"/>
      </tp>
      <tp>
        <v>2935</v>
        <stp/>
        <stp>OPEN_INT</stp>
        <stp>.SPY251114P658</stp>
        <tr r="K35" s="1"/>
        <tr r="K35" s="1"/>
      </tp>
      <tp>
        <v>346</v>
        <stp/>
        <stp>OPEN_INT</stp>
        <stp>.SPY251114C658</stp>
        <tr r="J35" s="1"/>
        <tr r="J35" s="1"/>
      </tp>
      <tp>
        <v>1289</v>
        <stp/>
        <stp>OPEN_INT</stp>
        <stp>.SPY251114P659</stp>
        <tr r="K34" s="1"/>
        <tr r="K34" s="1"/>
      </tp>
      <tp>
        <v>301</v>
        <stp/>
        <stp>OPEN_INT</stp>
        <stp>.SPY251114C659</stp>
        <tr r="J34" s="1"/>
        <tr r="J34" s="1"/>
      </tp>
      <tp>
        <v>1433</v>
        <stp/>
        <stp>OPEN_INT</stp>
        <stp>.SPY251110P658</stp>
        <tr r="I35" s="1"/>
        <tr r="I35" s="1"/>
      </tp>
      <tp>
        <v>3054</v>
        <stp/>
        <stp>OPEN_INT</stp>
        <stp>.SPY251121P669</stp>
        <tr r="M24" s="1"/>
        <tr r="M24" s="1"/>
      </tp>
      <tp>
        <v>56</v>
        <stp/>
        <stp>OPEN_INT</stp>
        <stp>.SPY251110C658</stp>
        <tr r="H35" s="1"/>
        <tr r="H35" s="1"/>
      </tp>
      <tp>
        <v>6512</v>
        <stp/>
        <stp>OPEN_INT</stp>
        <stp>.SPY251121C669</stp>
        <tr r="L24" s="1"/>
        <tr r="L24" s="1"/>
      </tp>
      <tp>
        <v>5088</v>
        <stp/>
        <stp>OPEN_INT</stp>
        <stp>.SPY251110P659</stp>
        <tr r="I34" s="1"/>
        <tr r="I34" s="1"/>
      </tp>
      <tp>
        <v>3099</v>
        <stp/>
        <stp>OPEN_INT</stp>
        <stp>.SPY251121P668</stp>
        <tr r="M25" s="1"/>
        <tr r="M25" s="1"/>
      </tp>
      <tp>
        <v>106</v>
        <stp/>
        <stp>OPEN_INT</stp>
        <stp>.SPY251110C659</stp>
        <tr r="H34" s="1"/>
        <tr r="H34" s="1"/>
      </tp>
      <tp>
        <v>2289</v>
        <stp/>
        <stp>OPEN_INT</stp>
        <stp>.SPY251121C668</stp>
        <tr r="L25" s="1"/>
        <tr r="L25" s="1"/>
      </tp>
      <tp>
        <v>19601</v>
        <stp/>
        <stp>OPEN_INT</stp>
        <stp>.SPY251121P675</stp>
        <tr r="M18" s="1"/>
        <tr r="M18" s="1"/>
      </tp>
      <tp>
        <v>12982</v>
        <stp/>
        <stp>OPEN_INT</stp>
        <stp>.SPY251121C675</stp>
        <tr r="L18" s="1"/>
        <tr r="L18" s="1"/>
      </tp>
      <tp>
        <v>4549</v>
        <stp/>
        <stp>OPEN_INT</stp>
        <stp>.SPY251121P674</stp>
        <tr r="M19" s="1"/>
        <tr r="M19" s="1"/>
      </tp>
      <tp>
        <v>4620</v>
        <stp/>
        <stp>OPEN_INT</stp>
        <stp>.SPY251121C674</stp>
        <tr r="L19" s="1"/>
        <tr r="L19" s="1"/>
      </tp>
      <tp>
        <v>2604</v>
        <stp/>
        <stp>OPEN_INT</stp>
        <stp>.SPY251121P677</stp>
        <tr r="M16" s="1"/>
        <tr r="M16" s="1"/>
      </tp>
      <tp>
        <v>2936</v>
        <stp/>
        <stp>OPEN_INT</stp>
        <stp>.SPY251121C677</stp>
        <tr r="L16" s="1"/>
        <tr r="L16" s="1"/>
      </tp>
      <tp>
        <v>3508</v>
        <stp/>
        <stp>OPEN_INT</stp>
        <stp>.SPY251121P676</stp>
        <tr r="M17" s="1"/>
        <tr r="M17" s="1"/>
      </tp>
      <tp>
        <v>3572</v>
        <stp/>
        <stp>OPEN_INT</stp>
        <stp>.SPY251121C676</stp>
        <tr r="L17" s="1"/>
        <tr r="L17" s="1"/>
      </tp>
      <tp>
        <v>11848</v>
        <stp/>
        <stp>OPEN_INT</stp>
        <stp>.SPY251121P671</stp>
        <tr r="M22" s="1"/>
        <tr r="M22" s="1"/>
      </tp>
      <tp>
        <v>3216</v>
        <stp/>
        <stp>OPEN_INT</stp>
        <stp>.SPY251121C671</stp>
        <tr r="L22" s="1"/>
        <tr r="L22" s="1"/>
      </tp>
      <tp>
        <v>43144</v>
        <stp/>
        <stp>OPEN_INT</stp>
        <stp>.SPY251121P670</stp>
        <tr r="M23" s="1"/>
        <tr r="M23" s="1"/>
      </tp>
      <tp>
        <v>37032</v>
        <stp/>
        <stp>OPEN_INT</stp>
        <stp>.SPY251121C670</stp>
        <tr r="L23" s="1"/>
        <tr r="L23" s="1"/>
      </tp>
      <tp>
        <v>2054</v>
        <stp/>
        <stp>OPEN_INT</stp>
        <stp>.SPY251121P673</stp>
        <tr r="M20" s="1"/>
        <tr r="M20" s="1"/>
      </tp>
      <tp>
        <v>3446</v>
        <stp/>
        <stp>OPEN_INT</stp>
        <stp>.SPY251121C673</stp>
        <tr r="L20" s="1"/>
        <tr r="L20" s="1"/>
      </tp>
      <tp>
        <v>6575</v>
        <stp/>
        <stp>OPEN_INT</stp>
        <stp>.SPY251121P672</stp>
        <tr r="M21" s="1"/>
        <tr r="M21" s="1"/>
      </tp>
      <tp>
        <v>4971</v>
        <stp/>
        <stp>OPEN_INT</stp>
        <stp>.SPY251121C672</stp>
        <tr r="L21" s="1"/>
        <tr r="L21" s="1"/>
      </tp>
      <tp>
        <v>1747</v>
        <stp/>
        <stp>OPEN_INT</stp>
        <stp>.SPY251121P679</stp>
        <tr r="M14" s="1"/>
        <tr r="M14" s="1"/>
      </tp>
      <tp>
        <v>1408</v>
        <stp/>
        <stp>OPEN_INT</stp>
        <stp>.SPY251121C679</stp>
        <tr r="L14" s="1"/>
        <tr r="L14" s="1"/>
      </tp>
      <tp>
        <v>4572</v>
        <stp/>
        <stp>OPEN_INT</stp>
        <stp>.SPY251121P678</stp>
        <tr r="M15" s="1"/>
        <tr r="M15" s="1"/>
      </tp>
      <tp>
        <v>4807</v>
        <stp/>
        <stp>OPEN_INT</stp>
        <stp>.SPY251121C678</stp>
        <tr r="L15" s="1"/>
        <tr r="L15" s="1"/>
      </tp>
      <tp>
        <v>3</v>
        <stp/>
        <stp>OPEN_INT</stp>
        <stp>.NDX251121C24350</stp>
        <tr r="L187" s="1"/>
        <tr r="L187" s="1"/>
      </tp>
      <tp>
        <v>16</v>
        <stp/>
        <stp>OPEN_INT</stp>
        <stp>.NDX251121C25350</stp>
        <tr r="L147" s="1"/>
        <tr r="L147" s="1"/>
      </tp>
      <tp>
        <v>6232</v>
        <stp/>
        <stp>OPEN_INT</stp>
        <stp>.SPY251121P685</stp>
        <tr r="M8" s="1"/>
        <tr r="M8" s="1"/>
      </tp>
      <tp>
        <v>16785</v>
        <stp/>
        <stp>OPEN_INT</stp>
        <stp>.SPY251121C685</stp>
        <tr r="L8" s="1"/>
        <tr r="L8" s="1"/>
      </tp>
      <tp>
        <v>2340</v>
        <stp/>
        <stp>OPEN_INT</stp>
        <stp>.SPY251121P684</stp>
        <tr r="M9" s="1"/>
        <tr r="M9" s="1"/>
      </tp>
      <tp>
        <v>3826</v>
        <stp/>
        <stp>OPEN_INT</stp>
        <stp>.SPY251121C684</stp>
        <tr r="L9" s="1"/>
        <tr r="L9" s="1"/>
      </tp>
      <tp>
        <v>1797</v>
        <stp/>
        <stp>OPEN_INT</stp>
        <stp>.SPY251121P687</stp>
        <tr r="M6" s="1"/>
        <tr r="M6" s="1"/>
      </tp>
      <tp>
        <v>1834</v>
        <stp/>
        <stp>OPEN_INT</stp>
        <stp>.SPY251121C687</stp>
        <tr r="L6" s="1"/>
        <tr r="L6" s="1"/>
      </tp>
      <tp>
        <v>2353</v>
        <stp/>
        <stp>OPEN_INT</stp>
        <stp>.SPY251121P686</stp>
        <tr r="M7" s="1"/>
        <tr r="M7" s="1"/>
      </tp>
      <tp>
        <v>5024</v>
        <stp/>
        <stp>OPEN_INT</stp>
        <stp>.SPY251121C686</stp>
        <tr r="L7" s="1"/>
        <tr r="L7" s="1"/>
      </tp>
      <tp>
        <v>1877</v>
        <stp/>
        <stp>OPEN_INT</stp>
        <stp>.SPY251121P681</stp>
        <tr r="M12" s="1"/>
        <tr r="M12" s="1"/>
      </tp>
      <tp>
        <v>3779</v>
        <stp/>
        <stp>OPEN_INT</stp>
        <stp>.SPY251121C681</stp>
        <tr r="L12" s="1"/>
        <tr r="L12" s="1"/>
      </tp>
      <tp>
        <v>11365</v>
        <stp/>
        <stp>OPEN_INT</stp>
        <stp>.SPY251121P680</stp>
        <tr r="M13" s="1"/>
        <tr r="M13" s="1"/>
      </tp>
      <tp>
        <v>31225</v>
        <stp/>
        <stp>OPEN_INT</stp>
        <stp>.SPY251121C680</stp>
        <tr r="L13" s="1"/>
        <tr r="L13" s="1"/>
      </tp>
      <tp>
        <v>4486</v>
        <stp/>
        <stp>OPEN_INT</stp>
        <stp>.SPY251121P683</stp>
        <tr r="M10" s="1"/>
        <tr r="M10" s="1"/>
      </tp>
      <tp>
        <v>4181</v>
        <stp/>
        <stp>OPEN_INT</stp>
        <stp>.SPY251121C683</stp>
        <tr r="L10" s="1"/>
        <tr r="L10" s="1"/>
      </tp>
      <tp>
        <v>4539</v>
        <stp/>
        <stp>OPEN_INT</stp>
        <stp>.SPY251121P682</stp>
        <tr r="M11" s="1"/>
        <tr r="M11" s="1"/>
      </tp>
      <tp>
        <v>4965</v>
        <stp/>
        <stp>OPEN_INT</stp>
        <stp>.SPY251121C682</stp>
        <tr r="L11" s="1"/>
        <tr r="L11" s="1"/>
      </tp>
      <tp>
        <v>1087</v>
        <stp/>
        <stp>OPEN_INT</stp>
        <stp>.SPY251121P689</stp>
        <tr r="M4" s="1"/>
        <tr r="M4" s="1"/>
      </tp>
      <tp>
        <v>2324</v>
        <stp/>
        <stp>OPEN_INT</stp>
        <stp>.SPY251121C689</stp>
        <tr r="L4" s="1"/>
        <tr r="L4" s="1"/>
      </tp>
      <tp>
        <v>2655</v>
        <stp/>
        <stp>OPEN_INT</stp>
        <stp>.SPY251121P688</stp>
        <tr r="M5" s="1"/>
        <tr r="M5" s="1"/>
      </tp>
      <tp>
        <v>6256</v>
        <stp/>
        <stp>OPEN_INT</stp>
        <stp>.SPY251121C688</stp>
        <tr r="L5" s="1"/>
        <tr r="L5" s="1"/>
      </tp>
      <tp>
        <v>58</v>
        <stp/>
        <stp>OPEN_INT</stp>
        <stp>.SPY251110P684</stp>
        <tr r="I9" s="1"/>
        <tr r="I9" s="1"/>
      </tp>
      <tp>
        <v>3634</v>
        <stp/>
        <stp>OPEN_INT</stp>
        <stp>.SPY251114P680</stp>
        <tr r="K13" s="1"/>
        <tr r="K13" s="1"/>
      </tp>
      <tp>
        <v>2863</v>
        <stp/>
        <stp>OPEN_INT</stp>
        <stp>.SPY251110C684</stp>
        <tr r="H9" s="1"/>
        <tr r="H9" s="1"/>
      </tp>
      <tp>
        <v>8795</v>
        <stp/>
        <stp>OPEN_INT</stp>
        <stp>.SPY251114C680</stp>
        <tr r="J13" s="1"/>
        <tr r="J13" s="1"/>
      </tp>
      <tp>
        <v>120</v>
        <stp/>
        <stp>OPEN_INT</stp>
        <stp>.SPY251110P685</stp>
        <tr r="I8" s="1"/>
        <tr r="I8" s="1"/>
      </tp>
      <tp>
        <v>687</v>
        <stp/>
        <stp>OPEN_INT</stp>
        <stp>.SPY251114P681</stp>
        <tr r="K12" s="1"/>
        <tr r="K12" s="1"/>
      </tp>
      <tp>
        <v>9523</v>
        <stp/>
        <stp>OPEN_INT</stp>
        <stp>.SPY251110C685</stp>
        <tr r="H8" s="1"/>
        <tr r="H8" s="1"/>
      </tp>
      <tp>
        <v>1720</v>
        <stp/>
        <stp>OPEN_INT</stp>
        <stp>.SPY251114C681</stp>
        <tr r="J12" s="1"/>
        <tr r="J12" s="1"/>
      </tp>
      <tp>
        <v>45</v>
        <stp/>
        <stp>OPEN_INT</stp>
        <stp>.SPY251110P686</stp>
        <tr r="I7" s="1"/>
        <tr r="I7" s="1"/>
      </tp>
      <tp>
        <v>1359</v>
        <stp/>
        <stp>OPEN_INT</stp>
        <stp>.SPY251114P682</stp>
        <tr r="K11" s="1"/>
        <tr r="K11" s="1"/>
      </tp>
      <tp>
        <v>4066</v>
        <stp/>
        <stp>OPEN_INT</stp>
        <stp>.SPY251110C686</stp>
        <tr r="H7" s="1"/>
        <tr r="H7" s="1"/>
      </tp>
      <tp>
        <v>2069</v>
        <stp/>
        <stp>OPEN_INT</stp>
        <stp>.SPY251114C682</stp>
        <tr r="J11" s="1"/>
        <tr r="J11" s="1"/>
      </tp>
      <tp>
        <v>1</v>
        <stp/>
        <stp>OPEN_INT</stp>
        <stp>.SPY251110P687</stp>
        <tr r="I6" s="1"/>
        <tr r="I6" s="1"/>
      </tp>
      <tp>
        <v>863</v>
        <stp/>
        <stp>OPEN_INT</stp>
        <stp>.SPY251114P683</stp>
        <tr r="K10" s="1"/>
        <tr r="K10" s="1"/>
      </tp>
      <tp>
        <v>1391</v>
        <stp/>
        <stp>OPEN_INT</stp>
        <stp>.SPY251110C687</stp>
        <tr r="H6" s="1"/>
        <tr r="H6" s="1"/>
      </tp>
      <tp>
        <v>1898</v>
        <stp/>
        <stp>OPEN_INT</stp>
        <stp>.SPY251114C683</stp>
        <tr r="J10" s="1"/>
        <tr r="J10" s="1"/>
      </tp>
      <tp>
        <v>3078</v>
        <stp/>
        <stp>OPEN_INT</stp>
        <stp>.SPY251110P680</stp>
        <tr r="I13" s="1"/>
        <tr r="I13" s="1"/>
      </tp>
      <tp>
        <v>1037</v>
        <stp/>
        <stp>OPEN_INT</stp>
        <stp>.SPY251114P684</stp>
        <tr r="K9" s="1"/>
        <tr r="K9" s="1"/>
      </tp>
      <tp>
        <v>10150</v>
        <stp/>
        <stp>OPEN_INT</stp>
        <stp>.SPY251110C680</stp>
        <tr r="H13" s="1"/>
        <tr r="H13" s="1"/>
      </tp>
      <tp>
        <v>3097</v>
        <stp/>
        <stp>OPEN_INT</stp>
        <stp>.SPY251114C684</stp>
        <tr r="J9" s="1"/>
        <tr r="J9" s="1"/>
      </tp>
      <tp>
        <v>593</v>
        <stp/>
        <stp>OPEN_INT</stp>
        <stp>.SPY251110P681</stp>
        <tr r="I12" s="1"/>
        <tr r="I12" s="1"/>
      </tp>
      <tp>
        <v>7041</v>
        <stp/>
        <stp>OPEN_INT</stp>
        <stp>.SPY251114P685</stp>
        <tr r="K8" s="1"/>
        <tr r="K8" s="1"/>
      </tp>
      <tp>
        <v>2884</v>
        <stp/>
        <stp>OPEN_INT</stp>
        <stp>.SPY251110C681</stp>
        <tr r="H12" s="1"/>
        <tr r="H12" s="1"/>
      </tp>
      <tp>
        <v>9060</v>
        <stp/>
        <stp>OPEN_INT</stp>
        <stp>.SPY251114C685</stp>
        <tr r="J8" s="1"/>
        <tr r="J8" s="1"/>
      </tp>
      <tp>
        <v>478</v>
        <stp/>
        <stp>OPEN_INT</stp>
        <stp>.SPY251110P682</stp>
        <tr r="I11" s="1"/>
        <tr r="I11" s="1"/>
      </tp>
      <tp>
        <v>995</v>
        <stp/>
        <stp>OPEN_INT</stp>
        <stp>.SPY251114P686</stp>
        <tr r="K7" s="1"/>
        <tr r="K7" s="1"/>
      </tp>
      <tp>
        <v>7117</v>
        <stp/>
        <stp>OPEN_INT</stp>
        <stp>.SPY251110C682</stp>
        <tr r="H11" s="1"/>
        <tr r="H11" s="1"/>
      </tp>
      <tp>
        <v>2277</v>
        <stp/>
        <stp>OPEN_INT</stp>
        <stp>.SPY251114C686</stp>
        <tr r="J7" s="1"/>
        <tr r="J7" s="1"/>
      </tp>
      <tp>
        <v>279</v>
        <stp/>
        <stp>OPEN_INT</stp>
        <stp>.SPY251110P683</stp>
        <tr r="I10" s="1"/>
        <tr r="I10" s="1"/>
      </tp>
      <tp>
        <v>1024</v>
        <stp/>
        <stp>OPEN_INT</stp>
        <stp>.SPY251114P687</stp>
        <tr r="K6" s="1"/>
        <tr r="K6" s="1"/>
      </tp>
      <tp>
        <v>2091</v>
        <stp/>
        <stp>OPEN_INT</stp>
        <stp>.SPY251110C683</stp>
        <tr r="H10" s="1"/>
        <tr r="H10" s="1"/>
      </tp>
      <tp>
        <v>5771</v>
        <stp/>
        <stp>OPEN_INT</stp>
        <stp>.SPY251114C687</stp>
        <tr r="J6" s="1"/>
        <tr r="J6" s="1"/>
      </tp>
      <tp>
        <v>1266</v>
        <stp/>
        <stp>OPEN_INT</stp>
        <stp>.SPY251114P688</stp>
        <tr r="K5" s="1"/>
        <tr r="K5" s="1"/>
      </tp>
      <tp>
        <v>3007</v>
        <stp/>
        <stp>OPEN_INT</stp>
        <stp>.SPY251114C688</stp>
        <tr r="J5" s="1"/>
        <tr r="J5" s="1"/>
      </tp>
      <tp>
        <v>1180</v>
        <stp/>
        <stp>OPEN_INT</stp>
        <stp>.SPY251114P689</stp>
        <tr r="K4" s="1"/>
        <tr r="K4" s="1"/>
      </tp>
      <tp>
        <v>1589</v>
        <stp/>
        <stp>OPEN_INT</stp>
        <stp>.SPY251114C689</stp>
        <tr r="J4" s="1"/>
        <tr r="J4" s="1"/>
      </tp>
      <tp>
        <v>15</v>
        <stp/>
        <stp>OPEN_INT</stp>
        <stp>.SPY251110P688</stp>
        <tr r="I5" s="1"/>
        <tr r="I5" s="1"/>
      </tp>
      <tp>
        <v>4258</v>
        <stp/>
        <stp>OPEN_INT</stp>
        <stp>.SPY251110C688</stp>
        <tr r="H5" s="1"/>
        <tr r="H5" s="1"/>
      </tp>
      <tp>
        <v>7</v>
        <stp/>
        <stp>OPEN_INT</stp>
        <stp>.SPY251110P689</stp>
        <tr r="I4" s="1"/>
        <tr r="I4" s="1"/>
      </tp>
      <tp>
        <v>1997</v>
        <stp/>
        <stp>OPEN_INT</stp>
        <stp>.SPY251110C689</stp>
        <tr r="H4" s="1"/>
        <tr r="H4" s="1"/>
      </tp>
      <tp>
        <v>34</v>
        <stp/>
        <stp>OPEN_INT</stp>
        <stp>.NDX251121P24400</stp>
        <tr r="M185" s="1"/>
        <tr r="M185" s="1"/>
      </tp>
      <tp>
        <v>20</v>
        <stp/>
        <stp>OPEN_INT</stp>
        <stp>.NDX251121P25400</stp>
        <tr r="M145" s="1"/>
        <tr r="M145" s="1"/>
      </tp>
      <tp>
        <v>8</v>
        <stp/>
        <stp>OPEN_INT</stp>
        <stp>.NDX251121P24425</stp>
        <tr r="M184" s="1"/>
        <tr r="M184" s="1"/>
      </tp>
      <tp>
        <v>2</v>
        <stp/>
        <stp>OPEN_INT</stp>
        <stp>.NDX251121P25425</stp>
        <tr r="M144" s="1"/>
        <tr r="M144" s="1"/>
      </tp>
      <tp>
        <v>11</v>
        <stp/>
        <stp>OPEN_INT</stp>
        <stp>.NDX251121P24450</stp>
        <tr r="M183" s="1"/>
        <tr r="M183" s="1"/>
      </tp>
      <tp>
        <v>26</v>
        <stp/>
        <stp>OPEN_INT</stp>
        <stp>.NDX251121P25450</stp>
        <tr r="M143" s="1"/>
        <tr r="M143" s="1"/>
      </tp>
      <tp>
        <v>8</v>
        <stp/>
        <stp>OPEN_INT</stp>
        <stp>.NDX251121P24475</stp>
        <tr r="M182" s="1"/>
        <tr r="M182" s="1"/>
      </tp>
      <tp>
        <v>8</v>
        <stp/>
        <stp>OPEN_INT</stp>
        <stp>.NDX251121P25475</stp>
        <tr r="M142" s="1"/>
        <tr r="M142" s="1"/>
      </tp>
      <tp>
        <v>2</v>
        <stp/>
        <stp>OPEN_INT</stp>
        <stp>.NDX251121C24425</stp>
        <tr r="L184" s="1"/>
        <tr r="L184" s="1"/>
      </tp>
      <tp>
        <v>8</v>
        <stp/>
        <stp>OPEN_INT</stp>
        <stp>.NDX251121C25425</stp>
        <tr r="L144" s="1"/>
        <tr r="L144" s="1"/>
      </tp>
      <tp>
        <v>7</v>
        <stp/>
        <stp>OPEN_INT</stp>
        <stp>.NDX251121C24400</stp>
        <tr r="L185" s="1"/>
        <tr r="L185" s="1"/>
      </tp>
      <tp>
        <v>37</v>
        <stp/>
        <stp>OPEN_INT</stp>
        <stp>.NDX251121C25400</stp>
        <tr r="L145" s="1"/>
        <tr r="L145" s="1"/>
      </tp>
      <tp>
        <v>4</v>
        <stp/>
        <stp>OPEN_INT</stp>
        <stp>.NDX251121C24475</stp>
        <tr r="L182" s="1"/>
        <tr r="L182" s="1"/>
      </tp>
      <tp>
        <v>12</v>
        <stp/>
        <stp>OPEN_INT</stp>
        <stp>.NDX251121C25475</stp>
        <tr r="L142" s="1"/>
        <tr r="L142" s="1"/>
      </tp>
      <tp>
        <v>1</v>
        <stp/>
        <stp>OPEN_INT</stp>
        <stp>.NDX251121C24450</stp>
        <tr r="L183" s="1"/>
        <tr r="L183" s="1"/>
      </tp>
      <tp>
        <v>29</v>
        <stp/>
        <stp>OPEN_INT</stp>
        <stp>.NDX251121C25450</stp>
        <tr r="L143" s="1"/>
        <tr r="L143" s="1"/>
      </tp>
      <tp>
        <v>115</v>
        <stp/>
        <stp>OPEN_INT</stp>
        <stp>.NDX251121P24500</stp>
        <tr r="M181" s="1"/>
        <tr r="M181" s="1"/>
      </tp>
      <tp>
        <v>46</v>
        <stp/>
        <stp>OPEN_INT</stp>
        <stp>.NDX251121P25500</stp>
        <tr r="M141" s="1"/>
        <tr r="M141" s="1"/>
      </tp>
      <tp>
        <v>19</v>
        <stp/>
        <stp>OPEN_INT</stp>
        <stp>.NDX251121P24525</stp>
        <tr r="M180" s="1"/>
        <tr r="M180" s="1"/>
      </tp>
      <tp>
        <v>9</v>
        <stp/>
        <stp>OPEN_INT</stp>
        <stp>.NDX251121P25525</stp>
        <tr r="M140" s="1"/>
        <tr r="M140" s="1"/>
      </tp>
      <tp>
        <v>18</v>
        <stp/>
        <stp>OPEN_INT</stp>
        <stp>.NDX251121P24550</stp>
        <tr r="M179" s="1"/>
        <tr r="M179" s="1"/>
      </tp>
      <tp>
        <v>4</v>
        <stp/>
        <stp>OPEN_INT</stp>
        <stp>.NDX251121P25550</stp>
        <tr r="M139" s="1"/>
        <tr r="M139" s="1"/>
      </tp>
      <tp>
        <v>4</v>
        <stp/>
        <stp>OPEN_INT</stp>
        <stp>.NDX251121P24575</stp>
        <tr r="M178" s="1"/>
        <tr r="M178" s="1"/>
      </tp>
      <tp>
        <v>7</v>
        <stp/>
        <stp>OPEN_INT</stp>
        <stp>.NDX251121P25575</stp>
        <tr r="M138" s="1"/>
        <tr r="M138" s="1"/>
      </tp>
      <tp>
        <v>7</v>
        <stp/>
        <stp>OPEN_INT</stp>
        <stp>.NDX251121C24525</stp>
        <tr r="L180" s="1"/>
        <tr r="L180" s="1"/>
      </tp>
      <tp>
        <v>11</v>
        <stp/>
        <stp>OPEN_INT</stp>
        <stp>.NDX251121C25525</stp>
        <tr r="L140" s="1"/>
        <tr r="L140" s="1"/>
      </tp>
      <tp>
        <v>62</v>
        <stp/>
        <stp>OPEN_INT</stp>
        <stp>.NDX251121C24500</stp>
        <tr r="L181" s="1"/>
        <tr r="L181" s="1"/>
      </tp>
      <tp>
        <v>65</v>
        <stp/>
        <stp>OPEN_INT</stp>
        <stp>.NDX251121C25500</stp>
        <tr r="L141" s="1"/>
        <tr r="L141" s="1"/>
      </tp>
      <tp>
        <v>2</v>
        <stp/>
        <stp>OPEN_INT</stp>
        <stp>.NDX251121C24575</stp>
        <tr r="L178" s="1"/>
        <tr r="L178" s="1"/>
      </tp>
      <tp>
        <v>8</v>
        <stp/>
        <stp>OPEN_INT</stp>
        <stp>.NDX251121C25575</stp>
        <tr r="L138" s="1"/>
        <tr r="L138" s="1"/>
      </tp>
      <tp>
        <v>11</v>
        <stp/>
        <stp>OPEN_INT</stp>
        <stp>.NDX251121C24550</stp>
        <tr r="L179" s="1"/>
        <tr r="L179" s="1"/>
      </tp>
      <tp>
        <v>26</v>
        <stp/>
        <stp>OPEN_INT</stp>
        <stp>.NDX251121C25550</stp>
        <tr r="L139" s="1"/>
        <tr r="L139" s="1"/>
      </tp>
      <tp>
        <v>55</v>
        <stp/>
        <stp>OPEN_INT</stp>
        <stp>.NDX251121P24600</stp>
        <tr r="M177" s="1"/>
        <tr r="M177" s="1"/>
      </tp>
      <tp>
        <v>10</v>
        <stp/>
        <stp>OPEN_INT</stp>
        <stp>.NDX251121P25600</stp>
        <tr r="M137" s="1"/>
        <tr r="M137" s="1"/>
      </tp>
      <tp>
        <v>14</v>
        <stp/>
        <stp>OPEN_INT</stp>
        <stp>.NDX251121P24625</stp>
        <tr r="M176" s="1"/>
        <tr r="M176" s="1"/>
      </tp>
      <tp>
        <v>18</v>
        <stp/>
        <stp>OPEN_INT</stp>
        <stp>.NDX251121P24650</stp>
        <tr r="M175" s="1"/>
        <tr r="M175" s="1"/>
      </tp>
      <tp>
        <v>95</v>
        <stp/>
        <stp>OPEN_INT</stp>
        <stp>.NDX251121P24675</stp>
        <tr r="M174" s="1"/>
        <tr r="M174" s="1"/>
      </tp>
      <tp>
        <v>5</v>
        <stp/>
        <stp>OPEN_INT</stp>
        <stp>.NDX251121C24625</stp>
        <tr r="L176" s="1"/>
        <tr r="L176" s="1"/>
      </tp>
      <tp>
        <v>4136</v>
        <stp/>
        <stp>OPEN_INT</stp>
        <stp>.NDX251121C24600</stp>
        <tr r="L177" s="1"/>
        <tr r="L177" s="1"/>
      </tp>
      <tp>
        <v>269</v>
        <stp/>
        <stp>OPEN_INT</stp>
        <stp>.NDX251121C25600</stp>
        <tr r="L137" s="1"/>
        <tr r="L137" s="1"/>
      </tp>
      <tp>
        <v>5</v>
        <stp/>
        <stp>OPEN_INT</stp>
        <stp>.NDX251121C24675</stp>
        <tr r="L174" s="1"/>
        <tr r="L174" s="1"/>
      </tp>
      <tp>
        <v>7</v>
        <stp/>
        <stp>OPEN_INT</stp>
        <stp>.NDX251121C24650</stp>
        <tr r="L175" s="1"/>
        <tr r="L175" s="1"/>
      </tp>
      <tp>
        <v>59</v>
        <stp/>
        <stp>OPEN_INT</stp>
        <stp>.NDX251121P24700</stp>
        <tr r="M173" s="1"/>
        <tr r="M173" s="1"/>
      </tp>
      <tp>
        <v>15</v>
        <stp/>
        <stp>OPEN_INT</stp>
        <stp>.NDX251121P24725</stp>
        <tr r="M172" s="1"/>
        <tr r="M172" s="1"/>
      </tp>
      <tp>
        <v>80</v>
        <stp/>
        <stp>OPEN_INT</stp>
        <stp>.NDX251121P24750</stp>
        <tr r="M171" s="1"/>
        <tr r="M171" s="1"/>
      </tp>
      <tp>
        <v>6</v>
        <stp/>
        <stp>OPEN_INT</stp>
        <stp>.NDX251121P24775</stp>
        <tr r="M170" s="1"/>
        <tr r="M170" s="1"/>
      </tp>
      <tp>
        <v>8</v>
        <stp/>
        <stp>OPEN_INT</stp>
        <stp>.NDX251121C24725</stp>
        <tr r="L172" s="1"/>
        <tr r="L172" s="1"/>
      </tp>
      <tp>
        <v>96</v>
        <stp/>
        <stp>OPEN_INT</stp>
        <stp>.NDX251121C24700</stp>
        <tr r="L173" s="1"/>
        <tr r="L173" s="1"/>
      </tp>
      <tp>
        <v>4</v>
        <stp/>
        <stp>OPEN_INT</stp>
        <stp>.NDX251121C24775</stp>
        <tr r="L170" s="1"/>
        <tr r="L170" s="1"/>
      </tp>
      <tp>
        <v>574</v>
        <stp/>
        <stp>OPEN_INT</stp>
        <stp>.NDX251121C24750</stp>
        <tr r="L171" s="1"/>
        <tr r="L171" s="1"/>
      </tp>
      <tp>
        <v>23</v>
        <stp/>
        <stp>OPEN_INT</stp>
        <stp>.NDXP251110C25500</stp>
        <tr r="H141" s="1"/>
        <tr r="H141" s="1"/>
      </tp>
      <tp>
        <v>4</v>
        <stp/>
        <stp>OPEN_INT</stp>
        <stp>.NDXP251114C25100</stp>
        <tr r="J157" s="1"/>
        <tr r="J157" s="1"/>
      </tp>
      <tp>
        <v>2</v>
        <stp/>
        <stp>OPEN_INT</stp>
        <stp>.NDXP251110C24500</stp>
        <tr r="H181" s="1"/>
        <tr r="H181" s="1"/>
      </tp>
      <tp t="s">
        <v>N/A</v>
        <stp/>
        <stp>OPEN_INT</stp>
        <stp>.NDXP251110C25525</stp>
        <tr r="H140" s="1"/>
      </tp>
      <tp>
        <v>3</v>
        <stp/>
        <stp>OPEN_INT</stp>
        <stp>.NDXP251114C25125</stp>
        <tr r="J156" s="1"/>
        <tr r="J156" s="1"/>
      </tp>
      <tp t="s">
        <v>N/A</v>
        <stp/>
        <stp>OPEN_INT</stp>
        <stp>.NDXP251110C24525</stp>
        <tr r="H180" s="1"/>
      </tp>
      <tp>
        <v>18</v>
        <stp/>
        <stp>OPEN_INT</stp>
        <stp>.NDXP251110C25550</stp>
        <tr r="H139" s="1"/>
        <tr r="H139" s="1"/>
      </tp>
      <tp>
        <v>5</v>
        <stp/>
        <stp>OPEN_INT</stp>
        <stp>.NDXP251114C25150</stp>
        <tr r="J155" s="1"/>
        <tr r="J155" s="1"/>
      </tp>
      <tp>
        <v>0</v>
        <stp/>
        <stp>OPEN_INT</stp>
        <stp>.NDXP251110C24550</stp>
        <tr r="H179" s="1"/>
        <tr r="H179" s="1"/>
      </tp>
      <tp t="s">
        <v>N/A</v>
        <stp/>
        <stp>OPEN_INT</stp>
        <stp>.NDXP251110C25575</stp>
        <tr r="H138" s="1"/>
      </tp>
      <tp>
        <v>0</v>
        <stp/>
        <stp>OPEN_INT</stp>
        <stp>.NDXP251114C25175</stp>
        <tr r="J154" s="1"/>
        <tr r="J154" s="1"/>
      </tp>
      <tp t="s">
        <v>N/A</v>
        <stp/>
        <stp>OPEN_INT</stp>
        <stp>.NDXP251110C24575</stp>
        <tr r="H178" s="1"/>
      </tp>
      <tp t="s">
        <v>N/A</v>
        <stp/>
        <stp>OPEN_INT</stp>
        <stp>.NDXP251110P25525</stp>
        <tr r="I140" s="1"/>
      </tp>
      <tp>
        <v>4</v>
        <stp/>
        <stp>OPEN_INT</stp>
        <stp>.NDXP251114P25125</stp>
        <tr r="K156" s="1"/>
        <tr r="K156" s="1"/>
      </tp>
      <tp t="s">
        <v>N/A</v>
        <stp/>
        <stp>OPEN_INT</stp>
        <stp>.NDXP251110P24525</stp>
        <tr r="I180" s="1"/>
      </tp>
      <tp>
        <v>20</v>
        <stp/>
        <stp>OPEN_INT</stp>
        <stp>.NDXP251110P25500</stp>
        <tr r="I141" s="1"/>
        <tr r="I141" s="1"/>
      </tp>
      <tp>
        <v>39</v>
        <stp/>
        <stp>OPEN_INT</stp>
        <stp>.NDXP251114P25100</stp>
        <tr r="K157" s="1"/>
        <tr r="K157" s="1"/>
      </tp>
      <tp>
        <v>22</v>
        <stp/>
        <stp>OPEN_INT</stp>
        <stp>.NDXP251110P24500</stp>
        <tr r="I181" s="1"/>
        <tr r="I181" s="1"/>
      </tp>
      <tp t="s">
        <v>N/A</v>
        <stp/>
        <stp>OPEN_INT</stp>
        <stp>.NDXP251110P25575</stp>
        <tr r="I138" s="1"/>
      </tp>
      <tp>
        <v>5</v>
        <stp/>
        <stp>OPEN_INT</stp>
        <stp>.NDXP251114P25175</stp>
        <tr r="K154" s="1"/>
        <tr r="K154" s="1"/>
      </tp>
      <tp t="s">
        <v>N/A</v>
        <stp/>
        <stp>OPEN_INT</stp>
        <stp>.NDXP251110P24575</stp>
        <tr r="I178" s="1"/>
      </tp>
      <tp>
        <v>17</v>
        <stp/>
        <stp>OPEN_INT</stp>
        <stp>.NDXP251110P25550</stp>
        <tr r="I139" s="1"/>
        <tr r="I139" s="1"/>
      </tp>
      <tp>
        <v>17</v>
        <stp/>
        <stp>OPEN_INT</stp>
        <stp>.NDXP251114P25150</stp>
        <tr r="K155" s="1"/>
        <tr r="K155" s="1"/>
      </tp>
      <tp>
        <v>2</v>
        <stp/>
        <stp>OPEN_INT</stp>
        <stp>.NDXP251110P24550</stp>
        <tr r="I179" s="1"/>
        <tr r="I179" s="1"/>
      </tp>
      <tp t="s">
        <v>N/A</v>
        <stp/>
        <stp>VOLUME</stp>
        <stp>.NDXP260828C24775</stp>
        <tr r="V171" s="2"/>
      </tp>
      <tp t="s">
        <v>N/A</v>
        <stp/>
        <stp>VOLUME</stp>
        <stp>.NDXP260626C24975</stp>
        <tr r="T163" s="2"/>
      </tp>
      <tp t="s">
        <v>N/A</v>
        <stp/>
        <stp>VOLUME</stp>
        <stp>.NDXP260109C24675</stp>
        <tr r="L175" s="2"/>
      </tp>
      <tp t="s">
        <v>N/A</v>
        <stp/>
        <stp>VOLUME</stp>
        <stp>.NDXP260206C24975</stp>
        <tr r="N163" s="2"/>
      </tp>
      <tp t="s">
        <v>N/A</v>
        <stp/>
        <stp>VOLUME</stp>
        <stp>.NDXP260227C24875</stp>
        <tr r="P167" s="2"/>
      </tp>
      <tp>
        <v>1</v>
        <stp/>
        <stp>VOLUME</stp>
        <stp>.NDXP251114C24875</stp>
        <tr r="R166" s="1"/>
        <tr r="R166" s="1"/>
      </tp>
      <tp>
        <v>1</v>
        <stp/>
        <stp>VOLUME</stp>
        <stp>.NDXP251205C24975</stp>
        <tr r="I163" s="2"/>
        <tr r="I163" s="2"/>
      </tp>
      <tp t="s">
        <v>N/A</v>
        <stp/>
        <stp>VOLUME</stp>
        <stp>.NDXP260828C24750</stp>
        <tr r="V172" s="2"/>
      </tp>
      <tp t="s">
        <v>N/A</v>
        <stp/>
        <stp>VOLUME</stp>
        <stp>.NDXP260109C24650</stp>
        <tr r="L176" s="2"/>
      </tp>
      <tp t="s">
        <v>N/A</v>
        <stp/>
        <stp>VOLUME</stp>
        <stp>.NDXP260206C24950</stp>
        <tr r="N164" s="2"/>
      </tp>
      <tp t="s">
        <v>N/A</v>
        <stp/>
        <stp>VOLUME</stp>
        <stp>.NDXP260227C24850</stp>
        <tr r="P168" s="2"/>
      </tp>
      <tp t="s">
        <v>N/A</v>
        <stp/>
        <stp>VOLUME</stp>
        <stp>.NDXP260626C24950</stp>
        <tr r="T164" s="2"/>
      </tp>
      <tp>
        <v>26</v>
        <stp/>
        <stp>VOLUME</stp>
        <stp>.NDXP251114C24850</stp>
        <tr r="R167" s="1"/>
        <tr r="R167" s="1"/>
      </tp>
      <tp t="s">
        <v>N/A</v>
        <stp/>
        <stp>VOLUME</stp>
        <stp>.NDXP251205C24950</stp>
        <tr r="I164" s="2"/>
      </tp>
      <tp>
        <v>3</v>
        <stp/>
        <stp>VOLUME</stp>
        <stp>.NDXP251114C24825</stp>
        <tr r="R168" s="1"/>
        <tr r="R168" s="1"/>
      </tp>
      <tp t="s">
        <v>N/A</v>
        <stp/>
        <stp>VOLUME</stp>
        <stp>.NDXP251205C24925</stp>
        <tr r="I165" s="2"/>
      </tp>
      <tp t="s">
        <v>N/A</v>
        <stp/>
        <stp>VOLUME</stp>
        <stp>.NDXP260828C24725</stp>
        <tr r="V173" s="2"/>
      </tp>
      <tp t="s">
        <v>N/A</v>
        <stp/>
        <stp>VOLUME</stp>
        <stp>.NDXP260626C24925</stp>
        <tr r="T165" s="2"/>
      </tp>
      <tp t="s">
        <v>N/A</v>
        <stp/>
        <stp>VOLUME</stp>
        <stp>.NDXP260109C24625</stp>
        <tr r="L177" s="2"/>
      </tp>
      <tp t="s">
        <v>N/A</v>
        <stp/>
        <stp>VOLUME</stp>
        <stp>.NDXP260206C24925</stp>
        <tr r="N165" s="2"/>
      </tp>
      <tp t="s">
        <v>N/A</v>
        <stp/>
        <stp>VOLUME</stp>
        <stp>.NDXP260227C24825</stp>
        <tr r="P169" s="2"/>
      </tp>
      <tp>
        <v>8</v>
        <stp/>
        <stp>VOLUME</stp>
        <stp>.NDXP251114C24800</stp>
        <tr r="R169" s="1"/>
        <tr r="R169" s="1"/>
      </tp>
      <tp t="s">
        <v>N/A</v>
        <stp/>
        <stp>VOLUME</stp>
        <stp>.NDXP251205C24900</stp>
        <tr r="I166" s="2"/>
      </tp>
      <tp t="s">
        <v>N/A</v>
        <stp/>
        <stp>VOLUME</stp>
        <stp>.NDXP260828C24700</stp>
        <tr r="V174" s="2"/>
      </tp>
      <tp t="s">
        <v>N/A</v>
        <stp/>
        <stp>VOLUME</stp>
        <stp>.NDXP260109C24600</stp>
        <tr r="L178" s="2"/>
      </tp>
      <tp t="s">
        <v>N/A</v>
        <stp/>
        <stp>VOLUME</stp>
        <stp>.NDXP260109C25600</stp>
        <tr r="L138" s="2"/>
      </tp>
      <tp t="s">
        <v>N/A</v>
        <stp/>
        <stp>VOLUME</stp>
        <stp>.NDXP260206C24900</stp>
        <tr r="N166" s="2"/>
      </tp>
      <tp t="s">
        <v>N/A</v>
        <stp/>
        <stp>VOLUME</stp>
        <stp>.NDXP260227C24800</stp>
        <tr r="P170" s="2"/>
      </tp>
      <tp t="s">
        <v>N/A</v>
        <stp/>
        <stp>VOLUME</stp>
        <stp>.NDXP260626C24900</stp>
        <tr r="T166" s="2"/>
      </tp>
      <tp>
        <v>15</v>
        <stp/>
        <stp>VOLUME</stp>
        <stp>.NDXP251114P24850</stp>
        <tr r="S167" s="1"/>
        <tr r="S167" s="1"/>
      </tp>
      <tp>
        <v>1</v>
        <stp/>
        <stp>VOLUME</stp>
        <stp>.NDXP251205P24950</stp>
        <tr r="I164" s="2"/>
        <tr r="I164" s="2"/>
      </tp>
      <tp t="s">
        <v>N/A</v>
        <stp/>
        <stp>VOLUME</stp>
        <stp>.NDXP260828P24750</stp>
        <tr r="V172" s="2"/>
      </tp>
      <tp t="s">
        <v>N/A</v>
        <stp/>
        <stp>VOLUME</stp>
        <stp>.NDXP260109P24650</stp>
        <tr r="L176" s="2"/>
      </tp>
      <tp t="s">
        <v>N/A</v>
        <stp/>
        <stp>VOLUME</stp>
        <stp>.NDXP260206P24950</stp>
        <tr r="N164" s="2"/>
      </tp>
      <tp t="s">
        <v>N/A</v>
        <stp/>
        <stp>VOLUME</stp>
        <stp>.NDXP260227P24850</stp>
        <tr r="P168" s="2"/>
      </tp>
      <tp t="s">
        <v>N/A</v>
        <stp/>
        <stp>VOLUME</stp>
        <stp>.NDXP260626P24950</stp>
        <tr r="T164" s="2"/>
      </tp>
      <tp>
        <v>26</v>
        <stp/>
        <stp>VOLUME</stp>
        <stp>.NDXP251114P24875</stp>
        <tr r="S166" s="1"/>
        <tr r="S166" s="1"/>
      </tp>
      <tp>
        <v>2</v>
        <stp/>
        <stp>VOLUME</stp>
        <stp>.NDXP251205P24975</stp>
        <tr r="I163" s="2"/>
        <tr r="I163" s="2"/>
      </tp>
      <tp t="s">
        <v>N/A</v>
        <stp/>
        <stp>VOLUME</stp>
        <stp>.NDXP260828P24775</stp>
        <tr r="V171" s="2"/>
      </tp>
      <tp t="s">
        <v>N/A</v>
        <stp/>
        <stp>VOLUME</stp>
        <stp>.NDXP260626P24975</stp>
        <tr r="T163" s="2"/>
      </tp>
      <tp t="s">
        <v>N/A</v>
        <stp/>
        <stp>VOLUME</stp>
        <stp>.NDXP260109P24675</stp>
        <tr r="L175" s="2"/>
      </tp>
      <tp t="s">
        <v>N/A</v>
        <stp/>
        <stp>VOLUME</stp>
        <stp>.NDXP260206P24975</stp>
        <tr r="N163" s="2"/>
      </tp>
      <tp t="s">
        <v>N/A</v>
        <stp/>
        <stp>VOLUME</stp>
        <stp>.NDXP260227P24875</stp>
        <tr r="P167" s="2"/>
      </tp>
      <tp t="s">
        <v>N/A</v>
        <stp/>
        <stp>VOLUME</stp>
        <stp>.NDXP260828P24700</stp>
        <tr r="V174" s="2"/>
      </tp>
      <tp t="s">
        <v>N/A</v>
        <stp/>
        <stp>VOLUME</stp>
        <stp>.NDXP260109P24600</stp>
        <tr r="L178" s="2"/>
      </tp>
      <tp t="s">
        <v>N/A</v>
        <stp/>
        <stp>VOLUME</stp>
        <stp>.NDXP260109P25600</stp>
        <tr r="L138" s="2"/>
      </tp>
      <tp t="s">
        <v>N/A</v>
        <stp/>
        <stp>VOLUME</stp>
        <stp>.NDXP260206P24900</stp>
        <tr r="N166" s="2"/>
      </tp>
      <tp t="s">
        <v>N/A</v>
        <stp/>
        <stp>VOLUME</stp>
        <stp>.NDXP260227P24800</stp>
        <tr r="P170" s="2"/>
      </tp>
      <tp t="s">
        <v>N/A</v>
        <stp/>
        <stp>VOLUME</stp>
        <stp>.NDXP260626P24900</stp>
        <tr r="T166" s="2"/>
      </tp>
      <tp>
        <v>15</v>
        <stp/>
        <stp>VOLUME</stp>
        <stp>.NDXP251114P24800</stp>
        <tr r="S169" s="1"/>
        <tr r="S169" s="1"/>
      </tp>
      <tp>
        <v>3</v>
        <stp/>
        <stp>VOLUME</stp>
        <stp>.NDXP251205P24900</stp>
        <tr r="I166" s="2"/>
        <tr r="I166" s="2"/>
      </tp>
      <tp t="s">
        <v>N/A</v>
        <stp/>
        <stp>VOLUME</stp>
        <stp>.NDXP260828P24725</stp>
        <tr r="V173" s="2"/>
      </tp>
      <tp t="s">
        <v>N/A</v>
        <stp/>
        <stp>VOLUME</stp>
        <stp>.NDXP260626P24925</stp>
        <tr r="T165" s="2"/>
      </tp>
      <tp t="s">
        <v>N/A</v>
        <stp/>
        <stp>VOLUME</stp>
        <stp>.NDXP260109P24625</stp>
        <tr r="L177" s="2"/>
      </tp>
      <tp t="s">
        <v>N/A</v>
        <stp/>
        <stp>VOLUME</stp>
        <stp>.NDXP260206P24925</stp>
        <tr r="N165" s="2"/>
      </tp>
      <tp t="s">
        <v>N/A</v>
        <stp/>
        <stp>VOLUME</stp>
        <stp>.NDXP260227P24825</stp>
        <tr r="P169" s="2"/>
      </tp>
      <tp>
        <v>4</v>
        <stp/>
        <stp>VOLUME</stp>
        <stp>.NDXP251114P24825</stp>
        <tr r="S168" s="1"/>
        <tr r="S168" s="1"/>
      </tp>
      <tp t="s">
        <v>N/A</v>
        <stp/>
        <stp>VOLUME</stp>
        <stp>.NDXP251205P24925</stp>
        <tr r="I165" s="2"/>
      </tp>
      <tp>
        <v>24</v>
        <stp/>
        <stp>OPEN_INT</stp>
        <stp>.NDXP251110C25400</stp>
        <tr r="H145" s="1"/>
        <tr r="H145" s="1"/>
      </tp>
      <tp>
        <v>82</v>
        <stp/>
        <stp>OPEN_INT</stp>
        <stp>.NDXP251114C25000</stp>
        <tr r="J161" s="1"/>
        <tr r="J161" s="1"/>
      </tp>
      <tp>
        <v>0</v>
        <stp/>
        <stp>OPEN_INT</stp>
        <stp>.NDXP251110C24400</stp>
        <tr r="H185" s="1"/>
        <tr r="H185" s="1"/>
      </tp>
      <tp t="s">
        <v>N/A</v>
        <stp/>
        <stp>OPEN_INT</stp>
        <stp>.NDXP251110C25425</stp>
        <tr r="H144" s="1"/>
      </tp>
      <tp>
        <v>8</v>
        <stp/>
        <stp>OPEN_INT</stp>
        <stp>.NDXP251114C25025</stp>
        <tr r="J160" s="1"/>
        <tr r="J160" s="1"/>
      </tp>
      <tp t="s">
        <v>N/A</v>
        <stp/>
        <stp>OPEN_INT</stp>
        <stp>.NDXP251110C24425</stp>
        <tr r="H184" s="1"/>
      </tp>
      <tp>
        <v>3</v>
        <stp/>
        <stp>OPEN_INT</stp>
        <stp>.NDXP251110C25450</stp>
        <tr r="H143" s="1"/>
        <tr r="H143" s="1"/>
      </tp>
      <tp>
        <v>3</v>
        <stp/>
        <stp>OPEN_INT</stp>
        <stp>.NDXP251114C25050</stp>
        <tr r="J159" s="1"/>
        <tr r="J159" s="1"/>
      </tp>
      <tp>
        <v>0</v>
        <stp/>
        <stp>OPEN_INT</stp>
        <stp>.NDXP251110C24450</stp>
        <tr r="H183" s="1"/>
        <tr r="H183" s="1"/>
      </tp>
      <tp t="s">
        <v>N/A</v>
        <stp/>
        <stp>OPEN_INT</stp>
        <stp>.NDXP251110C25475</stp>
        <tr r="H142" s="1"/>
      </tp>
      <tp>
        <v>1</v>
        <stp/>
        <stp>OPEN_INT</stp>
        <stp>.NDXP251114C25075</stp>
        <tr r="J158" s="1"/>
        <tr r="J158" s="1"/>
      </tp>
      <tp t="s">
        <v>N/A</v>
        <stp/>
        <stp>OPEN_INT</stp>
        <stp>.NDXP251110C24475</stp>
        <tr r="H182" s="1"/>
      </tp>
      <tp t="s">
        <v>N/A</v>
        <stp/>
        <stp>OPEN_INT</stp>
        <stp>.NDXP251110P25425</stp>
        <tr r="I144" s="1"/>
      </tp>
      <tp>
        <v>4</v>
        <stp/>
        <stp>OPEN_INT</stp>
        <stp>.NDXP251114P25025</stp>
        <tr r="K160" s="1"/>
        <tr r="K160" s="1"/>
      </tp>
      <tp t="s">
        <v>N/A</v>
        <stp/>
        <stp>OPEN_INT</stp>
        <stp>.NDXP251110P24425</stp>
        <tr r="I184" s="1"/>
      </tp>
      <tp>
        <v>22</v>
        <stp/>
        <stp>OPEN_INT</stp>
        <stp>.NDXP251110P25400</stp>
        <tr r="I145" s="1"/>
        <tr r="I145" s="1"/>
      </tp>
      <tp>
        <v>123</v>
        <stp/>
        <stp>OPEN_INT</stp>
        <stp>.NDXP251114P25000</stp>
        <tr r="K161" s="1"/>
        <tr r="K161" s="1"/>
      </tp>
      <tp>
        <v>25</v>
        <stp/>
        <stp>OPEN_INT</stp>
        <stp>.NDXP251110P24400</stp>
        <tr r="I185" s="1"/>
        <tr r="I185" s="1"/>
      </tp>
      <tp t="s">
        <v>N/A</v>
        <stp/>
        <stp>OPEN_INT</stp>
        <stp>.NDXP251110P25475</stp>
        <tr r="I142" s="1"/>
      </tp>
      <tp>
        <v>5</v>
        <stp/>
        <stp>OPEN_INT</stp>
        <stp>.NDXP251114P25075</stp>
        <tr r="K158" s="1"/>
        <tr r="K158" s="1"/>
      </tp>
      <tp t="s">
        <v>N/A</v>
        <stp/>
        <stp>OPEN_INT</stp>
        <stp>.NDXP251110P24475</stp>
        <tr r="I182" s="1"/>
      </tp>
      <tp>
        <v>15</v>
        <stp/>
        <stp>OPEN_INT</stp>
        <stp>.NDXP251110P25450</stp>
        <tr r="I143" s="1"/>
        <tr r="I143" s="1"/>
      </tp>
      <tp>
        <v>19</v>
        <stp/>
        <stp>OPEN_INT</stp>
        <stp>.NDXP251114P25050</stp>
        <tr r="K159" s="1"/>
        <tr r="K159" s="1"/>
      </tp>
      <tp>
        <v>3</v>
        <stp/>
        <stp>OPEN_INT</stp>
        <stp>.NDXP251110P24450</stp>
        <tr r="I183" s="1"/>
        <tr r="I183" s="1"/>
      </tp>
      <tp t="s">
        <v>N/A</v>
        <stp/>
        <stp>VOLUME</stp>
        <stp>.NDXP260828C24675</stp>
        <tr r="V175" s="2"/>
      </tp>
      <tp t="s">
        <v>N/A</v>
        <stp/>
        <stp>VOLUME</stp>
        <stp>.NDXP260626C24875</stp>
        <tr r="T167" s="2"/>
      </tp>
      <tp t="s">
        <v>N/A</v>
        <stp/>
        <stp>VOLUME</stp>
        <stp>.NDXP260109C24775</stp>
        <tr r="L171" s="2"/>
      </tp>
      <tp t="s">
        <v>N/A</v>
        <stp/>
        <stp>VOLUME</stp>
        <stp>.NDXP260206C24875</stp>
        <tr r="N167" s="2"/>
      </tp>
      <tp t="s">
        <v>N/A</v>
        <stp/>
        <stp>VOLUME</stp>
        <stp>.NDXP260227C24975</stp>
        <tr r="P163" s="2"/>
      </tp>
      <tp>
        <v>7</v>
        <stp/>
        <stp>VOLUME</stp>
        <stp>.NDXP251114C24975</stp>
        <tr r="R162" s="1"/>
        <tr r="R162" s="1"/>
      </tp>
      <tp t="s">
        <v>N/A</v>
        <stp/>
        <stp>VOLUME</stp>
        <stp>.NDXP251205C24875</stp>
        <tr r="I167" s="2"/>
      </tp>
      <tp t="s">
        <v>N/A</v>
        <stp/>
        <stp>VOLUME</stp>
        <stp>.NDXP260828C24650</stp>
        <tr r="V176" s="2"/>
      </tp>
      <tp t="s">
        <v>N/A</v>
        <stp/>
        <stp>VOLUME</stp>
        <stp>.NDXP260109C24750</stp>
        <tr r="L172" s="2"/>
      </tp>
      <tp t="s">
        <v>N/A</v>
        <stp/>
        <stp>VOLUME</stp>
        <stp>.NDXP260206C24850</stp>
        <tr r="N168" s="2"/>
      </tp>
      <tp t="s">
        <v>N/A</v>
        <stp/>
        <stp>VOLUME</stp>
        <stp>.NDXP260227C24950</stp>
        <tr r="P164" s="2"/>
      </tp>
      <tp t="s">
        <v>N/A</v>
        <stp/>
        <stp>VOLUME</stp>
        <stp>.NDXP260626C24850</stp>
        <tr r="T168" s="2"/>
      </tp>
      <tp>
        <v>8</v>
        <stp/>
        <stp>VOLUME</stp>
        <stp>.NDXP251114C24950</stp>
        <tr r="R163" s="1"/>
        <tr r="R163" s="1"/>
      </tp>
      <tp>
        <v>1</v>
        <stp/>
        <stp>VOLUME</stp>
        <stp>.NDXP251205C24850</stp>
        <tr r="I168" s="2"/>
        <tr r="I168" s="2"/>
      </tp>
      <tp>
        <v>1</v>
        <stp/>
        <stp>VOLUME</stp>
        <stp>.NDXP251114C24925</stp>
        <tr r="R164" s="1"/>
        <tr r="R164" s="1"/>
      </tp>
      <tp t="s">
        <v>N/A</v>
        <stp/>
        <stp>VOLUME</stp>
        <stp>.NDXP251205C24825</stp>
        <tr r="I169" s="2"/>
      </tp>
      <tp t="s">
        <v>N/A</v>
        <stp/>
        <stp>VOLUME</stp>
        <stp>.NDXP260828C24625</stp>
        <tr r="V177" s="2"/>
      </tp>
      <tp t="s">
        <v>N/A</v>
        <stp/>
        <stp>VOLUME</stp>
        <stp>.NDXP260626C24825</stp>
        <tr r="T169" s="2"/>
      </tp>
      <tp t="s">
        <v>N/A</v>
        <stp/>
        <stp>VOLUME</stp>
        <stp>.NDXP260109C24725</stp>
        <tr r="L173" s="2"/>
      </tp>
      <tp t="s">
        <v>N/A</v>
        <stp/>
        <stp>VOLUME</stp>
        <stp>.NDXP260206C24825</stp>
        <tr r="N169" s="2"/>
      </tp>
      <tp t="s">
        <v>N/A</v>
        <stp/>
        <stp>VOLUME</stp>
        <stp>.NDXP260227C24925</stp>
        <tr r="P165" s="2"/>
      </tp>
      <tp>
        <v>23</v>
        <stp/>
        <stp>VOLUME</stp>
        <stp>.NDXP251114C24900</stp>
        <tr r="R165" s="1"/>
        <tr r="R165" s="1"/>
      </tp>
      <tp>
        <v>1</v>
        <stp/>
        <stp>VOLUME</stp>
        <stp>.NDXP251205C24800</stp>
        <tr r="I170" s="2"/>
        <tr r="I170" s="2"/>
      </tp>
      <tp t="s">
        <v>N/A</v>
        <stp/>
        <stp>VOLUME</stp>
        <stp>.NDXP260828C24600</stp>
        <tr r="V178" s="2"/>
      </tp>
      <tp t="s">
        <v>N/A</v>
        <stp/>
        <stp>VOLUME</stp>
        <stp>.NDXP260828C25600</stp>
        <tr r="V138" s="2"/>
      </tp>
      <tp t="s">
        <v>N/A</v>
        <stp/>
        <stp>VOLUME</stp>
        <stp>.NDXP260109C24700</stp>
        <tr r="L174" s="2"/>
      </tp>
      <tp t="s">
        <v>N/A</v>
        <stp/>
        <stp>VOLUME</stp>
        <stp>.NDXP260206C24800</stp>
        <tr r="N170" s="2"/>
      </tp>
      <tp t="s">
        <v>N/A</v>
        <stp/>
        <stp>VOLUME</stp>
        <stp>.NDXP260227C24900</stp>
        <tr r="P166" s="2"/>
      </tp>
      <tp t="s">
        <v>N/A</v>
        <stp/>
        <stp>VOLUME</stp>
        <stp>.NDXP260626C24800</stp>
        <tr r="T170" s="2"/>
      </tp>
      <tp>
        <v>36</v>
        <stp/>
        <stp>VOLUME</stp>
        <stp>.NDXP251114P24950</stp>
        <tr r="S163" s="1"/>
        <tr r="S163" s="1"/>
      </tp>
      <tp>
        <v>1</v>
        <stp/>
        <stp>VOLUME</stp>
        <stp>.NDXP251205P24850</stp>
        <tr r="I168" s="2"/>
        <tr r="I168" s="2"/>
      </tp>
      <tp t="s">
        <v>N/A</v>
        <stp/>
        <stp>VOLUME</stp>
        <stp>.NDXP260828P24650</stp>
        <tr r="V176" s="2"/>
      </tp>
      <tp t="s">
        <v>N/A</v>
        <stp/>
        <stp>VOLUME</stp>
        <stp>.NDXP260109P24750</stp>
        <tr r="L172" s="2"/>
      </tp>
      <tp t="s">
        <v>N/A</v>
        <stp/>
        <stp>VOLUME</stp>
        <stp>.NDXP260206P24850</stp>
        <tr r="N168" s="2"/>
      </tp>
      <tp t="s">
        <v>N/A</v>
        <stp/>
        <stp>VOLUME</stp>
        <stp>.NDXP260227P24950</stp>
        <tr r="P164" s="2"/>
      </tp>
      <tp t="s">
        <v>N/A</v>
        <stp/>
        <stp>VOLUME</stp>
        <stp>.NDXP260626P24850</stp>
        <tr r="T168" s="2"/>
      </tp>
      <tp>
        <v>23</v>
        <stp/>
        <stp>VOLUME</stp>
        <stp>.NDXP251114P24975</stp>
        <tr r="S162" s="1"/>
        <tr r="S162" s="1"/>
      </tp>
      <tp t="s">
        <v>N/A</v>
        <stp/>
        <stp>VOLUME</stp>
        <stp>.NDXP251205P24875</stp>
        <tr r="I167" s="2"/>
      </tp>
      <tp t="s">
        <v>N/A</v>
        <stp/>
        <stp>VOLUME</stp>
        <stp>.NDXP260828P24675</stp>
        <tr r="V175" s="2"/>
      </tp>
      <tp t="s">
        <v>N/A</v>
        <stp/>
        <stp>VOLUME</stp>
        <stp>.NDXP260626P24875</stp>
        <tr r="T167" s="2"/>
      </tp>
      <tp t="s">
        <v>N/A</v>
        <stp/>
        <stp>VOLUME</stp>
        <stp>.NDXP260109P24775</stp>
        <tr r="L171" s="2"/>
      </tp>
      <tp t="s">
        <v>N/A</v>
        <stp/>
        <stp>VOLUME</stp>
        <stp>.NDXP260206P24875</stp>
        <tr r="N167" s="2"/>
      </tp>
      <tp t="s">
        <v>N/A</v>
        <stp/>
        <stp>VOLUME</stp>
        <stp>.NDXP260227P24975</stp>
        <tr r="P163" s="2"/>
      </tp>
      <tp t="s">
        <v>N/A</v>
        <stp/>
        <stp>VOLUME</stp>
        <stp>.NDXP260828P24600</stp>
        <tr r="V178" s="2"/>
      </tp>
      <tp t="s">
        <v>N/A</v>
        <stp/>
        <stp>VOLUME</stp>
        <stp>.NDXP260828P25600</stp>
        <tr r="V138" s="2"/>
      </tp>
      <tp t="s">
        <v>N/A</v>
        <stp/>
        <stp>VOLUME</stp>
        <stp>.NDXP260109P24700</stp>
        <tr r="L174" s="2"/>
      </tp>
      <tp t="s">
        <v>N/A</v>
        <stp/>
        <stp>VOLUME</stp>
        <stp>.NDXP260206P24800</stp>
        <tr r="N170" s="2"/>
      </tp>
      <tp t="s">
        <v>N/A</v>
        <stp/>
        <stp>VOLUME</stp>
        <stp>.NDXP260227P24900</stp>
        <tr r="P166" s="2"/>
      </tp>
      <tp t="s">
        <v>N/A</v>
        <stp/>
        <stp>VOLUME</stp>
        <stp>.NDXP260626P24800</stp>
        <tr r="T170" s="2"/>
      </tp>
      <tp>
        <v>83</v>
        <stp/>
        <stp>VOLUME</stp>
        <stp>.NDXP251114P24900</stp>
        <tr r="S165" s="1"/>
        <tr r="S165" s="1"/>
      </tp>
      <tp>
        <v>1</v>
        <stp/>
        <stp>VOLUME</stp>
        <stp>.NDXP251205P24800</stp>
        <tr r="I170" s="2"/>
        <tr r="I170" s="2"/>
      </tp>
      <tp t="s">
        <v>N/A</v>
        <stp/>
        <stp>VOLUME</stp>
        <stp>.NDXP260828P24625</stp>
        <tr r="V177" s="2"/>
      </tp>
      <tp t="s">
        <v>N/A</v>
        <stp/>
        <stp>VOLUME</stp>
        <stp>.NDXP260626P24825</stp>
        <tr r="T169" s="2"/>
      </tp>
      <tp t="s">
        <v>N/A</v>
        <stp/>
        <stp>VOLUME</stp>
        <stp>.NDXP260109P24725</stp>
        <tr r="L173" s="2"/>
      </tp>
      <tp t="s">
        <v>N/A</v>
        <stp/>
        <stp>VOLUME</stp>
        <stp>.NDXP260206P24825</stp>
        <tr r="N169" s="2"/>
      </tp>
      <tp t="s">
        <v>N/A</v>
        <stp/>
        <stp>VOLUME</stp>
        <stp>.NDXP260227P24925</stp>
        <tr r="P165" s="2"/>
      </tp>
      <tp>
        <v>27</v>
        <stp/>
        <stp>VOLUME</stp>
        <stp>.NDXP251114P24925</stp>
        <tr r="S164" s="1"/>
        <tr r="S164" s="1"/>
      </tp>
      <tp>
        <v>2</v>
        <stp/>
        <stp>VOLUME</stp>
        <stp>.NDXP251205P24825</stp>
        <tr r="I169" s="2"/>
        <tr r="I169" s="2"/>
      </tp>
      <tp>
        <v>5</v>
        <stp/>
        <stp>OPEN_INT</stp>
        <stp>.NDXP251114C25300</stp>
        <tr r="J149" s="1"/>
        <tr r="J149" s="1"/>
      </tp>
      <tp>
        <v>1</v>
        <stp/>
        <stp>OPEN_INT</stp>
        <stp>.NDXP251110C24700</stp>
        <tr r="H173" s="1"/>
        <tr r="H173" s="1"/>
      </tp>
      <tp>
        <v>0</v>
        <stp/>
        <stp>OPEN_INT</stp>
        <stp>.NDXP251114C24300</stp>
        <tr r="J189" s="1"/>
        <tr r="J189" s="1"/>
      </tp>
      <tp>
        <v>5</v>
        <stp/>
        <stp>OPEN_INT</stp>
        <stp>.NDXP251114C25325</stp>
        <tr r="J148" s="1"/>
        <tr r="J148" s="1"/>
      </tp>
      <tp t="s">
        <v>N/A</v>
        <stp/>
        <stp>OPEN_INT</stp>
        <stp>.NDXP251110C24725</stp>
        <tr r="H172" s="1"/>
      </tp>
      <tp>
        <v>0</v>
        <stp/>
        <stp>OPEN_INT</stp>
        <stp>.NDXP251114C24325</stp>
        <tr r="J188" s="1"/>
        <tr r="J188" s="1"/>
      </tp>
      <tp>
        <v>34</v>
        <stp/>
        <stp>OPEN_INT</stp>
        <stp>.NDXP251114C25350</stp>
        <tr r="J147" s="1"/>
        <tr r="J147" s="1"/>
      </tp>
      <tp>
        <v>0</v>
        <stp/>
        <stp>OPEN_INT</stp>
        <stp>.NDXP251110C24750</stp>
        <tr r="H171" s="1"/>
        <tr r="H171" s="1"/>
      </tp>
      <tp>
        <v>0</v>
        <stp/>
        <stp>OPEN_INT</stp>
        <stp>.NDXP251114C24350</stp>
        <tr r="J187" s="1"/>
        <tr r="J187" s="1"/>
      </tp>
      <tp>
        <v>2</v>
        <stp/>
        <stp>OPEN_INT</stp>
        <stp>.NDXP251114C25375</stp>
        <tr r="J146" s="1"/>
        <tr r="J146" s="1"/>
      </tp>
      <tp t="s">
        <v>N/A</v>
        <stp/>
        <stp>OPEN_INT</stp>
        <stp>.NDXP251110C24775</stp>
        <tr r="H170" s="1"/>
      </tp>
      <tp>
        <v>0</v>
        <stp/>
        <stp>OPEN_INT</stp>
        <stp>.NDXP251114C24375</stp>
        <tr r="J186" s="1"/>
        <tr r="J186" s="1"/>
      </tp>
      <tp>
        <v>8</v>
        <stp/>
        <stp>OPEN_INT</stp>
        <stp>.NDXP251114P25325</stp>
        <tr r="K148" s="1"/>
        <tr r="K148" s="1"/>
      </tp>
      <tp t="s">
        <v>N/A</v>
        <stp/>
        <stp>OPEN_INT</stp>
        <stp>.NDXP251110P24725</stp>
        <tr r="I172" s="1"/>
      </tp>
      <tp>
        <v>4</v>
        <stp/>
        <stp>OPEN_INT</stp>
        <stp>.NDXP251114P24325</stp>
        <tr r="K188" s="1"/>
        <tr r="K188" s="1"/>
      </tp>
      <tp>
        <v>5</v>
        <stp/>
        <stp>OPEN_INT</stp>
        <stp>.NDXP251114P25300</stp>
        <tr r="K149" s="1"/>
        <tr r="K149" s="1"/>
      </tp>
      <tp>
        <v>41</v>
        <stp/>
        <stp>OPEN_INT</stp>
        <stp>.NDXP251110P24700</stp>
        <tr r="I173" s="1"/>
        <tr r="I173" s="1"/>
      </tp>
      <tp>
        <v>31</v>
        <stp/>
        <stp>OPEN_INT</stp>
        <stp>.NDXP251114P24300</stp>
        <tr r="K189" s="1"/>
        <tr r="K189" s="1"/>
      </tp>
      <tp>
        <v>7</v>
        <stp/>
        <stp>OPEN_INT</stp>
        <stp>.NDXP251114P25375</stp>
        <tr r="K146" s="1"/>
        <tr r="K146" s="1"/>
      </tp>
      <tp t="s">
        <v>N/A</v>
        <stp/>
        <stp>OPEN_INT</stp>
        <stp>.NDXP251110P24775</stp>
        <tr r="I170" s="1"/>
      </tp>
      <tp>
        <v>3</v>
        <stp/>
        <stp>OPEN_INT</stp>
        <stp>.NDXP251114P24375</stp>
        <tr r="K186" s="1"/>
        <tr r="K186" s="1"/>
      </tp>
      <tp>
        <v>6</v>
        <stp/>
        <stp>OPEN_INT</stp>
        <stp>.NDXP251114P25350</stp>
        <tr r="K147" s="1"/>
        <tr r="K147" s="1"/>
      </tp>
      <tp>
        <v>5</v>
        <stp/>
        <stp>OPEN_INT</stp>
        <stp>.NDXP251110P24750</stp>
        <tr r="I171" s="1"/>
        <tr r="I171" s="1"/>
      </tp>
      <tp>
        <v>23</v>
        <stp/>
        <stp>OPEN_INT</stp>
        <stp>.NDXP251114P24350</stp>
        <tr r="K187" s="1"/>
        <tr r="K187" s="1"/>
      </tp>
      <tp t="s">
        <v>N/A</v>
        <stp/>
        <stp>VOLUME</stp>
        <stp>.NDXP260828C24575</stp>
        <tr r="V179" s="2"/>
      </tp>
      <tp t="s">
        <v>N/A</v>
        <stp/>
        <stp>VOLUME</stp>
        <stp>.NDXP260828C25575</stp>
        <tr r="V139" s="2"/>
      </tp>
      <tp t="s">
        <v>N/A</v>
        <stp/>
        <stp>VOLUME</stp>
        <stp>.NDXP260109C24475</stp>
        <tr r="L183" s="2"/>
      </tp>
      <tp t="s">
        <v>N/A</v>
        <stp/>
        <stp>VOLUME</stp>
        <stp>.NDXP260109C25475</stp>
        <tr r="L143" s="2"/>
      </tp>
      <tp t="s">
        <v>N/A</v>
        <stp/>
        <stp>VOLUME</stp>
        <stp>.NDXP260828C24550</stp>
        <tr r="V180" s="2"/>
      </tp>
      <tp t="s">
        <v>N/A</v>
        <stp/>
        <stp>VOLUME</stp>
        <stp>.NDXP260828C25550</stp>
        <tr r="V140" s="2"/>
      </tp>
      <tp t="s">
        <v>N/A</v>
        <stp/>
        <stp>VOLUME</stp>
        <stp>.NDXP260109C24450</stp>
        <tr r="L184" s="2"/>
      </tp>
      <tp t="s">
        <v>N/A</v>
        <stp/>
        <stp>VOLUME</stp>
        <stp>.NDXP260109C25450</stp>
        <tr r="L144" s="2"/>
      </tp>
      <tp t="s">
        <v>N/A</v>
        <stp/>
        <stp>VOLUME</stp>
        <stp>.NDXP260828C24525</stp>
        <tr r="V181" s="2"/>
      </tp>
      <tp t="s">
        <v>N/A</v>
        <stp/>
        <stp>VOLUME</stp>
        <stp>.NDXP260828C25525</stp>
        <tr r="V141" s="2"/>
      </tp>
      <tp t="s">
        <v>N/A</v>
        <stp/>
        <stp>VOLUME</stp>
        <stp>.NDXP260109C24425</stp>
        <tr r="L185" s="2"/>
      </tp>
      <tp t="s">
        <v>N/A</v>
        <stp/>
        <stp>VOLUME</stp>
        <stp>.NDXP260109C25425</stp>
        <tr r="L145" s="2"/>
      </tp>
      <tp t="s">
        <v>N/A</v>
        <stp/>
        <stp>VOLUME</stp>
        <stp>.NDXP260828C24500</stp>
        <tr r="V182" s="2"/>
      </tp>
      <tp t="s">
        <v>N/A</v>
        <stp/>
        <stp>VOLUME</stp>
        <stp>.NDXP260828C25500</stp>
        <tr r="V142" s="2"/>
      </tp>
      <tp t="s">
        <v>N/A</v>
        <stp/>
        <stp>VOLUME</stp>
        <stp>.NDXP260109C24400</stp>
        <tr r="L186" s="2"/>
      </tp>
      <tp t="s">
        <v>N/A</v>
        <stp/>
        <stp>VOLUME</stp>
        <stp>.NDXP260109C25400</stp>
        <tr r="L146" s="2"/>
      </tp>
      <tp t="s">
        <v>N/A</v>
        <stp/>
        <stp>VOLUME</stp>
        <stp>.NDXP260828P24550</stp>
        <tr r="V180" s="2"/>
      </tp>
      <tp t="s">
        <v>N/A</v>
        <stp/>
        <stp>VOLUME</stp>
        <stp>.NDXP260828P25550</stp>
        <tr r="V140" s="2"/>
      </tp>
      <tp t="s">
        <v>N/A</v>
        <stp/>
        <stp>VOLUME</stp>
        <stp>.NDXP260109P24450</stp>
        <tr r="L184" s="2"/>
      </tp>
      <tp t="s">
        <v>N/A</v>
        <stp/>
        <stp>VOLUME</stp>
        <stp>.NDXP260109P25450</stp>
        <tr r="L144" s="2"/>
      </tp>
      <tp t="s">
        <v>N/A</v>
        <stp/>
        <stp>VOLUME</stp>
        <stp>.NDXP260828P24575</stp>
        <tr r="V179" s="2"/>
      </tp>
      <tp t="s">
        <v>N/A</v>
        <stp/>
        <stp>VOLUME</stp>
        <stp>.NDXP260828P25575</stp>
        <tr r="V139" s="2"/>
      </tp>
      <tp t="s">
        <v>N/A</v>
        <stp/>
        <stp>VOLUME</stp>
        <stp>.NDXP260109P24475</stp>
        <tr r="L183" s="2"/>
      </tp>
      <tp t="s">
        <v>N/A</v>
        <stp/>
        <stp>VOLUME</stp>
        <stp>.NDXP260109P25475</stp>
        <tr r="L143" s="2"/>
      </tp>
      <tp t="s">
        <v>N/A</v>
        <stp/>
        <stp>VOLUME</stp>
        <stp>.NDXP260828P24500</stp>
        <tr r="V182" s="2"/>
      </tp>
      <tp t="s">
        <v>N/A</v>
        <stp/>
        <stp>VOLUME</stp>
        <stp>.NDXP260828P25500</stp>
        <tr r="V142" s="2"/>
      </tp>
      <tp t="s">
        <v>N/A</v>
        <stp/>
        <stp>VOLUME</stp>
        <stp>.NDXP260109P24400</stp>
        <tr r="L186" s="2"/>
      </tp>
      <tp t="s">
        <v>N/A</v>
        <stp/>
        <stp>VOLUME</stp>
        <stp>.NDXP260109P25400</stp>
        <tr r="L146" s="2"/>
      </tp>
      <tp t="s">
        <v>N/A</v>
        <stp/>
        <stp>VOLUME</stp>
        <stp>.NDXP260828P24525</stp>
        <tr r="V181" s="2"/>
      </tp>
      <tp t="s">
        <v>N/A</v>
        <stp/>
        <stp>VOLUME</stp>
        <stp>.NDXP260828P25525</stp>
        <tr r="V141" s="2"/>
      </tp>
      <tp t="s">
        <v>N/A</v>
        <stp/>
        <stp>VOLUME</stp>
        <stp>.NDXP260109P24425</stp>
        <tr r="L185" s="2"/>
      </tp>
      <tp t="s">
        <v>N/A</v>
        <stp/>
        <stp>VOLUME</stp>
        <stp>.NDXP260109P25425</stp>
        <tr r="L145" s="2"/>
      </tp>
      <tp>
        <v>25</v>
        <stp/>
        <stp>OPEN_INT</stp>
        <stp>.NDXP251110C25600</stp>
        <tr r="H137" s="1"/>
        <tr r="H137" s="1"/>
      </tp>
      <tp>
        <v>6</v>
        <stp/>
        <stp>OPEN_INT</stp>
        <stp>.NDXP251114C25200</stp>
        <tr r="J153" s="1"/>
        <tr r="J153" s="1"/>
      </tp>
      <tp>
        <v>1</v>
        <stp/>
        <stp>OPEN_INT</stp>
        <stp>.NDXP251110C24600</stp>
        <tr r="H177" s="1"/>
        <tr r="H177" s="1"/>
      </tp>
      <tp>
        <v>5</v>
        <stp/>
        <stp>OPEN_INT</stp>
        <stp>.NDXP251114C25225</stp>
        <tr r="J152" s="1"/>
        <tr r="J152" s="1"/>
      </tp>
      <tp t="s">
        <v>N/A</v>
        <stp/>
        <stp>OPEN_INT</stp>
        <stp>.NDXP251110C24625</stp>
        <tr r="H176" s="1"/>
      </tp>
      <tp>
        <v>7</v>
        <stp/>
        <stp>OPEN_INT</stp>
        <stp>.NDXP251114C25250</stp>
        <tr r="J151" s="1"/>
        <tr r="J151" s="1"/>
      </tp>
      <tp>
        <v>0</v>
        <stp/>
        <stp>OPEN_INT</stp>
        <stp>.NDXP251110C24650</stp>
        <tr r="H175" s="1"/>
        <tr r="H175" s="1"/>
      </tp>
      <tp>
        <v>5</v>
        <stp/>
        <stp>OPEN_INT</stp>
        <stp>.NDXP251114C25275</stp>
        <tr r="J150" s="1"/>
        <tr r="J150" s="1"/>
      </tp>
      <tp t="s">
        <v>N/A</v>
        <stp/>
        <stp>OPEN_INT</stp>
        <stp>.NDXP251110C24675</stp>
        <tr r="H174" s="1"/>
      </tp>
      <tp>
        <v>5</v>
        <stp/>
        <stp>OPEN_INT</stp>
        <stp>.NDXP251114P25225</stp>
        <tr r="K152" s="1"/>
        <tr r="K152" s="1"/>
      </tp>
      <tp t="s">
        <v>N/A</v>
        <stp/>
        <stp>OPEN_INT</stp>
        <stp>.NDXP251110P24625</stp>
        <tr r="I176" s="1"/>
      </tp>
      <tp>
        <v>14</v>
        <stp/>
        <stp>OPEN_INT</stp>
        <stp>.NDXP251110P25600</stp>
        <tr r="I137" s="1"/>
        <tr r="I137" s="1"/>
      </tp>
      <tp>
        <v>13</v>
        <stp/>
        <stp>OPEN_INT</stp>
        <stp>.NDXP251114P25200</stp>
        <tr r="K153" s="1"/>
        <tr r="K153" s="1"/>
      </tp>
      <tp>
        <v>17</v>
        <stp/>
        <stp>OPEN_INT</stp>
        <stp>.NDXP251110P24600</stp>
        <tr r="I177" s="1"/>
        <tr r="I177" s="1"/>
      </tp>
      <tp>
        <v>2</v>
        <stp/>
        <stp>OPEN_INT</stp>
        <stp>.NDXP251114P25275</stp>
        <tr r="K150" s="1"/>
        <tr r="K150" s="1"/>
      </tp>
      <tp t="s">
        <v>N/A</v>
        <stp/>
        <stp>OPEN_INT</stp>
        <stp>.NDXP251110P24675</stp>
        <tr r="I174" s="1"/>
      </tp>
      <tp>
        <v>3</v>
        <stp/>
        <stp>OPEN_INT</stp>
        <stp>.NDXP251114P25250</stp>
        <tr r="K151" s="1"/>
        <tr r="K151" s="1"/>
      </tp>
      <tp>
        <v>1</v>
        <stp/>
        <stp>OPEN_INT</stp>
        <stp>.NDXP251110P24650</stp>
        <tr r="I175" s="1"/>
        <tr r="I175" s="1"/>
      </tp>
      <tp t="s">
        <v>N/A</v>
        <stp/>
        <stp>VOLUME</stp>
        <stp>.NDXP260828C24475</stp>
        <tr r="V183" s="2"/>
      </tp>
      <tp t="s">
        <v>N/A</v>
        <stp/>
        <stp>VOLUME</stp>
        <stp>.NDXP260828C25475</stp>
        <tr r="V143" s="2"/>
      </tp>
      <tp t="s">
        <v>N/A</v>
        <stp/>
        <stp>VOLUME</stp>
        <stp>.NDXP260109C24575</stp>
        <tr r="L179" s="2"/>
      </tp>
      <tp t="s">
        <v>N/A</v>
        <stp/>
        <stp>VOLUME</stp>
        <stp>.NDXP260109C25575</stp>
        <tr r="L139" s="2"/>
      </tp>
      <tp t="s">
        <v>N/A</v>
        <stp/>
        <stp>VOLUME</stp>
        <stp>.NDXP260828C24450</stp>
        <tr r="V184" s="2"/>
      </tp>
      <tp t="s">
        <v>N/A</v>
        <stp/>
        <stp>VOLUME</stp>
        <stp>.NDXP260828C25450</stp>
        <tr r="V144" s="2"/>
      </tp>
      <tp t="s">
        <v>N/A</v>
        <stp/>
        <stp>VOLUME</stp>
        <stp>.NDXP260109C24550</stp>
        <tr r="L180" s="2"/>
      </tp>
      <tp t="s">
        <v>N/A</v>
        <stp/>
        <stp>VOLUME</stp>
        <stp>.NDXP260109C25550</stp>
        <tr r="L140" s="2"/>
      </tp>
      <tp t="s">
        <v>N/A</v>
        <stp/>
        <stp>VOLUME</stp>
        <stp>.NDXP260828C24425</stp>
        <tr r="V185" s="2"/>
      </tp>
      <tp t="s">
        <v>N/A</v>
        <stp/>
        <stp>VOLUME</stp>
        <stp>.NDXP260828C25425</stp>
        <tr r="V145" s="2"/>
      </tp>
      <tp t="s">
        <v>N/A</v>
        <stp/>
        <stp>VOLUME</stp>
        <stp>.NDXP260109C24525</stp>
        <tr r="L181" s="2"/>
      </tp>
      <tp t="s">
        <v>N/A</v>
        <stp/>
        <stp>VOLUME</stp>
        <stp>.NDXP260109C25525</stp>
        <tr r="L141" s="2"/>
      </tp>
      <tp t="s">
        <v>N/A</v>
        <stp/>
        <stp>VOLUME</stp>
        <stp>.NDXP260828C24400</stp>
        <tr r="V186" s="2"/>
      </tp>
      <tp t="s">
        <v>N/A</v>
        <stp/>
        <stp>VOLUME</stp>
        <stp>.NDXP260828C25400</stp>
        <tr r="V146" s="2"/>
      </tp>
      <tp t="s">
        <v>N/A</v>
        <stp/>
        <stp>VOLUME</stp>
        <stp>.NDXP260109C24500</stp>
        <tr r="L182" s="2"/>
      </tp>
      <tp t="s">
        <v>N/A</v>
        <stp/>
        <stp>VOLUME</stp>
        <stp>.NDXP260109C25500</stp>
        <tr r="L142" s="2"/>
      </tp>
      <tp t="s">
        <v>N/A</v>
        <stp/>
        <stp>VOLUME</stp>
        <stp>.NDXP260828P24450</stp>
        <tr r="V184" s="2"/>
      </tp>
      <tp t="s">
        <v>N/A</v>
        <stp/>
        <stp>VOLUME</stp>
        <stp>.NDXP260828P25450</stp>
        <tr r="V144" s="2"/>
      </tp>
      <tp t="s">
        <v>N/A</v>
        <stp/>
        <stp>VOLUME</stp>
        <stp>.NDXP260109P24550</stp>
        <tr r="L180" s="2"/>
      </tp>
      <tp t="s">
        <v>N/A</v>
        <stp/>
        <stp>VOLUME</stp>
        <stp>.NDXP260109P25550</stp>
        <tr r="L140" s="2"/>
      </tp>
      <tp t="s">
        <v>N/A</v>
        <stp/>
        <stp>VOLUME</stp>
        <stp>.NDXP260828P24475</stp>
        <tr r="V183" s="2"/>
      </tp>
      <tp t="s">
        <v>N/A</v>
        <stp/>
        <stp>VOLUME</stp>
        <stp>.NDXP260828P25475</stp>
        <tr r="V143" s="2"/>
      </tp>
      <tp t="s">
        <v>N/A</v>
        <stp/>
        <stp>VOLUME</stp>
        <stp>.NDXP260109P24575</stp>
        <tr r="L179" s="2"/>
      </tp>
      <tp t="s">
        <v>N/A</v>
        <stp/>
        <stp>VOLUME</stp>
        <stp>.NDXP260109P25575</stp>
        <tr r="L139" s="2"/>
      </tp>
      <tp t="s">
        <v>N/A</v>
        <stp/>
        <stp>VOLUME</stp>
        <stp>.NDXP260828P24400</stp>
        <tr r="V186" s="2"/>
      </tp>
      <tp t="s">
        <v>N/A</v>
        <stp/>
        <stp>VOLUME</stp>
        <stp>.NDXP260828P25400</stp>
        <tr r="V146" s="2"/>
      </tp>
      <tp t="s">
        <v>N/A</v>
        <stp/>
        <stp>VOLUME</stp>
        <stp>.NDXP260109P24500</stp>
        <tr r="L182" s="2"/>
      </tp>
      <tp t="s">
        <v>N/A</v>
        <stp/>
        <stp>VOLUME</stp>
        <stp>.NDXP260109P25500</stp>
        <tr r="L142" s="2"/>
      </tp>
      <tp t="s">
        <v>N/A</v>
        <stp/>
        <stp>VOLUME</stp>
        <stp>.NDXP260828P24425</stp>
        <tr r="V185" s="2"/>
      </tp>
      <tp t="s">
        <v>N/A</v>
        <stp/>
        <stp>VOLUME</stp>
        <stp>.NDXP260828P25425</stp>
        <tr r="V145" s="2"/>
      </tp>
      <tp t="s">
        <v>N/A</v>
        <stp/>
        <stp>VOLUME</stp>
        <stp>.NDXP260109P24525</stp>
        <tr r="L181" s="2"/>
      </tp>
      <tp t="s">
        <v>N/A</v>
        <stp/>
        <stp>VOLUME</stp>
        <stp>.NDXP260109P25525</stp>
        <tr r="L141" s="2"/>
      </tp>
      <tp>
        <v>2</v>
        <stp/>
        <stp>OPEN_INT</stp>
        <stp>.NDXP251110C25100</stp>
        <tr r="H157" s="1"/>
        <tr r="H157" s="1"/>
      </tp>
      <tp>
        <v>58</v>
        <stp/>
        <stp>OPEN_INT</stp>
        <stp>.NDXP251114C25500</stp>
        <tr r="J141" s="1"/>
        <tr r="J141" s="1"/>
      </tp>
      <tp>
        <v>60</v>
        <stp/>
        <stp>OPEN_INT</stp>
        <stp>.NDXP251114C24500</stp>
        <tr r="J181" s="1"/>
        <tr r="J181" s="1"/>
      </tp>
      <tp t="s">
        <v>N/A</v>
        <stp/>
        <stp>OPEN_INT</stp>
        <stp>.NDXP251110C25125</stp>
        <tr r="H156" s="1"/>
      </tp>
      <tp>
        <v>3</v>
        <stp/>
        <stp>OPEN_INT</stp>
        <stp>.NDXP251114C25525</stp>
        <tr r="J140" s="1"/>
        <tr r="J140" s="1"/>
      </tp>
      <tp>
        <v>1</v>
        <stp/>
        <stp>OPEN_INT</stp>
        <stp>.NDXP251114C24525</stp>
        <tr r="J180" s="1"/>
        <tr r="J180" s="1"/>
      </tp>
      <tp>
        <v>0</v>
        <stp/>
        <stp>OPEN_INT</stp>
        <stp>.NDXP251110C25150</stp>
        <tr r="H155" s="1"/>
        <tr r="H155" s="1"/>
      </tp>
      <tp>
        <v>8</v>
        <stp/>
        <stp>OPEN_INT</stp>
        <stp>.NDXP251114C25550</stp>
        <tr r="J139" s="1"/>
        <tr r="J139" s="1"/>
      </tp>
      <tp>
        <v>1</v>
        <stp/>
        <stp>OPEN_INT</stp>
        <stp>.NDXP251114C24550</stp>
        <tr r="J179" s="1"/>
        <tr r="J179" s="1"/>
      </tp>
      <tp t="s">
        <v>N/A</v>
        <stp/>
        <stp>OPEN_INT</stp>
        <stp>.NDXP251110C25175</stp>
        <tr r="H154" s="1"/>
      </tp>
      <tp>
        <v>31</v>
        <stp/>
        <stp>OPEN_INT</stp>
        <stp>.NDXP251114C25575</stp>
        <tr r="J138" s="1"/>
        <tr r="J138" s="1"/>
      </tp>
      <tp>
        <v>0</v>
        <stp/>
        <stp>OPEN_INT</stp>
        <stp>.NDXP251114C24575</stp>
        <tr r="J178" s="1"/>
        <tr r="J178" s="1"/>
      </tp>
      <tp t="s">
        <v>N/A</v>
        <stp/>
        <stp>OPEN_INT</stp>
        <stp>.NDXP251110P25125</stp>
        <tr r="I156" s="1"/>
      </tp>
      <tp>
        <v>4</v>
        <stp/>
        <stp>OPEN_INT</stp>
        <stp>.NDXP251114P25525</stp>
        <tr r="K140" s="1"/>
        <tr r="K140" s="1"/>
      </tp>
      <tp>
        <v>10</v>
        <stp/>
        <stp>OPEN_INT</stp>
        <stp>.NDXP251114P24525</stp>
        <tr r="K180" s="1"/>
        <tr r="K180" s="1"/>
      </tp>
      <tp>
        <v>47</v>
        <stp/>
        <stp>OPEN_INT</stp>
        <stp>.NDXP251110P25100</stp>
        <tr r="I157" s="1"/>
        <tr r="I157" s="1"/>
      </tp>
      <tp>
        <v>78</v>
        <stp/>
        <stp>OPEN_INT</stp>
        <stp>.NDXP251114P25500</stp>
        <tr r="K141" s="1"/>
        <tr r="K141" s="1"/>
      </tp>
      <tp>
        <v>83</v>
        <stp/>
        <stp>OPEN_INT</stp>
        <stp>.NDXP251114P24500</stp>
        <tr r="K181" s="1"/>
        <tr r="K181" s="1"/>
      </tp>
      <tp t="s">
        <v>N/A</v>
        <stp/>
        <stp>OPEN_INT</stp>
        <stp>.NDXP251110P25175</stp>
        <tr r="I154" s="1"/>
      </tp>
      <tp>
        <v>33</v>
        <stp/>
        <stp>OPEN_INT</stp>
        <stp>.NDXP251114P25575</stp>
        <tr r="K138" s="1"/>
        <tr r="K138" s="1"/>
      </tp>
      <tp>
        <v>8</v>
        <stp/>
        <stp>OPEN_INT</stp>
        <stp>.NDXP251114P24575</stp>
        <tr r="K178" s="1"/>
        <tr r="K178" s="1"/>
      </tp>
      <tp>
        <v>11</v>
        <stp/>
        <stp>OPEN_INT</stp>
        <stp>.NDXP251110P25150</stp>
        <tr r="I155" s="1"/>
        <tr r="I155" s="1"/>
      </tp>
      <tp>
        <v>4</v>
        <stp/>
        <stp>OPEN_INT</stp>
        <stp>.NDXP251114P25550</stp>
        <tr r="K139" s="1"/>
        <tr r="K139" s="1"/>
      </tp>
      <tp>
        <v>16</v>
        <stp/>
        <stp>OPEN_INT</stp>
        <stp>.NDXP251114P24550</stp>
        <tr r="K179" s="1"/>
        <tr r="K179" s="1"/>
      </tp>
      <tp t="s">
        <v>N/A</v>
        <stp/>
        <stp>VOLUME</stp>
        <stp>.NDXP260828C24375</stp>
        <tr r="V187" s="2"/>
      </tp>
      <tp t="s">
        <v>N/A</v>
        <stp/>
        <stp>VOLUME</stp>
        <stp>.NDXP260828C25375</stp>
        <tr r="V147" s="2"/>
      </tp>
      <tp t="s">
        <v>N/A</v>
        <stp/>
        <stp>VOLUME</stp>
        <stp>.NDXP260109C25275</stp>
        <tr r="L151" s="2"/>
      </tp>
      <tp t="s">
        <v>N/A</v>
        <stp/>
        <stp>VOLUME</stp>
        <stp>.NDXP251110C24875</stp>
        <tr r="B167" s="2"/>
        <tr r="P166" s="1"/>
      </tp>
      <tp t="s">
        <v>N/A</v>
        <stp/>
        <stp>VOLUME</stp>
        <stp>.NDXP251111C24975</stp>
        <tr r="C163" s="2"/>
      </tp>
      <tp t="s">
        <v>N/A</v>
        <stp/>
        <stp>VOLUME</stp>
        <stp>.NDXP260828C24350</stp>
        <tr r="V188" s="2"/>
      </tp>
      <tp t="s">
        <v>N/A</v>
        <stp/>
        <stp>VOLUME</stp>
        <stp>.NDXP260828C25350</stp>
        <tr r="V148" s="2"/>
      </tp>
      <tp t="s">
        <v>N/A</v>
        <stp/>
        <stp>VOLUME</stp>
        <stp>.NDXP260109C25250</stp>
        <tr r="L152" s="2"/>
      </tp>
      <tp>
        <v>22</v>
        <stp/>
        <stp>VOLUME</stp>
        <stp>.NDXP251110C24850</stp>
        <tr r="B168" s="2"/>
        <tr r="B168" s="2"/>
        <tr r="P167" s="1"/>
        <tr r="P167" s="1"/>
      </tp>
      <tp>
        <v>3</v>
        <stp/>
        <stp>VOLUME</stp>
        <stp>.NDXP251111C24950</stp>
        <tr r="C164" s="2"/>
        <tr r="C164" s="2"/>
      </tp>
      <tp t="s">
        <v>N/A</v>
        <stp/>
        <stp>VOLUME</stp>
        <stp>.NDXP251110C24825</stp>
        <tr r="B169" s="2"/>
        <tr r="P168" s="1"/>
      </tp>
      <tp t="s">
        <v>N/A</v>
        <stp/>
        <stp>VOLUME</stp>
        <stp>.NDXP251111C24925</stp>
        <tr r="C165" s="2"/>
      </tp>
      <tp t="s">
        <v>N/A</v>
        <stp/>
        <stp>VOLUME</stp>
        <stp>.NDXP260828C24325</stp>
        <tr r="V189" s="2"/>
      </tp>
      <tp t="s">
        <v>N/A</v>
        <stp/>
        <stp>VOLUME</stp>
        <stp>.NDXP260828C25325</stp>
        <tr r="V149" s="2"/>
      </tp>
      <tp t="s">
        <v>N/A</v>
        <stp/>
        <stp>VOLUME</stp>
        <stp>.NDXP260109C25225</stp>
        <tr r="L153" s="2"/>
      </tp>
      <tp>
        <v>185</v>
        <stp/>
        <stp>VOLUME</stp>
        <stp>.NDXP251110C24800</stp>
        <tr r="B170" s="2"/>
        <tr r="B170" s="2"/>
        <tr r="P169" s="1"/>
        <tr r="P169" s="1"/>
      </tp>
      <tp>
        <v>4</v>
        <stp/>
        <stp>VOLUME</stp>
        <stp>.NDXP251111C24900</stp>
        <tr r="C166" s="2"/>
        <tr r="C166" s="2"/>
      </tp>
      <tp t="s">
        <v>N/A</v>
        <stp/>
        <stp>VOLUME</stp>
        <stp>.NDXP260828C24300</stp>
        <tr r="V190" s="2"/>
      </tp>
      <tp t="s">
        <v>N/A</v>
        <stp/>
        <stp>VOLUME</stp>
        <stp>.NDXP260828C25300</stp>
        <tr r="V150" s="2"/>
      </tp>
      <tp t="s">
        <v>N/A</v>
        <stp/>
        <stp>VOLUME</stp>
        <stp>.NDXP260109C25200</stp>
        <tr r="L154" s="2"/>
      </tp>
      <tp>
        <v>9</v>
        <stp/>
        <stp>VOLUME</stp>
        <stp>.SPXW251128C6705</stp>
        <tr r="H113" s="2"/>
        <tr r="H113" s="2"/>
      </tp>
      <tp t="s">
        <v>N/A</v>
        <stp/>
        <stp>VOLUME</stp>
        <stp>.SPXW260828C6735</stp>
        <tr r="V107" s="2"/>
      </tp>
      <tp t="s">
        <v>N/A</v>
        <stp/>
        <stp>VOLUME</stp>
        <stp>.SPXW260828C6730</stp>
        <tr r="V108" s="2"/>
      </tp>
      <tp>
        <v>1020</v>
        <stp/>
        <stp>VOLUME</stp>
        <stp>.SPXW251128C6700</stp>
        <tr r="H114" s="2"/>
        <tr r="H114" s="2"/>
      </tp>
      <tp t="s">
        <v>N/A</v>
        <stp/>
        <stp>VOLUME</stp>
        <stp>.SPXW260828P6735</stp>
        <tr r="V107" s="2"/>
      </tp>
      <tp>
        <v>64</v>
        <stp/>
        <stp>VOLUME</stp>
        <stp>.SPXW251128P6705</stp>
        <tr r="H113" s="2"/>
        <tr r="H113" s="2"/>
      </tp>
      <tp>
        <v>2116</v>
        <stp/>
        <stp>VOLUME</stp>
        <stp>.SPXW251128P6700</stp>
        <tr r="H114" s="2"/>
        <tr r="H114" s="2"/>
      </tp>
      <tp t="s">
        <v>N/A</v>
        <stp/>
        <stp>VOLUME</stp>
        <stp>.SPXW260828P6730</stp>
        <tr r="V108" s="2"/>
      </tp>
      <tp>
        <v>14</v>
        <stp/>
        <stp>VOLUME</stp>
        <stp>.SPXW251128C6715</stp>
        <tr r="H111" s="2"/>
        <tr r="H111" s="2"/>
      </tp>
      <tp t="s">
        <v>N/A</v>
        <stp/>
        <stp>VOLUME</stp>
        <stp>.SPXW260828C6725</stp>
        <tr r="V109" s="2"/>
      </tp>
      <tp t="s">
        <v>N/A</v>
        <stp/>
        <stp>VOLUME</stp>
        <stp>.SPXW260828C6720</stp>
        <tr r="V110" s="2"/>
      </tp>
      <tp>
        <v>152</v>
        <stp/>
        <stp>VOLUME</stp>
        <stp>.SPXW251128C6710</stp>
        <tr r="H112" s="2"/>
        <tr r="H112" s="2"/>
      </tp>
      <tp t="s">
        <v>N/A</v>
        <stp/>
        <stp>VOLUME</stp>
        <stp>.SPXW260828P6725</stp>
        <tr r="V109" s="2"/>
      </tp>
      <tp>
        <v>29</v>
        <stp/>
        <stp>VOLUME</stp>
        <stp>.SPXW251128P6715</stp>
        <tr r="H111" s="2"/>
        <tr r="H111" s="2"/>
      </tp>
      <tp>
        <v>41</v>
        <stp/>
        <stp>VOLUME</stp>
        <stp>.SPXW251128P6710</stp>
        <tr r="H112" s="2"/>
        <tr r="H112" s="2"/>
      </tp>
      <tp t="s">
        <v>N/A</v>
        <stp/>
        <stp>VOLUME</stp>
        <stp>.SPXW260828P6720</stp>
        <tr r="V110" s="2"/>
      </tp>
      <tp t="s">
        <v>N/A</v>
        <stp/>
        <stp>VOLUME</stp>
        <stp>.SPXW261030C6695</stp>
        <tr r="X115" s="2"/>
      </tp>
      <tp>
        <v>222</v>
        <stp/>
        <stp>VOLUME</stp>
        <stp>.SPXW251128C6725</stp>
        <tr r="H109" s="2"/>
        <tr r="H109" s="2"/>
      </tp>
      <tp t="s">
        <v>N/A</v>
        <stp/>
        <stp>VOLUME</stp>
        <stp>.SPXW260828C6715</stp>
        <tr r="V111" s="2"/>
      </tp>
      <tp t="s">
        <v>N/A</v>
        <stp/>
        <stp>VOLUME</stp>
        <stp>.SPXW260828C6710</stp>
        <tr r="V112" s="2"/>
      </tp>
      <tp t="s">
        <v>N/A</v>
        <stp/>
        <stp>VOLUME</stp>
        <stp>.SPXW261030C6690</stp>
        <tr r="X116" s="2"/>
      </tp>
      <tp>
        <v>25</v>
        <stp/>
        <stp>VOLUME</stp>
        <stp>.SPXW251128C6720</stp>
        <tr r="H110" s="2"/>
        <tr r="H110" s="2"/>
      </tp>
      <tp t="s">
        <v>N/A</v>
        <stp/>
        <stp>VOLUME</stp>
        <stp>.SPXW260828P6715</stp>
        <tr r="V111" s="2"/>
      </tp>
      <tp t="s">
        <v>N/A</v>
        <stp/>
        <stp>VOLUME</stp>
        <stp>.SPXW261030P6695</stp>
        <tr r="X115" s="2"/>
      </tp>
      <tp>
        <v>868</v>
        <stp/>
        <stp>VOLUME</stp>
        <stp>.SPXW251128P6725</stp>
        <tr r="H109" s="2"/>
        <tr r="H109" s="2"/>
      </tp>
      <tp t="s">
        <v>N/A</v>
        <stp/>
        <stp>VOLUME</stp>
        <stp>.SPXW261030P6690</stp>
        <tr r="X116" s="2"/>
      </tp>
      <tp>
        <v>56</v>
        <stp/>
        <stp>VOLUME</stp>
        <stp>.SPXW251128P6720</stp>
        <tr r="H110" s="2"/>
        <tr r="H110" s="2"/>
      </tp>
      <tp t="s">
        <v>N/A</v>
        <stp/>
        <stp>VOLUME</stp>
        <stp>.SPXW260828P6710</stp>
        <tr r="V112" s="2"/>
      </tp>
      <tp t="s">
        <v>N/A</v>
        <stp/>
        <stp>VOLUME</stp>
        <stp>.SPXW261030C6685</stp>
        <tr r="X117" s="2"/>
      </tp>
      <tp>
        <v>16</v>
        <stp/>
        <stp>VOLUME</stp>
        <stp>.SPXW251128C6735</stp>
        <tr r="H107" s="2"/>
        <tr r="H107" s="2"/>
      </tp>
      <tp t="s">
        <v>N/A</v>
        <stp/>
        <stp>VOLUME</stp>
        <stp>.SPXW260828C6705</stp>
        <tr r="V113" s="2"/>
      </tp>
      <tp t="s">
        <v>N/A</v>
        <stp/>
        <stp>VOLUME</stp>
        <stp>.SPXW260828C6700</stp>
        <tr r="V114" s="2"/>
      </tp>
      <tp t="s">
        <v>N/A</v>
        <stp/>
        <stp>VOLUME</stp>
        <stp>.SPXW261030C6680</stp>
        <tr r="X118" s="2"/>
      </tp>
      <tp>
        <v>224</v>
        <stp/>
        <stp>VOLUME</stp>
        <stp>.SPXW251128C6730</stp>
        <tr r="H108" s="2"/>
        <tr r="H108" s="2"/>
      </tp>
      <tp t="s">
        <v>N/A</v>
        <stp/>
        <stp>VOLUME</stp>
        <stp>.SPXW260828P6705</stp>
        <tr r="V113" s="2"/>
      </tp>
      <tp t="s">
        <v>N/A</v>
        <stp/>
        <stp>VOLUME</stp>
        <stp>.SPXW261030P6685</stp>
        <tr r="X117" s="2"/>
      </tp>
      <tp>
        <v>13</v>
        <stp/>
        <stp>VOLUME</stp>
        <stp>.SPXW251128P6735</stp>
        <tr r="H107" s="2"/>
        <tr r="H107" s="2"/>
      </tp>
      <tp t="s">
        <v>N/A</v>
        <stp/>
        <stp>VOLUME</stp>
        <stp>.SPXW261030P6680</stp>
        <tr r="X118" s="2"/>
      </tp>
      <tp>
        <v>94</v>
        <stp/>
        <stp>VOLUME</stp>
        <stp>.SPXW251128P6730</stp>
        <tr r="H108" s="2"/>
        <tr r="H108" s="2"/>
      </tp>
      <tp t="s">
        <v>N/A</v>
        <stp/>
        <stp>VOLUME</stp>
        <stp>.SPXW260828P6700</stp>
        <tr r="V114" s="2"/>
      </tp>
      <tp>
        <v>9</v>
        <stp/>
        <stp>VOLUME</stp>
        <stp>.SPXW251128C6745</stp>
        <tr r="H105" s="2"/>
        <tr r="H105" s="2"/>
      </tp>
      <tp t="s">
        <v>N/A</v>
        <stp/>
        <stp>VOLUME</stp>
        <stp>.SPXW260828C6775</stp>
        <tr r="V99" s="2"/>
      </tp>
      <tp t="s">
        <v>N/A</v>
        <stp/>
        <stp>VOLUME</stp>
        <stp>.SPXW260227C6785</stp>
        <tr r="P97" s="2"/>
      </tp>
      <tp t="s">
        <v>N/A</v>
        <stp/>
        <stp>VOLUME</stp>
        <stp>.SPXW260626C6795</stp>
        <tr r="T95" s="2"/>
      </tp>
      <tp t="s">
        <v>N/A</v>
        <stp/>
        <stp>VOLUME</stp>
        <stp>.SPXW260828C6770</stp>
        <tr r="V100" s="2"/>
      </tp>
      <tp t="s">
        <v>N/A</v>
        <stp/>
        <stp>VOLUME</stp>
        <stp>.SPXW260227C6780</stp>
        <tr r="P98" s="2"/>
      </tp>
      <tp t="s">
        <v>N/A</v>
        <stp/>
        <stp>VOLUME</stp>
        <stp>.SPXW260626C6790</stp>
        <tr r="T96" s="2"/>
      </tp>
      <tp>
        <v>31</v>
        <stp/>
        <stp>VOLUME</stp>
        <stp>.SPXW251128C6740</stp>
        <tr r="H106" s="2"/>
        <tr r="H106" s="2"/>
      </tp>
      <tp t="s">
        <v>N/A</v>
        <stp/>
        <stp>VOLUME</stp>
        <stp>.SPXW260828P6775</stp>
        <tr r="V99" s="2"/>
      </tp>
      <tp t="s">
        <v>N/A</v>
        <stp/>
        <stp>VOLUME</stp>
        <stp>.SPXW260227P6785</stp>
        <tr r="P97" s="2"/>
      </tp>
      <tp t="s">
        <v>N/A</v>
        <stp/>
        <stp>VOLUME</stp>
        <stp>.SPXW260626P6795</stp>
        <tr r="T95" s="2"/>
      </tp>
      <tp>
        <v>17</v>
        <stp/>
        <stp>VOLUME</stp>
        <stp>.SPXW251128P6745</stp>
        <tr r="H105" s="2"/>
        <tr r="H105" s="2"/>
      </tp>
      <tp>
        <v>34</v>
        <stp/>
        <stp>VOLUME</stp>
        <stp>.SPXW251128P6740</stp>
        <tr r="H106" s="2"/>
        <tr r="H106" s="2"/>
      </tp>
      <tp t="s">
        <v>N/A</v>
        <stp/>
        <stp>VOLUME</stp>
        <stp>.SPXW260828P6770</stp>
        <tr r="V100" s="2"/>
      </tp>
      <tp>
        <v>1</v>
        <stp/>
        <stp>VOLUME</stp>
        <stp>.SPXW260227P6780</stp>
        <tr r="P98" s="2"/>
        <tr r="P98" s="2"/>
      </tp>
      <tp t="s">
        <v>N/A</v>
        <stp/>
        <stp>VOLUME</stp>
        <stp>.SPXW260626P6790</stp>
        <tr r="T96" s="2"/>
      </tp>
      <tp t="s">
        <v>N/A</v>
        <stp/>
        <stp>VOLUME</stp>
        <stp>.QQQP598</stp>
        <tr r="F77" s="2"/>
        <tr r="G77" s="2"/>
      </tp>
      <tp t="s">
        <v>N/A</v>
        <stp/>
        <stp>VOLUME</stp>
        <stp>.QQQC598</stp>
        <tr r="F77" s="2"/>
        <tr r="G77" s="2"/>
      </tp>
      <tp t="s">
        <v>N/A</v>
        <stp/>
        <stp>VOLUME</stp>
        <stp>.QQQP599</stp>
        <tr r="G76" s="2"/>
        <tr r="F76" s="2"/>
      </tp>
      <tp t="s">
        <v>N/A</v>
        <stp/>
        <stp>VOLUME</stp>
        <stp>.QQQC599</stp>
        <tr r="G76" s="2"/>
        <tr r="F76" s="2"/>
      </tp>
      <tp t="s">
        <v>N/A</v>
        <stp/>
        <stp>VOLUME</stp>
        <stp>.QQQP595</stp>
        <tr r="G80" s="2"/>
        <tr r="F80" s="2"/>
      </tp>
      <tp t="s">
        <v>N/A</v>
        <stp/>
        <stp>VOLUME</stp>
        <stp>.QQQC595</stp>
        <tr r="G80" s="2"/>
        <tr r="F80" s="2"/>
      </tp>
      <tp t="s">
        <v>N/A</v>
        <stp/>
        <stp>VOLUME</stp>
        <stp>.QQQP596</stp>
        <tr r="G79" s="2"/>
        <tr r="F79" s="2"/>
      </tp>
      <tp t="s">
        <v>N/A</v>
        <stp/>
        <stp>VOLUME</stp>
        <stp>.QQQC596</stp>
        <tr r="G79" s="2"/>
        <tr r="F79" s="2"/>
      </tp>
      <tp t="s">
        <v>N/A</v>
        <stp/>
        <stp>VOLUME</stp>
        <stp>.QQQP597</stp>
        <tr r="G78" s="2"/>
        <tr r="F78" s="2"/>
      </tp>
      <tp t="s">
        <v>N/A</v>
        <stp/>
        <stp>VOLUME</stp>
        <stp>.QQQC597</stp>
        <tr r="G78" s="2"/>
        <tr r="F78" s="2"/>
      </tp>
      <tp>
        <v>51</v>
        <stp/>
        <stp>VOLUME</stp>
        <stp>.SPXW251128C6755</stp>
        <tr r="H103" s="2"/>
        <tr r="H103" s="2"/>
      </tp>
      <tp t="s">
        <v>N/A</v>
        <stp/>
        <stp>VOLUME</stp>
        <stp>.SPXW260828C6765</stp>
        <tr r="V101" s="2"/>
      </tp>
      <tp t="s">
        <v>N/A</v>
        <stp/>
        <stp>VOLUME</stp>
        <stp>.SPXW260227C6795</stp>
        <tr r="P95" s="2"/>
      </tp>
      <tp t="s">
        <v>N/A</v>
        <stp/>
        <stp>VOLUME</stp>
        <stp>.SPXW260626C6785</stp>
        <tr r="T97" s="2"/>
      </tp>
      <tp t="s">
        <v>N/A</v>
        <stp/>
        <stp>VOLUME</stp>
        <stp>.SPXW260828C6760</stp>
        <tr r="V102" s="2"/>
      </tp>
      <tp t="s">
        <v>N/A</v>
        <stp/>
        <stp>VOLUME</stp>
        <stp>.SPXW260227C6790</stp>
        <tr r="P96" s="2"/>
      </tp>
      <tp t="s">
        <v>N/A</v>
        <stp/>
        <stp>VOLUME</stp>
        <stp>.SPXW260626C6780</stp>
        <tr r="T98" s="2"/>
      </tp>
      <tp>
        <v>197</v>
        <stp/>
        <stp>VOLUME</stp>
        <stp>.SPXW251128C6750</stp>
        <tr r="H104" s="2"/>
        <tr r="H104" s="2"/>
      </tp>
      <tp t="s">
        <v>N/A</v>
        <stp/>
        <stp>VOLUME</stp>
        <stp>.SPXW260828P6765</stp>
        <tr r="V101" s="2"/>
      </tp>
      <tp t="s">
        <v>N/A</v>
        <stp/>
        <stp>VOLUME</stp>
        <stp>.SPXW260227P6795</stp>
        <tr r="P95" s="2"/>
      </tp>
      <tp t="s">
        <v>N/A</v>
        <stp/>
        <stp>VOLUME</stp>
        <stp>.SPXW260626P6785</stp>
        <tr r="T97" s="2"/>
      </tp>
      <tp>
        <v>19</v>
        <stp/>
        <stp>VOLUME</stp>
        <stp>.SPXW251128P6755</stp>
        <tr r="H103" s="2"/>
        <tr r="H103" s="2"/>
      </tp>
      <tp>
        <v>79</v>
        <stp/>
        <stp>VOLUME</stp>
        <stp>.SPXW251128P6750</stp>
        <tr r="H104" s="2"/>
        <tr r="H104" s="2"/>
      </tp>
      <tp t="s">
        <v>N/A</v>
        <stp/>
        <stp>VOLUME</stp>
        <stp>.SPXW260828P6760</stp>
        <tr r="V102" s="2"/>
      </tp>
      <tp t="s">
        <v>N/A</v>
        <stp/>
        <stp>VOLUME</stp>
        <stp>.SPXW260227P6790</stp>
        <tr r="P96" s="2"/>
      </tp>
      <tp t="s">
        <v>N/A</v>
        <stp/>
        <stp>VOLUME</stp>
        <stp>.SPXW260626P6780</stp>
        <tr r="T98" s="2"/>
      </tp>
      <tp>
        <v>36</v>
        <stp/>
        <stp>VOLUME</stp>
        <stp>.SPXW251128C6765</stp>
        <tr r="H101" s="2"/>
        <tr r="H101" s="2"/>
      </tp>
      <tp t="s">
        <v>N/A</v>
        <stp/>
        <stp>VOLUME</stp>
        <stp>.SPXW260828C6755</stp>
        <tr r="V103" s="2"/>
      </tp>
      <tp t="s">
        <v>N/A</v>
        <stp/>
        <stp>VOLUME</stp>
        <stp>.SPXW260828C6750</stp>
        <tr r="V104" s="2"/>
      </tp>
      <tp>
        <v>131</v>
        <stp/>
        <stp>VOLUME</stp>
        <stp>.SPXW251128C6760</stp>
        <tr r="H102" s="2"/>
        <tr r="H102" s="2"/>
      </tp>
      <tp t="s">
        <v>N/A</v>
        <stp/>
        <stp>VOLUME</stp>
        <stp>.SPXW260828P6755</stp>
        <tr r="V103" s="2"/>
      </tp>
      <tp>
        <v>14</v>
        <stp/>
        <stp>VOLUME</stp>
        <stp>.SPXW251128P6765</stp>
        <tr r="H101" s="2"/>
        <tr r="H101" s="2"/>
      </tp>
      <tp>
        <v>227</v>
        <stp/>
        <stp>VOLUME</stp>
        <stp>.SPXW251128P6760</stp>
        <tr r="H102" s="2"/>
        <tr r="H102" s="2"/>
      </tp>
      <tp t="s">
        <v>N/A</v>
        <stp/>
        <stp>VOLUME</stp>
        <stp>.SPXW260828P6750</stp>
        <tr r="V104" s="2"/>
      </tp>
      <tp>
        <v>94</v>
        <stp/>
        <stp>VOLUME</stp>
        <stp>.SPXW251128C6775</stp>
        <tr r="H99" s="2"/>
        <tr r="H99" s="2"/>
      </tp>
      <tp t="s">
        <v>N/A</v>
        <stp/>
        <stp>VOLUME</stp>
        <stp>.SPXW260828C6745</stp>
        <tr r="V105" s="2"/>
      </tp>
      <tp t="s">
        <v>N/A</v>
        <stp/>
        <stp>VOLUME</stp>
        <stp>.SPXW260828C6740</stp>
        <tr r="V106" s="2"/>
      </tp>
      <tp>
        <v>41</v>
        <stp/>
        <stp>VOLUME</stp>
        <stp>.SPXW251128C6770</stp>
        <tr r="H100" s="2"/>
        <tr r="H100" s="2"/>
      </tp>
      <tp t="s">
        <v>N/A</v>
        <stp/>
        <stp>VOLUME</stp>
        <stp>.SPXW260828P6745</stp>
        <tr r="V105" s="2"/>
      </tp>
      <tp>
        <v>19</v>
        <stp/>
        <stp>VOLUME</stp>
        <stp>.SPXW251128P6775</stp>
        <tr r="H99" s="2"/>
        <tr r="H99" s="2"/>
      </tp>
      <tp>
        <v>47</v>
        <stp/>
        <stp>VOLUME</stp>
        <stp>.SPXW251128P6770</stp>
        <tr r="H100" s="2"/>
        <tr r="H100" s="2"/>
      </tp>
      <tp t="s">
        <v>N/A</v>
        <stp/>
        <stp>VOLUME</stp>
        <stp>.SPXW260828P6740</stp>
        <tr r="V106" s="2"/>
      </tp>
      <tp>
        <v>123</v>
        <stp/>
        <stp>VOLUME</stp>
        <stp>.NDXP251110P24850</stp>
        <tr r="B168" s="2"/>
        <tr r="B168" s="2"/>
        <tr r="Q167" s="1"/>
        <tr r="Q167" s="1"/>
      </tp>
      <tp t="s">
        <v>N/A</v>
        <stp/>
        <stp>VOLUME</stp>
        <stp>.NDXP251111P24950</stp>
        <tr r="C164" s="2"/>
      </tp>
      <tp t="s">
        <v>N/A</v>
        <stp/>
        <stp>VOLUME</stp>
        <stp>.SPXW261030C6635</stp>
        <tr r="X127" s="2"/>
      </tp>
      <tp>
        <v>19</v>
        <stp/>
        <stp>VOLUME</stp>
        <stp>.SPXW251128C6785</stp>
        <tr r="H97" s="2"/>
        <tr r="H97" s="2"/>
      </tp>
      <tp t="s">
        <v>N/A</v>
        <stp/>
        <stp>VOLUME</stp>
        <stp>.SPXW260227C6745</stp>
        <tr r="P105" s="2"/>
      </tp>
      <tp t="s">
        <v>N/A</v>
        <stp/>
        <stp>VOLUME</stp>
        <stp>.SPXW260626C6755</stp>
        <tr r="T103" s="2"/>
      </tp>
      <tp t="s">
        <v>N/A</v>
        <stp/>
        <stp>VOLUME</stp>
        <stp>.SPXW260227C6740</stp>
        <tr r="P106" s="2"/>
      </tp>
      <tp t="s">
        <v>N/A</v>
        <stp/>
        <stp>VOLUME</stp>
        <stp>.SPXW260626C6750</stp>
        <tr r="T104" s="2"/>
      </tp>
      <tp t="s">
        <v>N/A</v>
        <stp/>
        <stp>VOLUME</stp>
        <stp>.SPXW261030C6630</stp>
        <tr r="X128" s="2"/>
      </tp>
      <tp>
        <v>60</v>
        <stp/>
        <stp>VOLUME</stp>
        <stp>.SPXW251128C6780</stp>
        <tr r="H98" s="2"/>
        <tr r="H98" s="2"/>
      </tp>
      <tp t="s">
        <v>N/A</v>
        <stp/>
        <stp>VOLUME</stp>
        <stp>.SPXW260227P6745</stp>
        <tr r="P105" s="2"/>
      </tp>
      <tp t="s">
        <v>N/A</v>
        <stp/>
        <stp>VOLUME</stp>
        <stp>.SPXW260626P6755</stp>
        <tr r="T103" s="2"/>
      </tp>
      <tp t="s">
        <v>N/A</v>
        <stp/>
        <stp>VOLUME</stp>
        <stp>.SPXW261030P6635</stp>
        <tr r="X127" s="2"/>
      </tp>
      <tp>
        <v>155</v>
        <stp/>
        <stp>VOLUME</stp>
        <stp>.SPXW251128P6785</stp>
        <tr r="H97" s="2"/>
        <tr r="H97" s="2"/>
      </tp>
      <tp t="s">
        <v>N/A</v>
        <stp/>
        <stp>VOLUME</stp>
        <stp>.SPXW261030P6630</stp>
        <tr r="X128" s="2"/>
      </tp>
      <tp>
        <v>6</v>
        <stp/>
        <stp>VOLUME</stp>
        <stp>.SPXW251128P6780</stp>
        <tr r="H98" s="2"/>
        <tr r="H98" s="2"/>
      </tp>
      <tp>
        <v>17</v>
        <stp/>
        <stp>VOLUME</stp>
        <stp>.SPXW260227P6740</stp>
        <tr r="P106" s="2"/>
        <tr r="P106" s="2"/>
      </tp>
      <tp t="s">
        <v>N/A</v>
        <stp/>
        <stp>VOLUME</stp>
        <stp>.SPXW260626P6750</stp>
        <tr r="T104" s="2"/>
      </tp>
      <tp t="s">
        <v>N/A</v>
        <stp/>
        <stp>VOLUME</stp>
        <stp>.NDXP260828P24350</stp>
        <tr r="V188" s="2"/>
      </tp>
      <tp t="s">
        <v>N/A</v>
        <stp/>
        <stp>VOLUME</stp>
        <stp>.NDXP260828P25350</stp>
        <tr r="V148" s="2"/>
      </tp>
      <tp t="s">
        <v>N/A</v>
        <stp/>
        <stp>VOLUME</stp>
        <stp>.NDXP260109P25250</stp>
        <tr r="L152" s="2"/>
      </tp>
      <tp t="s">
        <v>N/A</v>
        <stp/>
        <stp>VOLUME</stp>
        <stp>.SPXW261030C6625</stp>
        <tr r="X129" s="2"/>
      </tp>
      <tp>
        <v>35</v>
        <stp/>
        <stp>VOLUME</stp>
        <stp>.SPXW251128C6795</stp>
        <tr r="H95" s="2"/>
        <tr r="H95" s="2"/>
      </tp>
      <tp t="s">
        <v>N/A</v>
        <stp/>
        <stp>VOLUME</stp>
        <stp>.SPXW260227C6755</stp>
        <tr r="P103" s="2"/>
      </tp>
      <tp t="s">
        <v>N/A</v>
        <stp/>
        <stp>VOLUME</stp>
        <stp>.SPXW260626C6745</stp>
        <tr r="T105" s="2"/>
      </tp>
      <tp t="s">
        <v>N/A</v>
        <stp/>
        <stp>VOLUME</stp>
        <stp>.SPXW260227C6750</stp>
        <tr r="P104" s="2"/>
      </tp>
      <tp t="s">
        <v>N/A</v>
        <stp/>
        <stp>VOLUME</stp>
        <stp>.SPXW260626C6740</stp>
        <tr r="T106" s="2"/>
      </tp>
      <tp t="s">
        <v>N/A</v>
        <stp/>
        <stp>VOLUME</stp>
        <stp>.SPXW261030C6620</stp>
        <tr r="X130" s="2"/>
      </tp>
      <tp>
        <v>54</v>
        <stp/>
        <stp>VOLUME</stp>
        <stp>.SPXW251128C6790</stp>
        <tr r="H96" s="2"/>
        <tr r="H96" s="2"/>
      </tp>
      <tp t="s">
        <v>N/A</v>
        <stp/>
        <stp>VOLUME</stp>
        <stp>.SPXW260227P6755</stp>
        <tr r="P103" s="2"/>
      </tp>
      <tp t="s">
        <v>N/A</v>
        <stp/>
        <stp>VOLUME</stp>
        <stp>.SPXW260626P6745</stp>
        <tr r="T105" s="2"/>
      </tp>
      <tp t="s">
        <v>N/A</v>
        <stp/>
        <stp>VOLUME</stp>
        <stp>.SPXW261030P6625</stp>
        <tr r="X129" s="2"/>
      </tp>
      <tp>
        <v>8</v>
        <stp/>
        <stp>VOLUME</stp>
        <stp>.SPXW251128P6795</stp>
        <tr r="H95" s="2"/>
        <tr r="H95" s="2"/>
      </tp>
      <tp t="s">
        <v>N/A</v>
        <stp/>
        <stp>VOLUME</stp>
        <stp>.SPXW261030P6620</stp>
        <tr r="X130" s="2"/>
      </tp>
      <tp>
        <v>2</v>
        <stp/>
        <stp>VOLUME</stp>
        <stp>.SPXW251128P6790</stp>
        <tr r="H96" s="2"/>
        <tr r="H96" s="2"/>
      </tp>
      <tp>
        <v>1</v>
        <stp/>
        <stp>VOLUME</stp>
        <stp>.SPXW260227P6750</stp>
        <tr r="P104" s="2"/>
        <tr r="P104" s="2"/>
      </tp>
      <tp t="s">
        <v>N/A</v>
        <stp/>
        <stp>VOLUME</stp>
        <stp>.SPXW260626P6740</stp>
        <tr r="T106" s="2"/>
      </tp>
      <tp t="s">
        <v>N/A</v>
        <stp/>
        <stp>VOLUME</stp>
        <stp>.NDXP251110P24875</stp>
        <tr r="B167" s="2"/>
        <tr r="Q166" s="1"/>
      </tp>
      <tp t="s">
        <v>N/A</v>
        <stp/>
        <stp>VOLUME</stp>
        <stp>.NDXP251111P24975</stp>
        <tr r="C163" s="2"/>
      </tp>
      <tp t="s">
        <v>N/A</v>
        <stp/>
        <stp>VOLUME</stp>
        <stp>.SPXW261030C6615</stp>
        <tr r="X131" s="2"/>
      </tp>
      <tp t="s">
        <v>N/A</v>
        <stp/>
        <stp>VOLUME</stp>
        <stp>.SPXW260828C6795</stp>
        <tr r="V95" s="2"/>
      </tp>
      <tp t="s">
        <v>N/A</v>
        <stp/>
        <stp>VOLUME</stp>
        <stp>.SPXW260227C6765</stp>
        <tr r="P101" s="2"/>
      </tp>
      <tp t="s">
        <v>N/A</v>
        <stp/>
        <stp>VOLUME</stp>
        <stp>.SPXW260626C6775</stp>
        <tr r="T99" s="2"/>
      </tp>
      <tp t="s">
        <v>N/A</v>
        <stp/>
        <stp>VOLUME</stp>
        <stp>.SPXW260828C6790</stp>
        <tr r="V96" s="2"/>
      </tp>
      <tp t="s">
        <v>N/A</v>
        <stp/>
        <stp>VOLUME</stp>
        <stp>.SPXW260227C6760</stp>
        <tr r="P102" s="2"/>
      </tp>
      <tp t="s">
        <v>N/A</v>
        <stp/>
        <stp>VOLUME</stp>
        <stp>.SPXW260626C6770</stp>
        <tr r="T100" s="2"/>
      </tp>
      <tp t="s">
        <v>N/A</v>
        <stp/>
        <stp>VOLUME</stp>
        <stp>.SPXW260828P6795</stp>
        <tr r="V95" s="2"/>
      </tp>
      <tp t="s">
        <v>N/A</v>
        <stp/>
        <stp>VOLUME</stp>
        <stp>.SPXW260227P6765</stp>
        <tr r="P101" s="2"/>
      </tp>
      <tp t="s">
        <v>N/A</v>
        <stp/>
        <stp>VOLUME</stp>
        <stp>.SPXW260626P6775</stp>
        <tr r="T99" s="2"/>
      </tp>
      <tp t="s">
        <v>N/A</v>
        <stp/>
        <stp>VOLUME</stp>
        <stp>.SPXW261030P6615</stp>
        <tr r="X131" s="2"/>
      </tp>
      <tp t="s">
        <v>N/A</v>
        <stp/>
        <stp>VOLUME</stp>
        <stp>.SPXW260828P6790</stp>
        <tr r="V96" s="2"/>
      </tp>
      <tp>
        <v>7</v>
        <stp/>
        <stp>VOLUME</stp>
        <stp>.SPXW260227P6760</stp>
        <tr r="P102" s="2"/>
        <tr r="P102" s="2"/>
      </tp>
      <tp t="s">
        <v>N/A</v>
        <stp/>
        <stp>VOLUME</stp>
        <stp>.SPXW260626P6770</stp>
        <tr r="T100" s="2"/>
      </tp>
      <tp t="s">
        <v>N/A</v>
        <stp/>
        <stp>VOLUME</stp>
        <stp>.NDXP260828P24375</stp>
        <tr r="V187" s="2"/>
      </tp>
      <tp t="s">
        <v>N/A</v>
        <stp/>
        <stp>VOLUME</stp>
        <stp>.NDXP260828P25375</stp>
        <tr r="V147" s="2"/>
      </tp>
      <tp t="s">
        <v>N/A</v>
        <stp/>
        <stp>VOLUME</stp>
        <stp>.NDXP260109P25275</stp>
        <tr r="L151" s="2"/>
      </tp>
      <tp t="s">
        <v>N/A</v>
        <stp/>
        <stp>VOLUME</stp>
        <stp>.SPXW260828C6785</stp>
        <tr r="V97" s="2"/>
      </tp>
      <tp>
        <v>3</v>
        <stp/>
        <stp>VOLUME</stp>
        <stp>.SPXW260227C6775</stp>
        <tr r="P99" s="2"/>
        <tr r="P99" s="2"/>
      </tp>
      <tp t="s">
        <v>N/A</v>
        <stp/>
        <stp>VOLUME</stp>
        <stp>.SPXW260626C6765</stp>
        <tr r="T101" s="2"/>
      </tp>
      <tp t="s">
        <v>N/A</v>
        <stp/>
        <stp>VOLUME</stp>
        <stp>.SPXW260828C6780</stp>
        <tr r="V98" s="2"/>
      </tp>
      <tp>
        <v>1</v>
        <stp/>
        <stp>VOLUME</stp>
        <stp>.SPXW260227C6770</stp>
        <tr r="P100" s="2"/>
        <tr r="P100" s="2"/>
      </tp>
      <tp t="s">
        <v>N/A</v>
        <stp/>
        <stp>VOLUME</stp>
        <stp>.SPXW260626C6760</stp>
        <tr r="T102" s="2"/>
      </tp>
      <tp t="s">
        <v>N/A</v>
        <stp/>
        <stp>VOLUME</stp>
        <stp>.SPXW260828P6785</stp>
        <tr r="V97" s="2"/>
      </tp>
      <tp>
        <v>57</v>
        <stp/>
        <stp>VOLUME</stp>
        <stp>.SPXW260227P6775</stp>
        <tr r="P99" s="2"/>
        <tr r="P99" s="2"/>
      </tp>
      <tp t="s">
        <v>N/A</v>
        <stp/>
        <stp>VOLUME</stp>
        <stp>.SPXW260626P6765</stp>
        <tr r="T101" s="2"/>
      </tp>
      <tp t="s">
        <v>N/A</v>
        <stp/>
        <stp>VOLUME</stp>
        <stp>.SPXW260828P6780</stp>
        <tr r="V98" s="2"/>
      </tp>
      <tp>
        <v>8</v>
        <stp/>
        <stp>VOLUME</stp>
        <stp>.SPXW260227P6770</stp>
        <tr r="P100" s="2"/>
        <tr r="P100" s="2"/>
      </tp>
      <tp t="s">
        <v>N/A</v>
        <stp/>
        <stp>VOLUME</stp>
        <stp>.SPXW260626P6760</stp>
        <tr r="T102" s="2"/>
      </tp>
      <tp t="s">
        <v>N/A</v>
        <stp/>
        <stp>VOLUME</stp>
        <stp>.NDXP260828P24300</stp>
        <tr r="V190" s="2"/>
      </tp>
      <tp t="s">
        <v>N/A</v>
        <stp/>
        <stp>VOLUME</stp>
        <stp>.NDXP260828P25300</stp>
        <tr r="V150" s="2"/>
      </tp>
      <tp t="s">
        <v>N/A</v>
        <stp/>
        <stp>VOLUME</stp>
        <stp>.NDXP260109P25200</stp>
        <tr r="L154" s="2"/>
      </tp>
      <tp t="s">
        <v>N/A</v>
        <stp/>
        <stp>VOLUME</stp>
        <stp>.SPXW261030C6675</stp>
        <tr r="X119" s="2"/>
      </tp>
      <tp t="s">
        <v>N/A</v>
        <stp/>
        <stp>VOLUME</stp>
        <stp>.SPXW260227C6705</stp>
        <tr r="P113" s="2"/>
      </tp>
      <tp t="s">
        <v>N/A</v>
        <stp/>
        <stp>VOLUME</stp>
        <stp>.SPXW260626C6715</stp>
        <tr r="T111" s="2"/>
      </tp>
      <tp t="s">
        <v>N/A</v>
        <stp/>
        <stp>VOLUME</stp>
        <stp>.SPXW260227C6700</stp>
        <tr r="P114" s="2"/>
      </tp>
      <tp t="s">
        <v>N/A</v>
        <stp/>
        <stp>VOLUME</stp>
        <stp>.SPXW260626C6710</stp>
        <tr r="T112" s="2"/>
      </tp>
      <tp t="s">
        <v>N/A</v>
        <stp/>
        <stp>VOLUME</stp>
        <stp>.SPXW261030C6670</stp>
        <tr r="X120" s="2"/>
      </tp>
      <tp t="s">
        <v>N/A</v>
        <stp/>
        <stp>VOLUME</stp>
        <stp>.SPXW260227P6705</stp>
        <tr r="P113" s="2"/>
      </tp>
      <tp t="s">
        <v>N/A</v>
        <stp/>
        <stp>VOLUME</stp>
        <stp>.SPXW260626P6715</stp>
        <tr r="T111" s="2"/>
      </tp>
      <tp t="s">
        <v>N/A</v>
        <stp/>
        <stp>VOLUME</stp>
        <stp>.SPXW261030P6675</stp>
        <tr r="X119" s="2"/>
      </tp>
      <tp t="s">
        <v>N/A</v>
        <stp/>
        <stp>VOLUME</stp>
        <stp>.SPXW261030P6670</stp>
        <tr r="X120" s="2"/>
      </tp>
      <tp>
        <v>7</v>
        <stp/>
        <stp>VOLUME</stp>
        <stp>.SPXW260227P6700</stp>
        <tr r="P114" s="2"/>
        <tr r="P114" s="2"/>
      </tp>
      <tp t="s">
        <v>N/A</v>
        <stp/>
        <stp>VOLUME</stp>
        <stp>.SPXW260626P6710</stp>
        <tr r="T112" s="2"/>
      </tp>
      <tp>
        <v>212</v>
        <stp/>
        <stp>VOLUME</stp>
        <stp>.NDXP251110P24800</stp>
        <tr r="B170" s="2"/>
        <tr r="B170" s="2"/>
        <tr r="Q169" s="1"/>
        <tr r="Q169" s="1"/>
      </tp>
      <tp>
        <v>21</v>
        <stp/>
        <stp>VOLUME</stp>
        <stp>.NDXP251111P24900</stp>
        <tr r="C166" s="2"/>
        <tr r="C166" s="2"/>
      </tp>
      <tp t="s">
        <v>N/A</v>
        <stp/>
        <stp>VOLUME</stp>
        <stp>.SPXW261030C6665</stp>
        <tr r="X121" s="2"/>
      </tp>
      <tp t="s">
        <v>N/A</v>
        <stp/>
        <stp>VOLUME</stp>
        <stp>.SPXW260227C6715</stp>
        <tr r="P111" s="2"/>
      </tp>
      <tp t="s">
        <v>N/A</v>
        <stp/>
        <stp>VOLUME</stp>
        <stp>.SPXW260626C6705</stp>
        <tr r="T113" s="2"/>
      </tp>
      <tp>
        <v>1</v>
        <stp/>
        <stp>VOLUME</stp>
        <stp>.SPXW260227C6710</stp>
        <tr r="P112" s="2"/>
        <tr r="P112" s="2"/>
      </tp>
      <tp t="s">
        <v>N/A</v>
        <stp/>
        <stp>VOLUME</stp>
        <stp>.SPXW260626C6700</stp>
        <tr r="T114" s="2"/>
      </tp>
      <tp t="s">
        <v>N/A</v>
        <stp/>
        <stp>VOLUME</stp>
        <stp>.SPXW261030C6660</stp>
        <tr r="X122" s="2"/>
      </tp>
      <tp t="s">
        <v>N/A</v>
        <stp/>
        <stp>VOLUME</stp>
        <stp>.SPXW260227P6715</stp>
        <tr r="P111" s="2"/>
      </tp>
      <tp t="s">
        <v>N/A</v>
        <stp/>
        <stp>VOLUME</stp>
        <stp>.SPXW260626P6705</stp>
        <tr r="T113" s="2"/>
      </tp>
      <tp t="s">
        <v>N/A</v>
        <stp/>
        <stp>VOLUME</stp>
        <stp>.SPXW261030P6665</stp>
        <tr r="X121" s="2"/>
      </tp>
      <tp t="s">
        <v>N/A</v>
        <stp/>
        <stp>VOLUME</stp>
        <stp>.SPXW261030P6660</stp>
        <tr r="X122" s="2"/>
      </tp>
      <tp>
        <v>3</v>
        <stp/>
        <stp>VOLUME</stp>
        <stp>.SPXW260227P6710</stp>
        <tr r="P112" s="2"/>
        <tr r="P112" s="2"/>
      </tp>
      <tp t="s">
        <v>N/A</v>
        <stp/>
        <stp>VOLUME</stp>
        <stp>.SPXW260626P6700</stp>
        <tr r="T114" s="2"/>
      </tp>
      <tp t="s">
        <v>N/A</v>
        <stp/>
        <stp>VOLUME</stp>
        <stp>.NDXP260828P24325</stp>
        <tr r="V189" s="2"/>
      </tp>
      <tp t="s">
        <v>N/A</v>
        <stp/>
        <stp>VOLUME</stp>
        <stp>.NDXP260828P25325</stp>
        <tr r="V149" s="2"/>
      </tp>
      <tp t="s">
        <v>N/A</v>
        <stp/>
        <stp>VOLUME</stp>
        <stp>.NDXP260109P25225</stp>
        <tr r="L153" s="2"/>
      </tp>
      <tp t="s">
        <v>N/A</v>
        <stp/>
        <stp>VOLUME</stp>
        <stp>.SPXW261030C6655</stp>
        <tr r="X123" s="2"/>
      </tp>
      <tp>
        <v>1</v>
        <stp/>
        <stp>VOLUME</stp>
        <stp>.SPXW260227C6725</stp>
        <tr r="P109" s="2"/>
        <tr r="P109" s="2"/>
      </tp>
      <tp t="s">
        <v>N/A</v>
        <stp/>
        <stp>VOLUME</stp>
        <stp>.SPXW260626C6735</stp>
        <tr r="T107" s="2"/>
      </tp>
      <tp t="s">
        <v>N/A</v>
        <stp/>
        <stp>VOLUME</stp>
        <stp>.SPXW260227C6720</stp>
        <tr r="P110" s="2"/>
      </tp>
      <tp t="s">
        <v>N/A</v>
        <stp/>
        <stp>VOLUME</stp>
        <stp>.SPXW260626C6730</stp>
        <tr r="T108" s="2"/>
      </tp>
      <tp t="s">
        <v>N/A</v>
        <stp/>
        <stp>VOLUME</stp>
        <stp>.SPXW261030C6650</stp>
        <tr r="X124" s="2"/>
      </tp>
      <tp>
        <v>1</v>
        <stp/>
        <stp>VOLUME</stp>
        <stp>.SPXW260227P6725</stp>
        <tr r="P109" s="2"/>
        <tr r="P109" s="2"/>
      </tp>
      <tp t="s">
        <v>N/A</v>
        <stp/>
        <stp>VOLUME</stp>
        <stp>.SPXW260626P6735</stp>
        <tr r="T107" s="2"/>
      </tp>
      <tp t="s">
        <v>N/A</v>
        <stp/>
        <stp>VOLUME</stp>
        <stp>.SPXW261030P6655</stp>
        <tr r="X123" s="2"/>
      </tp>
      <tp t="s">
        <v>N/A</v>
        <stp/>
        <stp>VOLUME</stp>
        <stp>.SPXW261030P6650</stp>
        <tr r="X124" s="2"/>
      </tp>
      <tp>
        <v>9</v>
        <stp/>
        <stp>VOLUME</stp>
        <stp>.SPXW260227P6720</stp>
        <tr r="P110" s="2"/>
        <tr r="P110" s="2"/>
      </tp>
      <tp t="s">
        <v>N/A</v>
        <stp/>
        <stp>VOLUME</stp>
        <stp>.SPXW260626P6730</stp>
        <tr r="T108" s="2"/>
      </tp>
      <tp t="s">
        <v>N/A</v>
        <stp/>
        <stp>VOLUME</stp>
        <stp>.NDXP251110P24825</stp>
        <tr r="B169" s="2"/>
        <tr r="Q168" s="1"/>
      </tp>
      <tp t="s">
        <v>N/A</v>
        <stp/>
        <stp>VOLUME</stp>
        <stp>.NDXP251111P24925</stp>
        <tr r="C165" s="2"/>
      </tp>
      <tp t="s">
        <v>N/A</v>
        <stp/>
        <stp>VOLUME</stp>
        <stp>.SPXW261030C6645</stp>
        <tr r="X125" s="2"/>
      </tp>
      <tp t="s">
        <v>N/A</v>
        <stp/>
        <stp>VOLUME</stp>
        <stp>.SPXW260227C6735</stp>
        <tr r="P107" s="2"/>
      </tp>
      <tp t="s">
        <v>N/A</v>
        <stp/>
        <stp>VOLUME</stp>
        <stp>.SPXW260626C6725</stp>
        <tr r="T109" s="2"/>
      </tp>
      <tp>
        <v>1</v>
        <stp/>
        <stp>VOLUME</stp>
        <stp>.SPXW260227C6730</stp>
        <tr r="P108" s="2"/>
        <tr r="P108" s="2"/>
      </tp>
      <tp t="s">
        <v>N/A</v>
        <stp/>
        <stp>VOLUME</stp>
        <stp>.SPXW260626C6720</stp>
        <tr r="T110" s="2"/>
      </tp>
      <tp t="s">
        <v>N/A</v>
        <stp/>
        <stp>VOLUME</stp>
        <stp>.SPXW261030C6640</stp>
        <tr r="X126" s="2"/>
      </tp>
      <tp t="s">
        <v>N/A</v>
        <stp/>
        <stp>VOLUME</stp>
        <stp>.SPXW260227P6735</stp>
        <tr r="P107" s="2"/>
      </tp>
      <tp t="s">
        <v>N/A</v>
        <stp/>
        <stp>VOLUME</stp>
        <stp>.SPXW260626P6725</stp>
        <tr r="T109" s="2"/>
      </tp>
      <tp t="s">
        <v>N/A</v>
        <stp/>
        <stp>VOLUME</stp>
        <stp>.SPXW261030P6645</stp>
        <tr r="X125" s="2"/>
      </tp>
      <tp t="s">
        <v>N/A</v>
        <stp/>
        <stp>VOLUME</stp>
        <stp>.SPXW261030P6640</stp>
        <tr r="X126" s="2"/>
      </tp>
      <tp>
        <v>35</v>
        <stp/>
        <stp>VOLUME</stp>
        <stp>.SPXW260227P6730</stp>
        <tr r="P108" s="2"/>
        <tr r="P108" s="2"/>
      </tp>
      <tp t="s">
        <v>N/A</v>
        <stp/>
        <stp>VOLUME</stp>
        <stp>.SPXW260626P6720</stp>
        <tr r="T110" s="2"/>
      </tp>
      <tp>
        <v>2</v>
        <stp/>
        <stp>OPEN_INT</stp>
        <stp>.NDXP251110C25000</stp>
        <tr r="H161" s="1"/>
        <tr r="H161" s="1"/>
      </tp>
      <tp>
        <v>9</v>
        <stp/>
        <stp>OPEN_INT</stp>
        <stp>.NDXP251114C25400</stp>
        <tr r="J145" s="1"/>
        <tr r="J145" s="1"/>
      </tp>
      <tp>
        <v>0</v>
        <stp/>
        <stp>OPEN_INT</stp>
        <stp>.NDXP251114C24400</stp>
        <tr r="J185" s="1"/>
        <tr r="J185" s="1"/>
      </tp>
      <tp t="s">
        <v>N/A</v>
        <stp/>
        <stp>OPEN_INT</stp>
        <stp>.NDXP251110C25025</stp>
        <tr r="H160" s="1"/>
      </tp>
      <tp>
        <v>4</v>
        <stp/>
        <stp>OPEN_INT</stp>
        <stp>.NDXP251114C25425</stp>
        <tr r="J144" s="1"/>
        <tr r="J144" s="1"/>
      </tp>
      <tp>
        <v>0</v>
        <stp/>
        <stp>OPEN_INT</stp>
        <stp>.NDXP251114C24425</stp>
        <tr r="J184" s="1"/>
        <tr r="J184" s="1"/>
      </tp>
      <tp>
        <v>0</v>
        <stp/>
        <stp>OPEN_INT</stp>
        <stp>.NDXP251110C25050</stp>
        <tr r="H159" s="1"/>
        <tr r="H159" s="1"/>
      </tp>
      <tp>
        <v>4</v>
        <stp/>
        <stp>OPEN_INT</stp>
        <stp>.NDXP251114C25450</stp>
        <tr r="J143" s="1"/>
        <tr r="J143" s="1"/>
      </tp>
      <tp>
        <v>0</v>
        <stp/>
        <stp>OPEN_INT</stp>
        <stp>.NDXP251114C24450</stp>
        <tr r="J183" s="1"/>
        <tr r="J183" s="1"/>
      </tp>
      <tp t="s">
        <v>N/A</v>
        <stp/>
        <stp>OPEN_INT</stp>
        <stp>.NDXP251110C25075</stp>
        <tr r="H158" s="1"/>
      </tp>
      <tp>
        <v>3</v>
        <stp/>
        <stp>OPEN_INT</stp>
        <stp>.NDXP251114C25475</stp>
        <tr r="J142" s="1"/>
        <tr r="J142" s="1"/>
      </tp>
      <tp>
        <v>0</v>
        <stp/>
        <stp>OPEN_INT</stp>
        <stp>.NDXP251114C24475</stp>
        <tr r="J182" s="1"/>
        <tr r="J182" s="1"/>
      </tp>
      <tp t="s">
        <v>N/A</v>
        <stp/>
        <stp>OPEN_INT</stp>
        <stp>.NDXP251110P25025</stp>
        <tr r="I160" s="1"/>
      </tp>
      <tp>
        <v>32</v>
        <stp/>
        <stp>OPEN_INT</stp>
        <stp>.NDXP251114P25425</stp>
        <tr r="K144" s="1"/>
        <tr r="K144" s="1"/>
      </tp>
      <tp>
        <v>4</v>
        <stp/>
        <stp>OPEN_INT</stp>
        <stp>.NDXP251114P24425</stp>
        <tr r="K184" s="1"/>
        <tr r="K184" s="1"/>
      </tp>
      <tp>
        <v>220</v>
        <stp/>
        <stp>OPEN_INT</stp>
        <stp>.NDXP251110P25000</stp>
        <tr r="I161" s="1"/>
        <tr r="I161" s="1"/>
      </tp>
      <tp>
        <v>59</v>
        <stp/>
        <stp>OPEN_INT</stp>
        <stp>.NDXP251114P25400</stp>
        <tr r="K145" s="1"/>
        <tr r="K145" s="1"/>
      </tp>
      <tp>
        <v>135</v>
        <stp/>
        <stp>OPEN_INT</stp>
        <stp>.NDXP251114P24400</stp>
        <tr r="K185" s="1"/>
        <tr r="K185" s="1"/>
      </tp>
      <tp t="s">
        <v>N/A</v>
        <stp/>
        <stp>OPEN_INT</stp>
        <stp>.NDXP251110P25075</stp>
        <tr r="I158" s="1"/>
      </tp>
      <tp>
        <v>51</v>
        <stp/>
        <stp>OPEN_INT</stp>
        <stp>.NDXP251114P25475</stp>
        <tr r="K142" s="1"/>
        <tr r="K142" s="1"/>
      </tp>
      <tp>
        <v>12</v>
        <stp/>
        <stp>OPEN_INT</stp>
        <stp>.NDXP251114P24475</stp>
        <tr r="K182" s="1"/>
        <tr r="K182" s="1"/>
      </tp>
      <tp>
        <v>6</v>
        <stp/>
        <stp>OPEN_INT</stp>
        <stp>.NDXP251110P25050</stp>
        <tr r="I159" s="1"/>
        <tr r="I159" s="1"/>
      </tp>
      <tp>
        <v>38</v>
        <stp/>
        <stp>OPEN_INT</stp>
        <stp>.NDXP251114P25450</stp>
        <tr r="K143" s="1"/>
        <tr r="K143" s="1"/>
      </tp>
      <tp>
        <v>217</v>
        <stp/>
        <stp>OPEN_INT</stp>
        <stp>.NDXP251114P24450</stp>
        <tr r="K183" s="1"/>
        <tr r="K183" s="1"/>
      </tp>
      <tp t="s">
        <v>N/A</v>
        <stp/>
        <stp>VOLUME</stp>
        <stp>.NDXP260828C25275</stp>
        <tr r="V151" s="2"/>
      </tp>
      <tp t="s">
        <v>N/A</v>
        <stp/>
        <stp>VOLUME</stp>
        <stp>.NDXP260109C24375</stp>
        <tr r="L187" s="2"/>
      </tp>
      <tp t="s">
        <v>N/A</v>
        <stp/>
        <stp>VOLUME</stp>
        <stp>.NDXP260109C25375</stp>
        <tr r="L147" s="2"/>
      </tp>
      <tp t="s">
        <v>N/A</v>
        <stp/>
        <stp>VOLUME</stp>
        <stp>.NDXP251110C24975</stp>
        <tr r="B163" s="2"/>
        <tr r="P162" s="1"/>
      </tp>
      <tp t="s">
        <v>N/A</v>
        <stp/>
        <stp>VOLUME</stp>
        <stp>.NDXP251111C24875</stp>
        <tr r="C167" s="2"/>
      </tp>
      <tp t="s">
        <v>N/A</v>
        <stp/>
        <stp>VOLUME</stp>
        <stp>.NDXP260828C25250</stp>
        <tr r="V152" s="2"/>
      </tp>
      <tp t="s">
        <v>N/A</v>
        <stp/>
        <stp>VOLUME</stp>
        <stp>.NDXP260109C24350</stp>
        <tr r="L188" s="2"/>
      </tp>
      <tp t="s">
        <v>N/A</v>
        <stp/>
        <stp>VOLUME</stp>
        <stp>.NDXP260109C25350</stp>
        <tr r="L148" s="2"/>
      </tp>
      <tp>
        <v>37</v>
        <stp/>
        <stp>VOLUME</stp>
        <stp>.NDXP251110C24950</stp>
        <tr r="B164" s="2"/>
        <tr r="B164" s="2"/>
        <tr r="P163" s="1"/>
        <tr r="P163" s="1"/>
      </tp>
      <tp>
        <v>2</v>
        <stp/>
        <stp>VOLUME</stp>
        <stp>.NDXP251111C24850</stp>
        <tr r="C168" s="2"/>
        <tr r="C168" s="2"/>
      </tp>
      <tp t="s">
        <v>N/A</v>
        <stp/>
        <stp>VOLUME</stp>
        <stp>.NDXP251110C24925</stp>
        <tr r="B165" s="2"/>
        <tr r="P164" s="1"/>
      </tp>
      <tp t="s">
        <v>N/A</v>
        <stp/>
        <stp>VOLUME</stp>
        <stp>.NDXP251111C24825</stp>
        <tr r="C169" s="2"/>
      </tp>
      <tp t="s">
        <v>N/A</v>
        <stp/>
        <stp>VOLUME</stp>
        <stp>.NDXP260828C25225</stp>
        <tr r="V153" s="2"/>
      </tp>
      <tp t="s">
        <v>N/A</v>
        <stp/>
        <stp>VOLUME</stp>
        <stp>.NDXP260109C24325</stp>
        <tr r="L189" s="2"/>
      </tp>
      <tp t="s">
        <v>N/A</v>
        <stp/>
        <stp>VOLUME</stp>
        <stp>.NDXP260109C25325</stp>
        <tr r="L149" s="2"/>
      </tp>
      <tp>
        <v>53</v>
        <stp/>
        <stp>VOLUME</stp>
        <stp>.NDXP251110C24900</stp>
        <tr r="B166" s="2"/>
        <tr r="B166" s="2"/>
        <tr r="P165" s="1"/>
        <tr r="P165" s="1"/>
      </tp>
      <tp>
        <v>6</v>
        <stp/>
        <stp>VOLUME</stp>
        <stp>.NDXP251111C24800</stp>
        <tr r="C170" s="2"/>
        <tr r="C170" s="2"/>
      </tp>
      <tp t="s">
        <v>N/A</v>
        <stp/>
        <stp>VOLUME</stp>
        <stp>.NDXP260828C25200</stp>
        <tr r="V154" s="2"/>
      </tp>
      <tp t="s">
        <v>N/A</v>
        <stp/>
        <stp>VOLUME</stp>
        <stp>.NDXP260109C24300</stp>
        <tr r="L190" s="2"/>
      </tp>
      <tp t="s">
        <v>N/A</v>
        <stp/>
        <stp>VOLUME</stp>
        <stp>.NDXP260109C25300</stp>
        <tr r="L150" s="2"/>
      </tp>
      <tp t="s">
        <v>N/A</v>
        <stp/>
        <stp>VOLUME</stp>
        <stp>.SPXW260828C6635</stp>
        <tr r="V127" s="2"/>
      </tp>
      <tp t="s">
        <v>N/A</v>
        <stp/>
        <stp>VOLUME</stp>
        <stp>.SPXW260828C6630</stp>
        <tr r="V128" s="2"/>
      </tp>
      <tp t="s">
        <v>N/A</v>
        <stp/>
        <stp>VOLUME</stp>
        <stp>.SPXW260828P6635</stp>
        <tr r="V127" s="2"/>
      </tp>
      <tp t="s">
        <v>N/A</v>
        <stp/>
        <stp>VOLUME</stp>
        <stp>.SPXW260828P6630</stp>
        <tr r="V128" s="2"/>
      </tp>
      <tp>
        <v>17</v>
        <stp/>
        <stp>VOLUME</stp>
        <stp>.SPXW251128C6615</stp>
        <tr r="H131" s="2"/>
        <tr r="H131" s="2"/>
      </tp>
      <tp t="s">
        <v>N/A</v>
        <stp/>
        <stp>VOLUME</stp>
        <stp>.SPXW260828C6625</stp>
        <tr r="V129" s="2"/>
      </tp>
      <tp t="s">
        <v>N/A</v>
        <stp/>
        <stp>VOLUME</stp>
        <stp>.SPXW260828C6620</stp>
        <tr r="V130" s="2"/>
      </tp>
      <tp t="s">
        <v>N/A</v>
        <stp/>
        <stp>VOLUME</stp>
        <stp>.SPXW260828P6625</stp>
        <tr r="V129" s="2"/>
      </tp>
      <tp>
        <v>66</v>
        <stp/>
        <stp>VOLUME</stp>
        <stp>.SPXW251128P6615</stp>
        <tr r="H131" s="2"/>
        <tr r="H131" s="2"/>
      </tp>
      <tp t="s">
        <v>N/A</v>
        <stp/>
        <stp>VOLUME</stp>
        <stp>.SPXW260828P6620</stp>
        <tr r="V130" s="2"/>
      </tp>
      <tp t="s">
        <v>N/A</v>
        <stp/>
        <stp>VOLUME</stp>
        <stp>.SPXW261030C6795</stp>
        <tr r="X95" s="2"/>
      </tp>
      <tp>
        <v>27</v>
        <stp/>
        <stp>VOLUME</stp>
        <stp>.SPXW251128C6625</stp>
        <tr r="H129" s="2"/>
        <tr r="H129" s="2"/>
      </tp>
      <tp t="s">
        <v>N/A</v>
        <stp/>
        <stp>VOLUME</stp>
        <stp>.SPXW260828C6615</stp>
        <tr r="V131" s="2"/>
      </tp>
      <tp t="s">
        <v>N/A</v>
        <stp/>
        <stp>VOLUME</stp>
        <stp>.SPXW261030C6790</stp>
        <tr r="X96" s="2"/>
      </tp>
      <tp>
        <v>25</v>
        <stp/>
        <stp>VOLUME</stp>
        <stp>.SPXW251128C6620</stp>
        <tr r="H130" s="2"/>
        <tr r="H130" s="2"/>
      </tp>
      <tp t="s">
        <v>N/A</v>
        <stp/>
        <stp>VOLUME</stp>
        <stp>.SPXW260828P6615</stp>
        <tr r="V131" s="2"/>
      </tp>
      <tp t="s">
        <v>N/A</v>
        <stp/>
        <stp>VOLUME</stp>
        <stp>.SPXW261030P6795</stp>
        <tr r="X95" s="2"/>
      </tp>
      <tp>
        <v>86</v>
        <stp/>
        <stp>VOLUME</stp>
        <stp>.SPXW251128P6625</stp>
        <tr r="H129" s="2"/>
        <tr r="H129" s="2"/>
      </tp>
      <tp t="s">
        <v>N/A</v>
        <stp/>
        <stp>VOLUME</stp>
        <stp>.SPXW261030P6790</stp>
        <tr r="X96" s="2"/>
      </tp>
      <tp>
        <v>65</v>
        <stp/>
        <stp>VOLUME</stp>
        <stp>.SPXW251128P6620</stp>
        <tr r="H130" s="2"/>
        <tr r="H130" s="2"/>
      </tp>
      <tp t="s">
        <v>N/A</v>
        <stp/>
        <stp>VOLUME</stp>
        <stp>.SPXW261030C6785</stp>
        <tr r="X97" s="2"/>
      </tp>
      <tp>
        <v>29</v>
        <stp/>
        <stp>VOLUME</stp>
        <stp>.SPXW251128C6635</stp>
        <tr r="H127" s="2"/>
        <tr r="H127" s="2"/>
      </tp>
      <tp t="s">
        <v>N/A</v>
        <stp/>
        <stp>VOLUME</stp>
        <stp>.SPXW261030C6780</stp>
        <tr r="X98" s="2"/>
      </tp>
      <tp>
        <v>16</v>
        <stp/>
        <stp>VOLUME</stp>
        <stp>.SPXW251128C6630</stp>
        <tr r="H128" s="2"/>
        <tr r="H128" s="2"/>
      </tp>
      <tp t="s">
        <v>N/A</v>
        <stp/>
        <stp>VOLUME</stp>
        <stp>.SPXW261030P6785</stp>
        <tr r="X97" s="2"/>
      </tp>
      <tp>
        <v>49</v>
        <stp/>
        <stp>VOLUME</stp>
        <stp>.SPXW251128P6635</stp>
        <tr r="H127" s="2"/>
        <tr r="H127" s="2"/>
      </tp>
      <tp t="s">
        <v>N/A</v>
        <stp/>
        <stp>VOLUME</stp>
        <stp>.SPXW261030P6780</stp>
        <tr r="X98" s="2"/>
      </tp>
      <tp>
        <v>63</v>
        <stp/>
        <stp>VOLUME</stp>
        <stp>.SPXW251128P6630</stp>
        <tr r="H128" s="2"/>
        <tr r="H128" s="2"/>
      </tp>
      <tp>
        <v>11</v>
        <stp/>
        <stp>VOLUME</stp>
        <stp>.SPXW251128C6645</stp>
        <tr r="H125" s="2"/>
        <tr r="H125" s="2"/>
      </tp>
      <tp t="s">
        <v>N/A</v>
        <stp/>
        <stp>VOLUME</stp>
        <stp>.SPXW260828C6675</stp>
        <tr r="V119" s="2"/>
      </tp>
      <tp t="s">
        <v>N/A</v>
        <stp/>
        <stp>VOLUME</stp>
        <stp>.SPXW260227C6685</stp>
        <tr r="P117" s="2"/>
      </tp>
      <tp t="s">
        <v>N/A</v>
        <stp/>
        <stp>VOLUME</stp>
        <stp>.SPXW260626C6695</stp>
        <tr r="T115" s="2"/>
      </tp>
      <tp t="s">
        <v>N/A</v>
        <stp/>
        <stp>VOLUME</stp>
        <stp>.SPXW260828C6670</stp>
        <tr r="V120" s="2"/>
      </tp>
      <tp t="s">
        <v>N/A</v>
        <stp/>
        <stp>VOLUME</stp>
        <stp>.SPXW260227C6680</stp>
        <tr r="P118" s="2"/>
      </tp>
      <tp t="s">
        <v>N/A</v>
        <stp/>
        <stp>VOLUME</stp>
        <stp>.SPXW260626C6690</stp>
        <tr r="T116" s="2"/>
      </tp>
      <tp>
        <v>23</v>
        <stp/>
        <stp>VOLUME</stp>
        <stp>.SPXW251128C6640</stp>
        <tr r="H126" s="2"/>
        <tr r="H126" s="2"/>
      </tp>
      <tp t="s">
        <v>N/A</v>
        <stp/>
        <stp>VOLUME</stp>
        <stp>.SPXW260828P6675</stp>
        <tr r="V119" s="2"/>
      </tp>
      <tp t="s">
        <v>N/A</v>
        <stp/>
        <stp>VOLUME</stp>
        <stp>.SPXW260227P6685</stp>
        <tr r="P117" s="2"/>
      </tp>
      <tp t="s">
        <v>N/A</v>
        <stp/>
        <stp>VOLUME</stp>
        <stp>.SPXW260626P6695</stp>
        <tr r="T115" s="2"/>
      </tp>
      <tp>
        <v>35</v>
        <stp/>
        <stp>VOLUME</stp>
        <stp>.SPXW251128P6645</stp>
        <tr r="H125" s="2"/>
        <tr r="H125" s="2"/>
      </tp>
      <tp>
        <v>56</v>
        <stp/>
        <stp>VOLUME</stp>
        <stp>.SPXW251128P6640</stp>
        <tr r="H126" s="2"/>
        <tr r="H126" s="2"/>
      </tp>
      <tp t="s">
        <v>N/A</v>
        <stp/>
        <stp>VOLUME</stp>
        <stp>.SPXW260828P6670</stp>
        <tr r="V120" s="2"/>
      </tp>
      <tp>
        <v>2</v>
        <stp/>
        <stp>VOLUME</stp>
        <stp>.SPXW260227P6680</stp>
        <tr r="P118" s="2"/>
        <tr r="P118" s="2"/>
      </tp>
      <tp t="s">
        <v>N/A</v>
        <stp/>
        <stp>VOLUME</stp>
        <stp>.SPXW260626P6690</stp>
        <tr r="T116" s="2"/>
      </tp>
      <tp t="s">
        <v>N/A</v>
        <stp/>
        <stp>VOLUME</stp>
        <stp>.SPYP684</stp>
        <tr r="G10" s="2"/>
        <tr r="F10" s="2"/>
      </tp>
      <tp t="s">
        <v>N/A</v>
        <stp/>
        <stp>VOLUME</stp>
        <stp>.SPYC684</stp>
        <tr r="G10" s="2"/>
        <tr r="F10" s="2"/>
      </tp>
      <tp t="s">
        <v>N/A</v>
        <stp/>
        <stp>VOLUME</stp>
        <stp>.SPYP685</stp>
        <tr r="F9" s="2"/>
        <tr r="G9" s="2"/>
      </tp>
      <tp t="s">
        <v>N/A</v>
        <stp/>
        <stp>VOLUME</stp>
        <stp>.SPYC685</stp>
        <tr r="F9" s="2"/>
        <tr r="G9" s="2"/>
      </tp>
      <tp t="s">
        <v>N/A</v>
        <stp/>
        <stp>VOLUME</stp>
        <stp>.SPYP686</stp>
        <tr r="G8" s="2"/>
        <tr r="F8" s="2"/>
      </tp>
      <tp t="s">
        <v>N/A</v>
        <stp/>
        <stp>VOLUME</stp>
        <stp>.SPYC686</stp>
        <tr r="G8" s="2"/>
        <tr r="F8" s="2"/>
      </tp>
      <tp t="s">
        <v>N/A</v>
        <stp/>
        <stp>VOLUME</stp>
        <stp>.SPYP687</stp>
        <tr r="G7" s="2"/>
        <tr r="F7" s="2"/>
      </tp>
      <tp t="s">
        <v>N/A</v>
        <stp/>
        <stp>VOLUME</stp>
        <stp>.SPYC687</stp>
        <tr r="G7" s="2"/>
        <tr r="F7" s="2"/>
      </tp>
      <tp t="s">
        <v>N/A</v>
        <stp/>
        <stp>VOLUME</stp>
        <stp>.SPYP680</stp>
        <tr r="F14" s="2"/>
        <tr r="G14" s="2"/>
      </tp>
      <tp t="s">
        <v>N/A</v>
        <stp/>
        <stp>VOLUME</stp>
        <stp>.SPYC680</stp>
        <tr r="F14" s="2"/>
        <tr r="G14" s="2"/>
      </tp>
      <tp t="s">
        <v>N/A</v>
        <stp/>
        <stp>VOLUME</stp>
        <stp>.SPYP681</stp>
        <tr r="G13" s="2"/>
        <tr r="F13" s="2"/>
      </tp>
      <tp t="s">
        <v>N/A</v>
        <stp/>
        <stp>VOLUME</stp>
        <stp>.SPYC681</stp>
        <tr r="G13" s="2"/>
        <tr r="F13" s="2"/>
      </tp>
      <tp t="s">
        <v>N/A</v>
        <stp/>
        <stp>VOLUME</stp>
        <stp>.SPYP682</stp>
        <tr r="G12" s="2"/>
        <tr r="F12" s="2"/>
      </tp>
      <tp t="s">
        <v>N/A</v>
        <stp/>
        <stp>VOLUME</stp>
        <stp>.SPYC682</stp>
        <tr r="G12" s="2"/>
        <tr r="F12" s="2"/>
      </tp>
      <tp t="s">
        <v>N/A</v>
        <stp/>
        <stp>VOLUME</stp>
        <stp>.SPYP683</stp>
        <tr r="F11" s="2"/>
        <tr r="G11" s="2"/>
      </tp>
      <tp t="s">
        <v>N/A</v>
        <stp/>
        <stp>VOLUME</stp>
        <stp>.SPYC683</stp>
        <tr r="F11" s="2"/>
        <tr r="G11" s="2"/>
      </tp>
      <tp t="s">
        <v>N/A</v>
        <stp/>
        <stp>VOLUME</stp>
        <stp>.SPYP688</stp>
        <tr r="G6" s="2"/>
        <tr r="F6" s="2"/>
      </tp>
      <tp t="s">
        <v>N/A</v>
        <stp/>
        <stp>VOLUME</stp>
        <stp>.SPYC688</stp>
        <tr r="G6" s="2"/>
        <tr r="F6" s="2"/>
      </tp>
      <tp t="s">
        <v>N/A</v>
        <stp/>
        <stp>VOLUME</stp>
        <stp>.SPYP689</stp>
        <tr r="G5" s="2"/>
        <tr r="F5" s="2"/>
      </tp>
      <tp t="s">
        <v>N/A</v>
        <stp/>
        <stp>VOLUME</stp>
        <stp>.SPYC689</stp>
        <tr r="G5" s="2"/>
        <tr r="F5" s="2"/>
      </tp>
      <tp>
        <v>14</v>
        <stp/>
        <stp>VOLUME</stp>
        <stp>.SPXW251128C6655</stp>
        <tr r="H123" s="2"/>
        <tr r="H123" s="2"/>
      </tp>
      <tp t="s">
        <v>N/A</v>
        <stp/>
        <stp>VOLUME</stp>
        <stp>.SPXW260828C6665</stp>
        <tr r="V121" s="2"/>
      </tp>
      <tp t="s">
        <v>N/A</v>
        <stp/>
        <stp>VOLUME</stp>
        <stp>.SPXW260227C6695</stp>
        <tr r="P115" s="2"/>
      </tp>
      <tp t="s">
        <v>N/A</v>
        <stp/>
        <stp>VOLUME</stp>
        <stp>.SPXW260626C6685</stp>
        <tr r="T117" s="2"/>
      </tp>
      <tp t="s">
        <v>N/A</v>
        <stp/>
        <stp>VOLUME</stp>
        <stp>.SPXW260828C6660</stp>
        <tr r="V122" s="2"/>
      </tp>
      <tp t="s">
        <v>N/A</v>
        <stp/>
        <stp>VOLUME</stp>
        <stp>.SPXW260227C6690</stp>
        <tr r="P116" s="2"/>
      </tp>
      <tp t="s">
        <v>N/A</v>
        <stp/>
        <stp>VOLUME</stp>
        <stp>.SPXW260626C6680</stp>
        <tr r="T118" s="2"/>
      </tp>
      <tp>
        <v>357</v>
        <stp/>
        <stp>VOLUME</stp>
        <stp>.SPXW251128C6650</stp>
        <tr r="H124" s="2"/>
        <tr r="H124" s="2"/>
      </tp>
      <tp t="s">
        <v>N/A</v>
        <stp/>
        <stp>VOLUME</stp>
        <stp>.SPXW260828P6665</stp>
        <tr r="V121" s="2"/>
      </tp>
      <tp t="s">
        <v>N/A</v>
        <stp/>
        <stp>VOLUME</stp>
        <stp>.SPXW260227P6695</stp>
        <tr r="P115" s="2"/>
      </tp>
      <tp t="s">
        <v>N/A</v>
        <stp/>
        <stp>VOLUME</stp>
        <stp>.SPXW260626P6685</stp>
        <tr r="T117" s="2"/>
      </tp>
      <tp>
        <v>38</v>
        <stp/>
        <stp>VOLUME</stp>
        <stp>.SPXW251128P6655</stp>
        <tr r="H123" s="2"/>
        <tr r="H123" s="2"/>
      </tp>
      <tp>
        <v>2610</v>
        <stp/>
        <stp>VOLUME</stp>
        <stp>.SPXW251128P6650</stp>
        <tr r="H124" s="2"/>
        <tr r="H124" s="2"/>
      </tp>
      <tp t="s">
        <v>N/A</v>
        <stp/>
        <stp>VOLUME</stp>
        <stp>.SPXW260828P6660</stp>
        <tr r="V122" s="2"/>
      </tp>
      <tp t="s">
        <v>N/A</v>
        <stp/>
        <stp>VOLUME</stp>
        <stp>.SPXW260227P6690</stp>
        <tr r="P116" s="2"/>
      </tp>
      <tp t="s">
        <v>N/A</v>
        <stp/>
        <stp>VOLUME</stp>
        <stp>.SPXW260626P6680</stp>
        <tr r="T118" s="2"/>
      </tp>
      <tp>
        <v>36</v>
        <stp/>
        <stp>VOLUME</stp>
        <stp>.SPXW251128C6665</stp>
        <tr r="H121" s="2"/>
        <tr r="H121" s="2"/>
      </tp>
      <tp t="s">
        <v>N/A</v>
        <stp/>
        <stp>VOLUME</stp>
        <stp>.SPXW260828C6655</stp>
        <tr r="V123" s="2"/>
      </tp>
      <tp t="s">
        <v>N/A</v>
        <stp/>
        <stp>VOLUME</stp>
        <stp>.SPXW260828C6650</stp>
        <tr r="V124" s="2"/>
      </tp>
      <tp>
        <v>61</v>
        <stp/>
        <stp>VOLUME</stp>
        <stp>.SPXW251128C6660</stp>
        <tr r="H122" s="2"/>
        <tr r="H122" s="2"/>
      </tp>
      <tp t="s">
        <v>N/A</v>
        <stp/>
        <stp>VOLUME</stp>
        <stp>.SPXW260828P6655</stp>
        <tr r="V123" s="2"/>
      </tp>
      <tp>
        <v>20</v>
        <stp/>
        <stp>VOLUME</stp>
        <stp>.SPXW251128P6665</stp>
        <tr r="H121" s="2"/>
        <tr r="H121" s="2"/>
      </tp>
      <tp>
        <v>43</v>
        <stp/>
        <stp>VOLUME</stp>
        <stp>.SPXW251128P6660</stp>
        <tr r="H122" s="2"/>
        <tr r="H122" s="2"/>
      </tp>
      <tp t="s">
        <v>N/A</v>
        <stp/>
        <stp>VOLUME</stp>
        <stp>.SPXW260828P6650</stp>
        <tr r="V124" s="2"/>
      </tp>
      <tp>
        <v>101</v>
        <stp/>
        <stp>VOLUME</stp>
        <stp>.SPXW251128C6675</stp>
        <tr r="H119" s="2"/>
        <tr r="H119" s="2"/>
      </tp>
      <tp t="s">
        <v>N/A</v>
        <stp/>
        <stp>VOLUME</stp>
        <stp>.SPXW260828C6645</stp>
        <tr r="V125" s="2"/>
      </tp>
      <tp t="s">
        <v>N/A</v>
        <stp/>
        <stp>VOLUME</stp>
        <stp>.SPXW260828C6640</stp>
        <tr r="V126" s="2"/>
      </tp>
      <tp>
        <v>56</v>
        <stp/>
        <stp>VOLUME</stp>
        <stp>.SPXW251128C6670</stp>
        <tr r="H120" s="2"/>
        <tr r="H120" s="2"/>
      </tp>
      <tp t="s">
        <v>N/A</v>
        <stp/>
        <stp>VOLUME</stp>
        <stp>.SPXW260828P6645</stp>
        <tr r="V125" s="2"/>
      </tp>
      <tp>
        <v>107</v>
        <stp/>
        <stp>VOLUME</stp>
        <stp>.SPXW251128P6675</stp>
        <tr r="H119" s="2"/>
        <tr r="H119" s="2"/>
      </tp>
      <tp>
        <v>95</v>
        <stp/>
        <stp>VOLUME</stp>
        <stp>.SPXW251128P6670</stp>
        <tr r="H120" s="2"/>
        <tr r="H120" s="2"/>
      </tp>
      <tp t="s">
        <v>N/A</v>
        <stp/>
        <stp>VOLUME</stp>
        <stp>.SPXW260828P6640</stp>
        <tr r="V126" s="2"/>
      </tp>
      <tp t="s">
        <v>N/A</v>
        <stp/>
        <stp>VOLUME</stp>
        <stp>.SPYP655</stp>
        <tr r="G39" s="2"/>
        <tr r="F39" s="2"/>
      </tp>
      <tp t="s">
        <v>N/A</v>
        <stp/>
        <stp>VOLUME</stp>
        <stp>.SPYC655</stp>
        <tr r="G39" s="2"/>
        <tr r="F39" s="2"/>
      </tp>
      <tp t="s">
        <v>N/A</v>
        <stp/>
        <stp>VOLUME</stp>
        <stp>.SPYP656</stp>
        <tr r="G38" s="2"/>
        <tr r="F38" s="2"/>
      </tp>
      <tp t="s">
        <v>N/A</v>
        <stp/>
        <stp>VOLUME</stp>
        <stp>.SPYC656</stp>
        <tr r="G38" s="2"/>
        <tr r="F38" s="2"/>
      </tp>
      <tp t="s">
        <v>N/A</v>
        <stp/>
        <stp>VOLUME</stp>
        <stp>.SPYP657</stp>
        <tr r="F37" s="2"/>
        <tr r="G37" s="2"/>
      </tp>
      <tp t="s">
        <v>N/A</v>
        <stp/>
        <stp>VOLUME</stp>
        <stp>.SPYC657</stp>
        <tr r="F37" s="2"/>
        <tr r="G37" s="2"/>
      </tp>
      <tp t="s">
        <v>N/A</v>
        <stp/>
        <stp>VOLUME</stp>
        <stp>.SPYP658</stp>
        <tr r="G36" s="2"/>
        <tr r="F36" s="2"/>
      </tp>
      <tp t="s">
        <v>N/A</v>
        <stp/>
        <stp>VOLUME</stp>
        <stp>.SPYC658</stp>
        <tr r="G36" s="2"/>
        <tr r="F36" s="2"/>
      </tp>
      <tp t="s">
        <v>N/A</v>
        <stp/>
        <stp>VOLUME</stp>
        <stp>.SPYP659</stp>
        <tr r="G35" s="2"/>
        <tr r="F35" s="2"/>
      </tp>
      <tp t="s">
        <v>N/A</v>
        <stp/>
        <stp>VOLUME</stp>
        <stp>.SPYC659</stp>
        <tr r="G35" s="2"/>
        <tr r="F35" s="2"/>
      </tp>
      <tp>
        <v>38</v>
        <stp/>
        <stp>VOLUME</stp>
        <stp>.NDXP251110P24950</stp>
        <tr r="B164" s="2"/>
        <tr r="B164" s="2"/>
        <tr r="Q163" s="1"/>
        <tr r="Q163" s="1"/>
      </tp>
      <tp>
        <v>8</v>
        <stp/>
        <stp>VOLUME</stp>
        <stp>.NDXP251111P24850</stp>
        <tr r="C168" s="2"/>
        <tr r="C168" s="2"/>
      </tp>
      <tp t="s">
        <v>N/A</v>
        <stp/>
        <stp>VOLUME</stp>
        <stp>.SPXW261030C6735</stp>
        <tr r="X107" s="2"/>
      </tp>
      <tp>
        <v>31</v>
        <stp/>
        <stp>VOLUME</stp>
        <stp>.SPXW251128C6685</stp>
        <tr r="H117" s="2"/>
        <tr r="H117" s="2"/>
      </tp>
      <tp t="s">
        <v>N/A</v>
        <stp/>
        <stp>VOLUME</stp>
        <stp>.SPXW260227C6645</stp>
        <tr r="P125" s="2"/>
      </tp>
      <tp t="s">
        <v>N/A</v>
        <stp/>
        <stp>VOLUME</stp>
        <stp>.SPXW260626C6655</stp>
        <tr r="T123" s="2"/>
      </tp>
      <tp t="s">
        <v>N/A</v>
        <stp/>
        <stp>VOLUME</stp>
        <stp>.SPXW260227C6640</stp>
        <tr r="P126" s="2"/>
      </tp>
      <tp t="s">
        <v>N/A</v>
        <stp/>
        <stp>VOLUME</stp>
        <stp>.SPXW260626C6650</stp>
        <tr r="T124" s="2"/>
      </tp>
      <tp t="s">
        <v>N/A</v>
        <stp/>
        <stp>VOLUME</stp>
        <stp>.SPXW261030C6730</stp>
        <tr r="X108" s="2"/>
      </tp>
      <tp>
        <v>92</v>
        <stp/>
        <stp>VOLUME</stp>
        <stp>.SPXW251128C6680</stp>
        <tr r="H118" s="2"/>
        <tr r="H118" s="2"/>
      </tp>
      <tp t="s">
        <v>N/A</v>
        <stp/>
        <stp>VOLUME</stp>
        <stp>.SPXW260227P6645</stp>
        <tr r="P125" s="2"/>
      </tp>
      <tp t="s">
        <v>N/A</v>
        <stp/>
        <stp>VOLUME</stp>
        <stp>.SPXW260626P6655</stp>
        <tr r="T123" s="2"/>
      </tp>
      <tp t="s">
        <v>N/A</v>
        <stp/>
        <stp>VOLUME</stp>
        <stp>.SPXW261030P6735</stp>
        <tr r="X107" s="2"/>
      </tp>
      <tp>
        <v>10</v>
        <stp/>
        <stp>VOLUME</stp>
        <stp>.SPXW251128P6685</stp>
        <tr r="H117" s="2"/>
        <tr r="H117" s="2"/>
      </tp>
      <tp t="s">
        <v>N/A</v>
        <stp/>
        <stp>VOLUME</stp>
        <stp>.SPXW261030P6730</stp>
        <tr r="X108" s="2"/>
      </tp>
      <tp>
        <v>37</v>
        <stp/>
        <stp>VOLUME</stp>
        <stp>.SPXW251128P6680</stp>
        <tr r="H118" s="2"/>
        <tr r="H118" s="2"/>
      </tp>
      <tp>
        <v>3</v>
        <stp/>
        <stp>VOLUME</stp>
        <stp>.SPXW260227P6640</stp>
        <tr r="P126" s="2"/>
        <tr r="P126" s="2"/>
      </tp>
      <tp t="s">
        <v>N/A</v>
        <stp/>
        <stp>VOLUME</stp>
        <stp>.SPXW260626P6650</stp>
        <tr r="T124" s="2"/>
      </tp>
      <tp t="s">
        <v>N/A</v>
        <stp/>
        <stp>VOLUME</stp>
        <stp>.NDXP260828P25250</stp>
        <tr r="V152" s="2"/>
      </tp>
      <tp t="s">
        <v>N/A</v>
        <stp/>
        <stp>VOLUME</stp>
        <stp>.NDXP260109P24350</stp>
        <tr r="L188" s="2"/>
      </tp>
      <tp t="s">
        <v>N/A</v>
        <stp/>
        <stp>VOLUME</stp>
        <stp>.NDXP260109P25350</stp>
        <tr r="L148" s="2"/>
      </tp>
      <tp t="s">
        <v>N/A</v>
        <stp/>
        <stp>VOLUME</stp>
        <stp>.SPXW261030C6725</stp>
        <tr r="X109" s="2"/>
      </tp>
      <tp>
        <v>11</v>
        <stp/>
        <stp>VOLUME</stp>
        <stp>.SPXW251128C6695</stp>
        <tr r="H115" s="2"/>
        <tr r="H115" s="2"/>
      </tp>
      <tp t="s">
        <v>N/A</v>
        <stp/>
        <stp>VOLUME</stp>
        <stp>.SPXW260227C6655</stp>
        <tr r="P123" s="2"/>
      </tp>
      <tp t="s">
        <v>N/A</v>
        <stp/>
        <stp>VOLUME</stp>
        <stp>.SPXW260626C6645</stp>
        <tr r="T125" s="2"/>
      </tp>
      <tp t="s">
        <v>N/A</v>
        <stp/>
        <stp>VOLUME</stp>
        <stp>.SPXW260227C6650</stp>
        <tr r="P124" s="2"/>
      </tp>
      <tp t="s">
        <v>N/A</v>
        <stp/>
        <stp>VOLUME</stp>
        <stp>.SPXW260626C6640</stp>
        <tr r="T126" s="2"/>
      </tp>
      <tp t="s">
        <v>N/A</v>
        <stp/>
        <stp>VOLUME</stp>
        <stp>.SPXW261030C6720</stp>
        <tr r="X110" s="2"/>
      </tp>
      <tp>
        <v>60</v>
        <stp/>
        <stp>VOLUME</stp>
        <stp>.SPXW251128C6690</stp>
        <tr r="H116" s="2"/>
        <tr r="H116" s="2"/>
      </tp>
      <tp t="s">
        <v>N/A</v>
        <stp/>
        <stp>VOLUME</stp>
        <stp>.SPXW260227P6655</stp>
        <tr r="P123" s="2"/>
      </tp>
      <tp t="s">
        <v>N/A</v>
        <stp/>
        <stp>VOLUME</stp>
        <stp>.SPXW260626P6645</stp>
        <tr r="T125" s="2"/>
      </tp>
      <tp t="s">
        <v>N/A</v>
        <stp/>
        <stp>VOLUME</stp>
        <stp>.SPXW261030P6725</stp>
        <tr r="X109" s="2"/>
      </tp>
      <tp>
        <v>34</v>
        <stp/>
        <stp>VOLUME</stp>
        <stp>.SPXW251128P6695</stp>
        <tr r="H115" s="2"/>
        <tr r="H115" s="2"/>
      </tp>
      <tp t="s">
        <v>N/A</v>
        <stp/>
        <stp>VOLUME</stp>
        <stp>.SPXW261030P6720</stp>
        <tr r="X110" s="2"/>
      </tp>
      <tp>
        <v>80</v>
        <stp/>
        <stp>VOLUME</stp>
        <stp>.SPXW251128P6690</stp>
        <tr r="H116" s="2"/>
        <tr r="H116" s="2"/>
      </tp>
      <tp>
        <v>19</v>
        <stp/>
        <stp>VOLUME</stp>
        <stp>.SPXW260227P6650</stp>
        <tr r="P124" s="2"/>
        <tr r="P124" s="2"/>
      </tp>
      <tp t="s">
        <v>N/A</v>
        <stp/>
        <stp>VOLUME</stp>
        <stp>.SPXW260626P6640</stp>
        <tr r="T126" s="2"/>
      </tp>
      <tp t="s">
        <v>N/A</v>
        <stp/>
        <stp>VOLUME</stp>
        <stp>.SPYP674</stp>
        <tr r="G20" s="2"/>
        <tr r="F20" s="2"/>
      </tp>
      <tp t="s">
        <v>N/A</v>
        <stp/>
        <stp>VOLUME</stp>
        <stp>.SPYC674</stp>
        <tr r="G20" s="2"/>
        <tr r="F20" s="2"/>
      </tp>
      <tp t="s">
        <v>N/A</v>
        <stp/>
        <stp>VOLUME</stp>
        <stp>.SPYP675</stp>
        <tr r="F19" s="2"/>
        <tr r="G19" s="2"/>
      </tp>
      <tp t="s">
        <v>N/A</v>
        <stp/>
        <stp>VOLUME</stp>
        <stp>.SPYC675</stp>
        <tr r="F19" s="2"/>
        <tr r="G19" s="2"/>
      </tp>
      <tp t="s">
        <v>N/A</v>
        <stp/>
        <stp>VOLUME</stp>
        <stp>.SPYP676</stp>
        <tr r="G18" s="2"/>
        <tr r="F18" s="2"/>
      </tp>
      <tp t="s">
        <v>N/A</v>
        <stp/>
        <stp>VOLUME</stp>
        <stp>.SPYC676</stp>
        <tr r="G18" s="2"/>
        <tr r="F18" s="2"/>
      </tp>
      <tp t="s">
        <v>N/A</v>
        <stp/>
        <stp>VOLUME</stp>
        <stp>.SPYP677</stp>
        <tr r="F17" s="2"/>
        <tr r="G17" s="2"/>
      </tp>
      <tp t="s">
        <v>N/A</v>
        <stp/>
        <stp>VOLUME</stp>
        <stp>.SPYC677</stp>
        <tr r="F17" s="2"/>
        <tr r="G17" s="2"/>
      </tp>
      <tp t="s">
        <v>N/A</v>
        <stp/>
        <stp>VOLUME</stp>
        <stp>.SPYP670</stp>
        <tr r="F24" s="2"/>
        <tr r="G24" s="2"/>
      </tp>
      <tp t="s">
        <v>N/A</v>
        <stp/>
        <stp>VOLUME</stp>
        <stp>.SPYC670</stp>
        <tr r="F24" s="2"/>
        <tr r="G24" s="2"/>
      </tp>
      <tp t="s">
        <v>N/A</v>
        <stp/>
        <stp>VOLUME</stp>
        <stp>.SPYP671</stp>
        <tr r="G23" s="2"/>
        <tr r="F23" s="2"/>
      </tp>
      <tp t="s">
        <v>N/A</v>
        <stp/>
        <stp>VOLUME</stp>
        <stp>.SPYC671</stp>
        <tr r="G23" s="2"/>
        <tr r="F23" s="2"/>
      </tp>
      <tp t="s">
        <v>N/A</v>
        <stp/>
        <stp>VOLUME</stp>
        <stp>.SPYP672</stp>
        <tr r="G22" s="2"/>
        <tr r="F22" s="2"/>
      </tp>
      <tp t="s">
        <v>N/A</v>
        <stp/>
        <stp>VOLUME</stp>
        <stp>.SPYC672</stp>
        <tr r="G22" s="2"/>
        <tr r="F22" s="2"/>
      </tp>
      <tp t="s">
        <v>N/A</v>
        <stp/>
        <stp>VOLUME</stp>
        <stp>.SPYP673</stp>
        <tr r="G21" s="2"/>
        <tr r="F21" s="2"/>
      </tp>
      <tp t="s">
        <v>N/A</v>
        <stp/>
        <stp>VOLUME</stp>
        <stp>.SPYC673</stp>
        <tr r="G21" s="2"/>
        <tr r="F21" s="2"/>
      </tp>
      <tp t="s">
        <v>N/A</v>
        <stp/>
        <stp>VOLUME</stp>
        <stp>.SPYP678</stp>
        <tr r="F16" s="2"/>
        <tr r="G16" s="2"/>
      </tp>
      <tp t="s">
        <v>N/A</v>
        <stp/>
        <stp>VOLUME</stp>
        <stp>.SPYC678</stp>
        <tr r="F16" s="2"/>
        <tr r="G16" s="2"/>
      </tp>
      <tp t="s">
        <v>N/A</v>
        <stp/>
        <stp>VOLUME</stp>
        <stp>.SPYP679</stp>
        <tr r="F15" s="2"/>
        <tr r="G15" s="2"/>
      </tp>
      <tp t="s">
        <v>N/A</v>
        <stp/>
        <stp>VOLUME</stp>
        <stp>.SPYC679</stp>
        <tr r="F15" s="2"/>
        <tr r="G15" s="2"/>
      </tp>
      <tp t="s">
        <v>N/A</v>
        <stp/>
        <stp>VOLUME</stp>
        <stp>.NDXP251110P24975</stp>
        <tr r="B163" s="2"/>
        <tr r="Q162" s="1"/>
      </tp>
      <tp t="s">
        <v>N/A</v>
        <stp/>
        <stp>VOLUME</stp>
        <stp>.NDXP251111P24875</stp>
        <tr r="C167" s="2"/>
      </tp>
      <tp t="s">
        <v>N/A</v>
        <stp/>
        <stp>VOLUME</stp>
        <stp>.SPXW261030C6715</stp>
        <tr r="X111" s="2"/>
      </tp>
      <tp t="s">
        <v>N/A</v>
        <stp/>
        <stp>VOLUME</stp>
        <stp>.SPXW260828C6695</stp>
        <tr r="V115" s="2"/>
      </tp>
      <tp t="s">
        <v>N/A</v>
        <stp/>
        <stp>VOLUME</stp>
        <stp>.SPXW260227C6665</stp>
        <tr r="P121" s="2"/>
      </tp>
      <tp t="s">
        <v>N/A</v>
        <stp/>
        <stp>VOLUME</stp>
        <stp>.SPXW260626C6675</stp>
        <tr r="T119" s="2"/>
      </tp>
      <tp t="s">
        <v>N/A</v>
        <stp/>
        <stp>VOLUME</stp>
        <stp>.SPXW260828C6690</stp>
        <tr r="V116" s="2"/>
      </tp>
      <tp t="s">
        <v>N/A</v>
        <stp/>
        <stp>VOLUME</stp>
        <stp>.SPXW260227C6660</stp>
        <tr r="P122" s="2"/>
      </tp>
      <tp t="s">
        <v>N/A</v>
        <stp/>
        <stp>VOLUME</stp>
        <stp>.SPXW260626C6670</stp>
        <tr r="T120" s="2"/>
      </tp>
      <tp t="s">
        <v>N/A</v>
        <stp/>
        <stp>VOLUME</stp>
        <stp>.SPXW261030C6710</stp>
        <tr r="X112" s="2"/>
      </tp>
      <tp t="s">
        <v>N/A</v>
        <stp/>
        <stp>VOLUME</stp>
        <stp>.SPXW260828P6695</stp>
        <tr r="V115" s="2"/>
      </tp>
      <tp t="s">
        <v>N/A</v>
        <stp/>
        <stp>VOLUME</stp>
        <stp>.SPXW260227P6665</stp>
        <tr r="P121" s="2"/>
      </tp>
      <tp t="s">
        <v>N/A</v>
        <stp/>
        <stp>VOLUME</stp>
        <stp>.SPXW260626P6675</stp>
        <tr r="T119" s="2"/>
      </tp>
      <tp t="s">
        <v>N/A</v>
        <stp/>
        <stp>VOLUME</stp>
        <stp>.SPXW261030P6715</stp>
        <tr r="X111" s="2"/>
      </tp>
      <tp t="s">
        <v>N/A</v>
        <stp/>
        <stp>VOLUME</stp>
        <stp>.SPXW261030P6710</stp>
        <tr r="X112" s="2"/>
      </tp>
      <tp t="s">
        <v>N/A</v>
        <stp/>
        <stp>VOLUME</stp>
        <stp>.SPXW260828P6690</stp>
        <tr r="V116" s="2"/>
      </tp>
      <tp>
        <v>1</v>
        <stp/>
        <stp>VOLUME</stp>
        <stp>.SPXW260227P6660</stp>
        <tr r="P122" s="2"/>
        <tr r="P122" s="2"/>
      </tp>
      <tp t="s">
        <v>N/A</v>
        <stp/>
        <stp>VOLUME</stp>
        <stp>.SPXW260626P6670</stp>
        <tr r="T120" s="2"/>
      </tp>
      <tp t="s">
        <v>N/A</v>
        <stp/>
        <stp>VOLUME</stp>
        <stp>.SPYP664</stp>
        <tr r="G30" s="2"/>
        <tr r="F30" s="2"/>
      </tp>
      <tp t="s">
        <v>N/A</v>
        <stp/>
        <stp>VOLUME</stp>
        <stp>.SPYC664</stp>
        <tr r="G30" s="2"/>
        <tr r="F30" s="2"/>
      </tp>
      <tp t="s">
        <v>N/A</v>
        <stp/>
        <stp>VOLUME</stp>
        <stp>.SPYP665</stp>
        <tr r="G29" s="2"/>
        <tr r="F29" s="2"/>
      </tp>
      <tp t="s">
        <v>N/A</v>
        <stp/>
        <stp>VOLUME</stp>
        <stp>.SPYC665</stp>
        <tr r="G29" s="2"/>
        <tr r="F29" s="2"/>
      </tp>
      <tp t="s">
        <v>N/A</v>
        <stp/>
        <stp>VOLUME</stp>
        <stp>.SPYP666</stp>
        <tr r="G28" s="2"/>
        <tr r="F28" s="2"/>
      </tp>
      <tp t="s">
        <v>N/A</v>
        <stp/>
        <stp>VOLUME</stp>
        <stp>.SPYC666</stp>
        <tr r="G28" s="2"/>
        <tr r="F28" s="2"/>
      </tp>
      <tp t="s">
        <v>N/A</v>
        <stp/>
        <stp>VOLUME</stp>
        <stp>.SPYP667</stp>
        <tr r="G27" s="2"/>
        <tr r="F27" s="2"/>
      </tp>
      <tp t="s">
        <v>N/A</v>
        <stp/>
        <stp>VOLUME</stp>
        <stp>.SPYC667</stp>
        <tr r="G27" s="2"/>
        <tr r="F27" s="2"/>
      </tp>
      <tp t="s">
        <v>N/A</v>
        <stp/>
        <stp>VOLUME</stp>
        <stp>.SPYP660</stp>
        <tr r="F34" s="2"/>
        <tr r="G34" s="2"/>
      </tp>
      <tp t="s">
        <v>N/A</v>
        <stp/>
        <stp>VOLUME</stp>
        <stp>.SPYC660</stp>
        <tr r="F34" s="2"/>
        <tr r="G34" s="2"/>
      </tp>
      <tp t="s">
        <v>N/A</v>
        <stp/>
        <stp>VOLUME</stp>
        <stp>.SPYP661</stp>
        <tr r="G33" s="2"/>
        <tr r="F33" s="2"/>
      </tp>
      <tp t="s">
        <v>N/A</v>
        <stp/>
        <stp>VOLUME</stp>
        <stp>.SPYC661</stp>
        <tr r="G33" s="2"/>
        <tr r="F33" s="2"/>
      </tp>
      <tp t="s">
        <v>N/A</v>
        <stp/>
        <stp>VOLUME</stp>
        <stp>.SPYP662</stp>
        <tr r="F32" s="2"/>
        <tr r="G32" s="2"/>
      </tp>
      <tp t="s">
        <v>N/A</v>
        <stp/>
        <stp>VOLUME</stp>
        <stp>.SPYC662</stp>
        <tr r="F32" s="2"/>
        <tr r="G32" s="2"/>
      </tp>
      <tp t="s">
        <v>N/A</v>
        <stp/>
        <stp>VOLUME</stp>
        <stp>.SPYP663</stp>
        <tr r="G31" s="2"/>
        <tr r="F31" s="2"/>
      </tp>
      <tp t="s">
        <v>N/A</v>
        <stp/>
        <stp>VOLUME</stp>
        <stp>.SPYC663</stp>
        <tr r="G31" s="2"/>
        <tr r="F31" s="2"/>
      </tp>
      <tp t="s">
        <v>N/A</v>
        <stp/>
        <stp>VOLUME</stp>
        <stp>.SPYP668</stp>
        <tr r="G26" s="2"/>
        <tr r="F26" s="2"/>
      </tp>
      <tp t="s">
        <v>N/A</v>
        <stp/>
        <stp>VOLUME</stp>
        <stp>.SPYC668</stp>
        <tr r="G26" s="2"/>
        <tr r="F26" s="2"/>
      </tp>
      <tp t="s">
        <v>N/A</v>
        <stp/>
        <stp>VOLUME</stp>
        <stp>.SPYP669</stp>
        <tr r="F25" s="2"/>
        <tr r="G25" s="2"/>
      </tp>
      <tp t="s">
        <v>N/A</v>
        <stp/>
        <stp>VOLUME</stp>
        <stp>.SPYC669</stp>
        <tr r="F25" s="2"/>
        <tr r="G25" s="2"/>
      </tp>
      <tp t="s">
        <v>N/A</v>
        <stp/>
        <stp>VOLUME</stp>
        <stp>.NDXP260828P25275</stp>
        <tr r="V151" s="2"/>
      </tp>
      <tp t="s">
        <v>N/A</v>
        <stp/>
        <stp>VOLUME</stp>
        <stp>.NDXP260109P24375</stp>
        <tr r="L187" s="2"/>
      </tp>
      <tp t="s">
        <v>N/A</v>
        <stp/>
        <stp>VOLUME</stp>
        <stp>.NDXP260109P25375</stp>
        <tr r="L147" s="2"/>
      </tp>
      <tp t="s">
        <v>N/A</v>
        <stp/>
        <stp>VOLUME</stp>
        <stp>.SPXW261030C6705</stp>
        <tr r="X113" s="2"/>
      </tp>
      <tp t="s">
        <v>N/A</v>
        <stp/>
        <stp>VOLUME</stp>
        <stp>.SPXW260828C6685</stp>
        <tr r="V117" s="2"/>
      </tp>
      <tp t="s">
        <v>N/A</v>
        <stp/>
        <stp>VOLUME</stp>
        <stp>.SPXW260227C6675</stp>
        <tr r="P119" s="2"/>
      </tp>
      <tp t="s">
        <v>N/A</v>
        <stp/>
        <stp>VOLUME</stp>
        <stp>.SPXW260626C6665</stp>
        <tr r="T121" s="2"/>
      </tp>
      <tp t="s">
        <v>N/A</v>
        <stp/>
        <stp>VOLUME</stp>
        <stp>.SPXW260828C6680</stp>
        <tr r="V118" s="2"/>
      </tp>
      <tp>
        <v>1</v>
        <stp/>
        <stp>VOLUME</stp>
        <stp>.SPXW260227C6670</stp>
        <tr r="P120" s="2"/>
        <tr r="P120" s="2"/>
      </tp>
      <tp t="s">
        <v>N/A</v>
        <stp/>
        <stp>VOLUME</stp>
        <stp>.SPXW260626C6660</stp>
        <tr r="T122" s="2"/>
      </tp>
      <tp t="s">
        <v>N/A</v>
        <stp/>
        <stp>VOLUME</stp>
        <stp>.SPXW261030C6700</stp>
        <tr r="X114" s="2"/>
      </tp>
      <tp t="s">
        <v>N/A</v>
        <stp/>
        <stp>VOLUME</stp>
        <stp>.SPXW260828P6685</stp>
        <tr r="V117" s="2"/>
      </tp>
      <tp>
        <v>18</v>
        <stp/>
        <stp>VOLUME</stp>
        <stp>.SPXW260227P6675</stp>
        <tr r="P119" s="2"/>
        <tr r="P119" s="2"/>
      </tp>
      <tp t="s">
        <v>N/A</v>
        <stp/>
        <stp>VOLUME</stp>
        <stp>.SPXW260626P6665</stp>
        <tr r="T121" s="2"/>
      </tp>
      <tp t="s">
        <v>N/A</v>
        <stp/>
        <stp>VOLUME</stp>
        <stp>.SPXW261030P6705</stp>
        <tr r="X113" s="2"/>
      </tp>
      <tp t="s">
        <v>N/A</v>
        <stp/>
        <stp>VOLUME</stp>
        <stp>.SPXW261030P6700</stp>
        <tr r="X114" s="2"/>
      </tp>
      <tp t="s">
        <v>N/A</v>
        <stp/>
        <stp>VOLUME</stp>
        <stp>.SPXW260828P6680</stp>
        <tr r="V118" s="2"/>
      </tp>
      <tp t="s">
        <v>N/A</v>
        <stp/>
        <stp>VOLUME</stp>
        <stp>.SPXW260227P6670</stp>
        <tr r="P120" s="2"/>
      </tp>
      <tp t="s">
        <v>N/A</v>
        <stp/>
        <stp>VOLUME</stp>
        <stp>.SPXW260626P6660</stp>
        <tr r="T122" s="2"/>
      </tp>
      <tp t="s">
        <v>N/A</v>
        <stp/>
        <stp>VOLUME</stp>
        <stp>.NDXP260828P25200</stp>
        <tr r="V154" s="2"/>
      </tp>
      <tp t="s">
        <v>N/A</v>
        <stp/>
        <stp>VOLUME</stp>
        <stp>.NDXP260109P24300</stp>
        <tr r="L190" s="2"/>
      </tp>
      <tp t="s">
        <v>N/A</v>
        <stp/>
        <stp>VOLUME</stp>
        <stp>.NDXP260109P25300</stp>
        <tr r="L150" s="2"/>
      </tp>
      <tp t="s">
        <v>N/A</v>
        <stp/>
        <stp>VOLUME</stp>
        <stp>.SPXW261030C6775</stp>
        <tr r="X99" s="2"/>
      </tp>
      <tp t="s">
        <v>N/A</v>
        <stp/>
        <stp>VOLUME</stp>
        <stp>.SPXW260626C6615</stp>
        <tr r="T131" s="2"/>
      </tp>
      <tp t="s">
        <v>N/A</v>
        <stp/>
        <stp>VOLUME</stp>
        <stp>.SPXW261030C6770</stp>
        <tr r="X100" s="2"/>
      </tp>
      <tp t="s">
        <v>N/A</v>
        <stp/>
        <stp>VOLUME</stp>
        <stp>.SPXW260626P6615</stp>
        <tr r="T131" s="2"/>
      </tp>
      <tp t="s">
        <v>N/A</v>
        <stp/>
        <stp>VOLUME</stp>
        <stp>.SPXW261030P6775</stp>
        <tr r="X99" s="2"/>
      </tp>
      <tp t="s">
        <v>N/A</v>
        <stp/>
        <stp>VOLUME</stp>
        <stp>.SPXW261030P6770</stp>
        <tr r="X100" s="2"/>
      </tp>
      <tp>
        <v>226</v>
        <stp/>
        <stp>VOLUME</stp>
        <stp>.NDXP251110P24900</stp>
        <tr r="B166" s="2"/>
        <tr r="B166" s="2"/>
        <tr r="Q165" s="1"/>
        <tr r="Q165" s="1"/>
      </tp>
      <tp>
        <v>11</v>
        <stp/>
        <stp>VOLUME</stp>
        <stp>.NDXP251111P24800</stp>
        <tr r="C170" s="2"/>
        <tr r="C170" s="2"/>
      </tp>
      <tp t="s">
        <v>N/A</v>
        <stp/>
        <stp>VOLUME</stp>
        <stp>.SPXW261030C6765</stp>
        <tr r="X101" s="2"/>
      </tp>
      <tp t="s">
        <v>N/A</v>
        <stp/>
        <stp>VOLUME</stp>
        <stp>.SPXW260227C6615</stp>
        <tr r="P131" s="2"/>
      </tp>
      <tp t="s">
        <v>N/A</v>
        <stp/>
        <stp>VOLUME</stp>
        <stp>.SPXW261030C6760</stp>
        <tr r="X102" s="2"/>
      </tp>
      <tp t="s">
        <v>N/A</v>
        <stp/>
        <stp>VOLUME</stp>
        <stp>.SPXW260227P6615</stp>
        <tr r="P131" s="2"/>
      </tp>
      <tp t="s">
        <v>N/A</v>
        <stp/>
        <stp>VOLUME</stp>
        <stp>.SPXW261030P6765</stp>
        <tr r="X101" s="2"/>
      </tp>
      <tp t="s">
        <v>N/A</v>
        <stp/>
        <stp>VOLUME</stp>
        <stp>.SPXW261030P6760</stp>
        <tr r="X102" s="2"/>
      </tp>
      <tp t="s">
        <v>N/A</v>
        <stp/>
        <stp>VOLUME</stp>
        <stp>.NDXP260828P25225</stp>
        <tr r="V153" s="2"/>
      </tp>
      <tp t="s">
        <v>N/A</v>
        <stp/>
        <stp>VOLUME</stp>
        <stp>.NDXP260109P24325</stp>
        <tr r="L189" s="2"/>
      </tp>
      <tp t="s">
        <v>N/A</v>
        <stp/>
        <stp>VOLUME</stp>
        <stp>.NDXP260109P25325</stp>
        <tr r="L149" s="2"/>
      </tp>
      <tp t="s">
        <v>N/A</v>
        <stp/>
        <stp>VOLUME</stp>
        <stp>.SPXW261030C6755</stp>
        <tr r="X103" s="2"/>
      </tp>
      <tp t="s">
        <v>N/A</v>
        <stp/>
        <stp>VOLUME</stp>
        <stp>.SPXW260227C6625</stp>
        <tr r="P129" s="2"/>
      </tp>
      <tp t="s">
        <v>N/A</v>
        <stp/>
        <stp>VOLUME</stp>
        <stp>.SPXW260626C6635</stp>
        <tr r="T127" s="2"/>
      </tp>
      <tp>
        <v>4</v>
        <stp/>
        <stp>VOLUME</stp>
        <stp>.SPXW260227C6620</stp>
        <tr r="P130" s="2"/>
        <tr r="P130" s="2"/>
      </tp>
      <tp t="s">
        <v>N/A</v>
        <stp/>
        <stp>VOLUME</stp>
        <stp>.SPXW260626C6630</stp>
        <tr r="T128" s="2"/>
      </tp>
      <tp t="s">
        <v>N/A</v>
        <stp/>
        <stp>VOLUME</stp>
        <stp>.SPXW261030C6750</stp>
        <tr r="X104" s="2"/>
      </tp>
      <tp t="s">
        <v>N/A</v>
        <stp/>
        <stp>VOLUME</stp>
        <stp>.SPXW260227P6625</stp>
        <tr r="P129" s="2"/>
      </tp>
      <tp t="s">
        <v>N/A</v>
        <stp/>
        <stp>VOLUME</stp>
        <stp>.SPXW260626P6635</stp>
        <tr r="T127" s="2"/>
      </tp>
      <tp t="s">
        <v>N/A</v>
        <stp/>
        <stp>VOLUME</stp>
        <stp>.SPXW261030P6755</stp>
        <tr r="X103" s="2"/>
      </tp>
      <tp t="s">
        <v>N/A</v>
        <stp/>
        <stp>VOLUME</stp>
        <stp>.SPXW261030P6750</stp>
        <tr r="X104" s="2"/>
      </tp>
      <tp>
        <v>4</v>
        <stp/>
        <stp>VOLUME</stp>
        <stp>.SPXW260227P6620</stp>
        <tr r="P130" s="2"/>
        <tr r="P130" s="2"/>
      </tp>
      <tp t="s">
        <v>N/A</v>
        <stp/>
        <stp>VOLUME</stp>
        <stp>.SPXW260626P6630</stp>
        <tr r="T128" s="2"/>
      </tp>
      <tp t="s">
        <v>N/A</v>
        <stp/>
        <stp>VOLUME</stp>
        <stp>.NDXP251110P24925</stp>
        <tr r="B165" s="2"/>
        <tr r="Q164" s="1"/>
      </tp>
      <tp t="s">
        <v>N/A</v>
        <stp/>
        <stp>VOLUME</stp>
        <stp>.NDXP251111P24825</stp>
        <tr r="C169" s="2"/>
      </tp>
      <tp t="s">
        <v>N/A</v>
        <stp/>
        <stp>VOLUME</stp>
        <stp>.SPXW261030C6745</stp>
        <tr r="X105" s="2"/>
      </tp>
      <tp t="s">
        <v>N/A</v>
        <stp/>
        <stp>VOLUME</stp>
        <stp>.SPXW260227C6635</stp>
        <tr r="P127" s="2"/>
      </tp>
      <tp t="s">
        <v>N/A</v>
        <stp/>
        <stp>VOLUME</stp>
        <stp>.SPXW260626C6625</stp>
        <tr r="T129" s="2"/>
      </tp>
      <tp t="s">
        <v>N/A</v>
        <stp/>
        <stp>VOLUME</stp>
        <stp>.SPXW260227C6630</stp>
        <tr r="P128" s="2"/>
      </tp>
      <tp t="s">
        <v>N/A</v>
        <stp/>
        <stp>VOLUME</stp>
        <stp>.SPXW260626C6620</stp>
        <tr r="T130" s="2"/>
      </tp>
      <tp t="s">
        <v>N/A</v>
        <stp/>
        <stp>VOLUME</stp>
        <stp>.SPXW261030C6740</stp>
        <tr r="X106" s="2"/>
      </tp>
      <tp t="s">
        <v>N/A</v>
        <stp/>
        <stp>VOLUME</stp>
        <stp>.SPXW260227P6635</stp>
        <tr r="P127" s="2"/>
      </tp>
      <tp t="s">
        <v>N/A</v>
        <stp/>
        <stp>VOLUME</stp>
        <stp>.SPXW260626P6625</stp>
        <tr r="T129" s="2"/>
      </tp>
      <tp t="s">
        <v>N/A</v>
        <stp/>
        <stp>VOLUME</stp>
        <stp>.SPXW261030P6745</stp>
        <tr r="X105" s="2"/>
      </tp>
      <tp t="s">
        <v>N/A</v>
        <stp/>
        <stp>VOLUME</stp>
        <stp>.SPXW261030P6740</stp>
        <tr r="X106" s="2"/>
      </tp>
      <tp t="s">
        <v>N/A</v>
        <stp/>
        <stp>VOLUME</stp>
        <stp>.SPXW260227P6630</stp>
        <tr r="P128" s="2"/>
      </tp>
      <tp t="s">
        <v>N/A</v>
        <stp/>
        <stp>VOLUME</stp>
        <stp>.SPXW260626P6620</stp>
        <tr r="T130" s="2"/>
      </tp>
      <tp>
        <v>16</v>
        <stp/>
        <stp>OPEN_INT</stp>
        <stp>.NDXP251110C25300</stp>
        <tr r="H149" s="1"/>
        <tr r="H149" s="1"/>
      </tp>
      <tp>
        <v>0</v>
        <stp/>
        <stp>OPEN_INT</stp>
        <stp>.NDXP251110C24300</stp>
        <tr r="H189" s="1"/>
        <tr r="H189" s="1"/>
      </tp>
      <tp>
        <v>82</v>
        <stp/>
        <stp>OPEN_INT</stp>
        <stp>.NDXP251114C24700</stp>
        <tr r="J173" s="1"/>
        <tr r="J173" s="1"/>
      </tp>
      <tp t="s">
        <v>N/A</v>
        <stp/>
        <stp>OPEN_INT</stp>
        <stp>.NDXP251110C25325</stp>
        <tr r="H148" s="1"/>
      </tp>
      <tp t="s">
        <v>N/A</v>
        <stp/>
        <stp>OPEN_INT</stp>
        <stp>.NDXP251110C24325</stp>
        <tr r="H188" s="1"/>
      </tp>
      <tp>
        <v>1</v>
        <stp/>
        <stp>OPEN_INT</stp>
        <stp>.NDXP251114C24725</stp>
        <tr r="J172" s="1"/>
        <tr r="J172" s="1"/>
      </tp>
      <tp>
        <v>3</v>
        <stp/>
        <stp>OPEN_INT</stp>
        <stp>.NDXP251110C25350</stp>
        <tr r="H147" s="1"/>
        <tr r="H147" s="1"/>
      </tp>
      <tp>
        <v>0</v>
        <stp/>
        <stp>OPEN_INT</stp>
        <stp>.NDXP251110C24350</stp>
        <tr r="H187" s="1"/>
        <tr r="H187" s="1"/>
      </tp>
      <tp>
        <v>2</v>
        <stp/>
        <stp>OPEN_INT</stp>
        <stp>.NDXP251114C24750</stp>
        <tr r="J171" s="1"/>
        <tr r="J171" s="1"/>
      </tp>
      <tp t="s">
        <v>N/A</v>
        <stp/>
        <stp>OPEN_INT</stp>
        <stp>.NDXP251110C25375</stp>
        <tr r="H146" s="1"/>
      </tp>
      <tp t="s">
        <v>N/A</v>
        <stp/>
        <stp>OPEN_INT</stp>
        <stp>.NDXP251110C24375</stp>
        <tr r="H186" s="1"/>
      </tp>
      <tp>
        <v>0</v>
        <stp/>
        <stp>OPEN_INT</stp>
        <stp>.NDXP251114C24775</stp>
        <tr r="J170" s="1"/>
        <tr r="J170" s="1"/>
      </tp>
      <tp t="s">
        <v>N/A</v>
        <stp/>
        <stp>OPEN_INT</stp>
        <stp>.NDXP251110P25325</stp>
        <tr r="I148" s="1"/>
      </tp>
      <tp t="s">
        <v>N/A</v>
        <stp/>
        <stp>OPEN_INT</stp>
        <stp>.NDXP251110P24325</stp>
        <tr r="I188" s="1"/>
      </tp>
      <tp>
        <v>8</v>
        <stp/>
        <stp>OPEN_INT</stp>
        <stp>.NDXP251114P24725</stp>
        <tr r="K172" s="1"/>
        <tr r="K172" s="1"/>
      </tp>
      <tp>
        <v>12</v>
        <stp/>
        <stp>OPEN_INT</stp>
        <stp>.NDXP251110P25300</stp>
        <tr r="I149" s="1"/>
        <tr r="I149" s="1"/>
      </tp>
      <tp>
        <v>13</v>
        <stp/>
        <stp>OPEN_INT</stp>
        <stp>.NDXP251110P24300</stp>
        <tr r="I189" s="1"/>
        <tr r="I189" s="1"/>
      </tp>
      <tp>
        <v>232</v>
        <stp/>
        <stp>OPEN_INT</stp>
        <stp>.NDXP251114P24700</stp>
        <tr r="K173" s="1"/>
        <tr r="K173" s="1"/>
      </tp>
      <tp t="s">
        <v>N/A</v>
        <stp/>
        <stp>OPEN_INT</stp>
        <stp>.NDXP251110P25375</stp>
        <tr r="I146" s="1"/>
      </tp>
      <tp t="s">
        <v>N/A</v>
        <stp/>
        <stp>OPEN_INT</stp>
        <stp>.NDXP251110P24375</stp>
        <tr r="I186" s="1"/>
      </tp>
      <tp>
        <v>3</v>
        <stp/>
        <stp>OPEN_INT</stp>
        <stp>.NDXP251114P24775</stp>
        <tr r="K170" s="1"/>
        <tr r="K170" s="1"/>
      </tp>
      <tp>
        <v>8</v>
        <stp/>
        <stp>OPEN_INT</stp>
        <stp>.NDXP251110P25350</stp>
        <tr r="I147" s="1"/>
        <tr r="I147" s="1"/>
      </tp>
      <tp>
        <v>2</v>
        <stp/>
        <stp>OPEN_INT</stp>
        <stp>.NDXP251110P24350</stp>
        <tr r="I187" s="1"/>
        <tr r="I187" s="1"/>
      </tp>
      <tp>
        <v>62</v>
        <stp/>
        <stp>OPEN_INT</stp>
        <stp>.NDXP251114P24750</stp>
        <tr r="K171" s="1"/>
        <tr r="K171" s="1"/>
      </tp>
      <tp t="s">
        <v>N/A</v>
        <stp/>
        <stp>VOLUME</stp>
        <stp>.NDXP260828C25175</stp>
        <tr r="V155" s="2"/>
      </tp>
      <tp t="s">
        <v>N/A</v>
        <stp/>
        <stp>VOLUME</stp>
        <stp>.NDXP260501C24875</stp>
        <tr r="R167" s="2"/>
      </tp>
      <tp t="s">
        <v>N/A</v>
        <stp/>
        <stp>VOLUME</stp>
        <stp>.NDXP260109C25075</stp>
        <tr r="L159" s="2"/>
      </tp>
      <tp t="s">
        <v>N/A</v>
        <stp/>
        <stp>VOLUME</stp>
        <stp>.NDXP261030C24975</stp>
        <tr r="X163" s="2"/>
      </tp>
      <tp t="s">
        <v>N/A</v>
        <stp/>
        <stp>VOLUME</stp>
        <stp>.NDXP251112C24875</stp>
        <tr r="D167" s="2"/>
      </tp>
      <tp t="s">
        <v>N/A</v>
        <stp/>
        <stp>VOLUME</stp>
        <stp>.NDXP251113C24975</stp>
        <tr r="E163" s="2"/>
      </tp>
      <tp t="s">
        <v>N/A</v>
        <stp/>
        <stp>VOLUME</stp>
        <stp>.NDXP251212C24875</stp>
        <tr r="J167" s="2"/>
      </tp>
      <tp t="s">
        <v>N/A</v>
        <stp/>
        <stp>VOLUME</stp>
        <stp>.NDXP260828C25150</stp>
        <tr r="V156" s="2"/>
      </tp>
      <tp t="s">
        <v>N/A</v>
        <stp/>
        <stp>VOLUME</stp>
        <stp>.NDXP260109C25050</stp>
        <tr r="L160" s="2"/>
      </tp>
      <tp t="s">
        <v>N/A</v>
        <stp/>
        <stp>VOLUME</stp>
        <stp>.NDXP260501C24850</stp>
        <tr r="R168" s="2"/>
      </tp>
      <tp>
        <v>1</v>
        <stp/>
        <stp>VOLUME</stp>
        <stp>.NDXP251112C24850</stp>
        <tr r="D168" s="2"/>
        <tr r="D168" s="2"/>
      </tp>
      <tp>
        <v>2</v>
        <stp/>
        <stp>VOLUME</stp>
        <stp>.NDXP251113C24950</stp>
        <tr r="E164" s="2"/>
        <tr r="E164" s="2"/>
      </tp>
      <tp t="s">
        <v>N/A</v>
        <stp/>
        <stp>VOLUME</stp>
        <stp>.NDXP261030C24950</stp>
        <tr r="X164" s="2"/>
      </tp>
      <tp t="s">
        <v>N/A</v>
        <stp/>
        <stp>VOLUME</stp>
        <stp>.NDXP251212C24850</stp>
        <tr r="J168" s="2"/>
      </tp>
      <tp t="s">
        <v>N/A</v>
        <stp/>
        <stp>VOLUME</stp>
        <stp>.NDXP261030C24925</stp>
        <tr r="X165" s="2"/>
      </tp>
      <tp t="s">
        <v>N/A</v>
        <stp/>
        <stp>VOLUME</stp>
        <stp>.NDXP251112C24825</stp>
        <tr r="D169" s="2"/>
      </tp>
      <tp t="s">
        <v>N/A</v>
        <stp/>
        <stp>VOLUME</stp>
        <stp>.NDXP251113C24925</stp>
        <tr r="E165" s="2"/>
      </tp>
      <tp t="s">
        <v>N/A</v>
        <stp/>
        <stp>VOLUME</stp>
        <stp>.NDXP251212C24825</stp>
        <tr r="J169" s="2"/>
      </tp>
      <tp t="s">
        <v>N/A</v>
        <stp/>
        <stp>VOLUME</stp>
        <stp>.NDXP260828C25125</stp>
        <tr r="V157" s="2"/>
      </tp>
      <tp t="s">
        <v>N/A</v>
        <stp/>
        <stp>VOLUME</stp>
        <stp>.NDXP260501C24825</stp>
        <tr r="R169" s="2"/>
      </tp>
      <tp t="s">
        <v>N/A</v>
        <stp/>
        <stp>VOLUME</stp>
        <stp>.NDXP260109C25025</stp>
        <tr r="L161" s="2"/>
      </tp>
      <tp t="s">
        <v>N/A</v>
        <stp/>
        <stp>VOLUME</stp>
        <stp>.NDXP251112C24800</stp>
        <tr r="D170" s="2"/>
      </tp>
      <tp>
        <v>2</v>
        <stp/>
        <stp>VOLUME</stp>
        <stp>.NDXP251113C24900</stp>
        <tr r="E166" s="2"/>
        <tr r="E166" s="2"/>
      </tp>
      <tp t="s">
        <v>N/A</v>
        <stp/>
        <stp>VOLUME</stp>
        <stp>.NDXP261030C24900</stp>
        <tr r="X166" s="2"/>
      </tp>
      <tp t="s">
        <v>N/A</v>
        <stp/>
        <stp>VOLUME</stp>
        <stp>.NDXP251212C24800</stp>
        <tr r="J170" s="2"/>
      </tp>
      <tp t="s">
        <v>N/A</v>
        <stp/>
        <stp>VOLUME</stp>
        <stp>.NDXP260828C25100</stp>
        <tr r="V158" s="2"/>
      </tp>
      <tp t="s">
        <v>N/A</v>
        <stp/>
        <stp>VOLUME</stp>
        <stp>.NDXP260109C25000</stp>
        <tr r="L162" s="2"/>
      </tp>
      <tp t="s">
        <v>N/A</v>
        <stp/>
        <stp>VOLUME</stp>
        <stp>.NDXP260501C24800</stp>
        <tr r="R170" s="2"/>
      </tp>
      <tp>
        <v>2</v>
        <stp/>
        <stp>VOLUME</stp>
        <stp>.SPXW251219C6615</stp>
        <tr r="K131" s="2"/>
        <tr r="K131" s="2"/>
      </tp>
      <tp>
        <v>3088</v>
        <stp/>
        <stp>VOLUME</stp>
        <stp>.SPXW251110C6685</stp>
        <tr r="B117" s="2"/>
        <tr r="B117" s="2"/>
        <tr r="P116" s="1"/>
        <tr r="P116" s="1"/>
      </tp>
      <tp>
        <v>233</v>
        <stp/>
        <stp>VOLUME</stp>
        <stp>.SPXW251111C6695</stp>
        <tr r="C115" s="2"/>
        <tr r="C115" s="2"/>
      </tp>
      <tp t="s">
        <v>N/A</v>
        <stp/>
        <stp>VOLUME</stp>
        <stp>.SPXW260109C6725</stp>
        <tr r="L109" s="2"/>
      </tp>
      <tp t="s">
        <v>N/A</v>
        <stp/>
        <stp>VOLUME</stp>
        <stp>.SPXW260109C6720</stp>
        <tr r="L110" s="2"/>
      </tp>
      <tp>
        <v>2945</v>
        <stp/>
        <stp>VOLUME</stp>
        <stp>.SPXW251110C6680</stp>
        <tr r="B118" s="2"/>
        <tr r="B118" s="2"/>
        <tr r="P117" s="1"/>
        <tr r="P117" s="1"/>
      </tp>
      <tp>
        <v>367</v>
        <stp/>
        <stp>VOLUME</stp>
        <stp>.SPXW251111C6690</stp>
        <tr r="C116" s="2"/>
        <tr r="C116" s="2"/>
      </tp>
      <tp t="s">
        <v>N/A</v>
        <stp/>
        <stp>VOLUME</stp>
        <stp>.SPXW260109P6725</stp>
        <tr r="L109" s="2"/>
      </tp>
      <tp>
        <v>25</v>
        <stp/>
        <stp>VOLUME</stp>
        <stp>.SPXW251219P6615</stp>
        <tr r="K131" s="2"/>
        <tr r="K131" s="2"/>
      </tp>
      <tp>
        <v>3564</v>
        <stp/>
        <stp>VOLUME</stp>
        <stp>.SPXW251110P6685</stp>
        <tr r="B117" s="2"/>
        <tr r="B117" s="2"/>
        <tr r="Q116" s="1"/>
        <tr r="Q116" s="1"/>
      </tp>
      <tp>
        <v>232</v>
        <stp/>
        <stp>VOLUME</stp>
        <stp>.SPXW251111P6695</stp>
        <tr r="C115" s="2"/>
        <tr r="C115" s="2"/>
      </tp>
      <tp>
        <v>4613</v>
        <stp/>
        <stp>VOLUME</stp>
        <stp>.SPXW251110P6680</stp>
        <tr r="B118" s="2"/>
        <tr r="B118" s="2"/>
        <tr r="Q117" s="1"/>
        <tr r="Q117" s="1"/>
      </tp>
      <tp>
        <v>376</v>
        <stp/>
        <stp>VOLUME</stp>
        <stp>.SPXW251111P6690</stp>
        <tr r="C116" s="2"/>
        <tr r="C116" s="2"/>
      </tp>
      <tp t="s">
        <v>N/A</v>
        <stp/>
        <stp>VOLUME</stp>
        <stp>.SPXW260109P6720</stp>
        <tr r="L110" s="2"/>
      </tp>
      <tp>
        <v>1504</v>
        <stp/>
        <stp>VOLUME</stp>
        <stp>.SPXW251110C6695</stp>
        <tr r="B115" s="2"/>
        <tr r="B115" s="2"/>
        <tr r="P114" s="1"/>
        <tr r="P114" s="1"/>
      </tp>
      <tp>
        <v>310</v>
        <stp/>
        <stp>VOLUME</stp>
        <stp>.SPXW251111C6685</stp>
        <tr r="C117" s="2"/>
        <tr r="C117" s="2"/>
      </tp>
      <tp t="s">
        <v>N/A</v>
        <stp/>
        <stp>VOLUME</stp>
        <stp>.SPXW260109C6735</stp>
        <tr r="L107" s="2"/>
      </tp>
      <tp t="s">
        <v>N/A</v>
        <stp/>
        <stp>VOLUME</stp>
        <stp>.SPXW260109C6730</stp>
        <tr r="L108" s="2"/>
      </tp>
      <tp>
        <v>2232</v>
        <stp/>
        <stp>VOLUME</stp>
        <stp>.SPXW251110C6690</stp>
        <tr r="B116" s="2"/>
        <tr r="B116" s="2"/>
        <tr r="P115" s="1"/>
        <tr r="P115" s="1"/>
      </tp>
      <tp>
        <v>685</v>
        <stp/>
        <stp>VOLUME</stp>
        <stp>.SPXW251111C6680</stp>
        <tr r="C118" s="2"/>
        <tr r="C118" s="2"/>
      </tp>
      <tp t="s">
        <v>N/A</v>
        <stp/>
        <stp>VOLUME</stp>
        <stp>.SPXW260109P6735</stp>
        <tr r="L107" s="2"/>
      </tp>
      <tp>
        <v>2619</v>
        <stp/>
        <stp>VOLUME</stp>
        <stp>.SPXW251110P6695</stp>
        <tr r="B115" s="2"/>
        <tr r="B115" s="2"/>
        <tr r="Q114" s="1"/>
        <tr r="Q114" s="1"/>
      </tp>
      <tp>
        <v>287</v>
        <stp/>
        <stp>VOLUME</stp>
        <stp>.SPXW251111P6685</stp>
        <tr r="C117" s="2"/>
        <tr r="C117" s="2"/>
      </tp>
      <tp>
        <v>3627</v>
        <stp/>
        <stp>VOLUME</stp>
        <stp>.SPXW251110P6690</stp>
        <tr r="B116" s="2"/>
        <tr r="B116" s="2"/>
        <tr r="Q115" s="1"/>
        <tr r="Q115" s="1"/>
      </tp>
      <tp>
        <v>634</v>
        <stp/>
        <stp>VOLUME</stp>
        <stp>.SPXW251111P6680</stp>
        <tr r="C118" s="2"/>
        <tr r="C118" s="2"/>
      </tp>
      <tp t="s">
        <v>N/A</v>
        <stp/>
        <stp>VOLUME</stp>
        <stp>.SPXW260109P6730</stp>
        <tr r="L108" s="2"/>
      </tp>
      <tp t="s">
        <v>N/A</v>
        <stp/>
        <stp>VOLUME</stp>
        <stp>.SPXW251212C6685</stp>
        <tr r="J117" s="2"/>
      </tp>
      <tp>
        <v>8</v>
        <stp/>
        <stp>VOLUME</stp>
        <stp>.SPXW251219C6635</stp>
        <tr r="K127" s="2"/>
        <tr r="K127" s="2"/>
      </tp>
      <tp>
        <v>88</v>
        <stp/>
        <stp>VOLUME</stp>
        <stp>.SPXW251112C6685</stp>
        <tr r="D117" s="2"/>
        <tr r="D117" s="2"/>
      </tp>
      <tp>
        <v>22</v>
        <stp/>
        <stp>VOLUME</stp>
        <stp>.SPXW251113C6695</stp>
        <tr r="E115" s="2"/>
        <tr r="E115" s="2"/>
      </tp>
      <tp t="s">
        <v>N/A</v>
        <stp/>
        <stp>VOLUME</stp>
        <stp>.SPXW260109C6705</stp>
        <tr r="L113" s="2"/>
      </tp>
      <tp t="s">
        <v>N/A</v>
        <stp/>
        <stp>VOLUME</stp>
        <stp>.SPXW260501C6785</stp>
        <tr r="R97" s="2"/>
      </tp>
      <tp t="s">
        <v>N/A</v>
        <stp/>
        <stp>VOLUME</stp>
        <stp>.SPXW260109C6700</stp>
        <tr r="L114" s="2"/>
      </tp>
      <tp t="s">
        <v>N/A</v>
        <stp/>
        <stp>VOLUME</stp>
        <stp>.SPXW260501C6780</stp>
        <tr r="R98" s="2"/>
      </tp>
      <tp>
        <v>19</v>
        <stp/>
        <stp>VOLUME</stp>
        <stp>.SPXW251212C6680</stp>
        <tr r="J118" s="2"/>
        <tr r="J118" s="2"/>
      </tp>
      <tp>
        <v>10</v>
        <stp/>
        <stp>VOLUME</stp>
        <stp>.SPXW251219C6630</stp>
        <tr r="K128" s="2"/>
        <tr r="K128" s="2"/>
      </tp>
      <tp>
        <v>292</v>
        <stp/>
        <stp>VOLUME</stp>
        <stp>.SPXW251112C6680</stp>
        <tr r="D118" s="2"/>
        <tr r="D118" s="2"/>
      </tp>
      <tp>
        <v>227</v>
        <stp/>
        <stp>VOLUME</stp>
        <stp>.SPXW251113C6690</stp>
        <tr r="E116" s="2"/>
        <tr r="E116" s="2"/>
      </tp>
      <tp t="s">
        <v>N/A</v>
        <stp/>
        <stp>VOLUME</stp>
        <stp>.SPXW260109P6705</stp>
        <tr r="L113" s="2"/>
      </tp>
      <tp t="s">
        <v>N/A</v>
        <stp/>
        <stp>VOLUME</stp>
        <stp>.SPXW260501P6785</stp>
        <tr r="R97" s="2"/>
      </tp>
      <tp t="s">
        <v>N/A</v>
        <stp/>
        <stp>VOLUME</stp>
        <stp>.SPXW251212P6685</stp>
        <tr r="J117" s="2"/>
      </tp>
      <tp>
        <v>40</v>
        <stp/>
        <stp>VOLUME</stp>
        <stp>.SPXW251219P6635</stp>
        <tr r="K127" s="2"/>
        <tr r="K127" s="2"/>
      </tp>
      <tp>
        <v>221</v>
        <stp/>
        <stp>VOLUME</stp>
        <stp>.SPXW251112P6685</stp>
        <tr r="D117" s="2"/>
        <tr r="D117" s="2"/>
      </tp>
      <tp>
        <v>35</v>
        <stp/>
        <stp>VOLUME</stp>
        <stp>.SPXW251113P6695</stp>
        <tr r="E115" s="2"/>
        <tr r="E115" s="2"/>
      </tp>
      <tp>
        <v>32</v>
        <stp/>
        <stp>VOLUME</stp>
        <stp>.SPXW251212P6680</stp>
        <tr r="J118" s="2"/>
        <tr r="J118" s="2"/>
      </tp>
      <tp>
        <v>73</v>
        <stp/>
        <stp>VOLUME</stp>
        <stp>.SPXW251219P6630</stp>
        <tr r="K128" s="2"/>
        <tr r="K128" s="2"/>
      </tp>
      <tp>
        <v>564</v>
        <stp/>
        <stp>VOLUME</stp>
        <stp>.SPXW251112P6680</stp>
        <tr r="D118" s="2"/>
        <tr r="D118" s="2"/>
      </tp>
      <tp>
        <v>161</v>
        <stp/>
        <stp>VOLUME</stp>
        <stp>.SPXW251113P6690</stp>
        <tr r="E116" s="2"/>
        <tr r="E116" s="2"/>
      </tp>
      <tp t="s">
        <v>N/A</v>
        <stp/>
        <stp>VOLUME</stp>
        <stp>.SPXW260109P6700</stp>
        <tr r="L114" s="2"/>
      </tp>
      <tp t="s">
        <v>N/A</v>
        <stp/>
        <stp>VOLUME</stp>
        <stp>.SPXW260501P6780</stp>
        <tr r="R98" s="2"/>
      </tp>
      <tp t="s">
        <v>N/A</v>
        <stp/>
        <stp>VOLUME</stp>
        <stp>.SPXW251212C6695</stp>
        <tr r="J115" s="2"/>
      </tp>
      <tp>
        <v>30</v>
        <stp/>
        <stp>VOLUME</stp>
        <stp>.SPXW251219C6625</stp>
        <tr r="K129" s="2"/>
        <tr r="K129" s="2"/>
      </tp>
      <tp>
        <v>93</v>
        <stp/>
        <stp>VOLUME</stp>
        <stp>.SPXW251112C6695</stp>
        <tr r="D115" s="2"/>
        <tr r="D115" s="2"/>
      </tp>
      <tp>
        <v>60</v>
        <stp/>
        <stp>VOLUME</stp>
        <stp>.SPXW251113C6685</stp>
        <tr r="E117" s="2"/>
        <tr r="E117" s="2"/>
      </tp>
      <tp t="s">
        <v>N/A</v>
        <stp/>
        <stp>VOLUME</stp>
        <stp>.SPXW260109C6715</stp>
        <tr r="L111" s="2"/>
      </tp>
      <tp t="s">
        <v>N/A</v>
        <stp/>
        <stp>VOLUME</stp>
        <stp>.SPXW260501C6795</stp>
        <tr r="R95" s="2"/>
      </tp>
      <tp t="s">
        <v>N/A</v>
        <stp/>
        <stp>VOLUME</stp>
        <stp>.SPXW260109C6710</stp>
        <tr r="L112" s="2"/>
      </tp>
      <tp t="s">
        <v>N/A</v>
        <stp/>
        <stp>VOLUME</stp>
        <stp>.SPXW260501C6790</stp>
        <tr r="R96" s="2"/>
      </tp>
      <tp>
        <v>12</v>
        <stp/>
        <stp>VOLUME</stp>
        <stp>.SPXW251212C6690</stp>
        <tr r="J116" s="2"/>
        <tr r="J116" s="2"/>
      </tp>
      <tp>
        <v>19</v>
        <stp/>
        <stp>VOLUME</stp>
        <stp>.SPXW251219C6620</stp>
        <tr r="K130" s="2"/>
        <tr r="K130" s="2"/>
      </tp>
      <tp>
        <v>148</v>
        <stp/>
        <stp>VOLUME</stp>
        <stp>.SPXW251112C6690</stp>
        <tr r="D116" s="2"/>
        <tr r="D116" s="2"/>
      </tp>
      <tp>
        <v>296</v>
        <stp/>
        <stp>VOLUME</stp>
        <stp>.SPXW251113C6680</stp>
        <tr r="E118" s="2"/>
        <tr r="E118" s="2"/>
      </tp>
      <tp t="s">
        <v>N/A</v>
        <stp/>
        <stp>VOLUME</stp>
        <stp>.SPXW260109P6715</stp>
        <tr r="L111" s="2"/>
      </tp>
      <tp t="s">
        <v>N/A</v>
        <stp/>
        <stp>VOLUME</stp>
        <stp>.SPXW260501P6795</stp>
        <tr r="R95" s="2"/>
      </tp>
      <tp t="s">
        <v>N/A</v>
        <stp/>
        <stp>VOLUME</stp>
        <stp>.SPXW251212P6695</stp>
        <tr r="J115" s="2"/>
      </tp>
      <tp>
        <v>35</v>
        <stp/>
        <stp>VOLUME</stp>
        <stp>.SPXW251219P6625</stp>
        <tr r="K129" s="2"/>
        <tr r="K129" s="2"/>
      </tp>
      <tp>
        <v>148</v>
        <stp/>
        <stp>VOLUME</stp>
        <stp>.SPXW251112P6695</stp>
        <tr r="D115" s="2"/>
        <tr r="D115" s="2"/>
      </tp>
      <tp>
        <v>377</v>
        <stp/>
        <stp>VOLUME</stp>
        <stp>.SPXW251113P6685</stp>
        <tr r="E117" s="2"/>
        <tr r="E117" s="2"/>
      </tp>
      <tp>
        <v>35</v>
        <stp/>
        <stp>VOLUME</stp>
        <stp>.SPXW251212P6690</stp>
        <tr r="J116" s="2"/>
        <tr r="J116" s="2"/>
      </tp>
      <tp>
        <v>50</v>
        <stp/>
        <stp>VOLUME</stp>
        <stp>.SPXW251219P6620</stp>
        <tr r="K130" s="2"/>
        <tr r="K130" s="2"/>
      </tp>
      <tp>
        <v>396</v>
        <stp/>
        <stp>VOLUME</stp>
        <stp>.SPXW251112P6690</stp>
        <tr r="D116" s="2"/>
        <tr r="D116" s="2"/>
      </tp>
      <tp>
        <v>216</v>
        <stp/>
        <stp>VOLUME</stp>
        <stp>.SPXW251113P6680</stp>
        <tr r="E118" s="2"/>
        <tr r="E118" s="2"/>
      </tp>
      <tp t="s">
        <v>N/A</v>
        <stp/>
        <stp>VOLUME</stp>
        <stp>.SPXW260109P6710</stp>
        <tr r="L112" s="2"/>
      </tp>
      <tp t="s">
        <v>N/A</v>
        <stp/>
        <stp>VOLUME</stp>
        <stp>.SPXW260501P6790</stp>
        <tr r="R96" s="2"/>
      </tp>
      <tp>
        <v>8</v>
        <stp/>
        <stp>VOLUME</stp>
        <stp>.SPXW251205C6795</stp>
        <tr r="I95" s="2"/>
        <tr r="I95" s="2"/>
      </tp>
      <tp>
        <v>18</v>
        <stp/>
        <stp>VOLUME</stp>
        <stp>.SPXW251219C6655</stp>
        <tr r="K123" s="2"/>
        <tr r="K123" s="2"/>
      </tp>
      <tp>
        <v>206</v>
        <stp/>
        <stp>VOLUME</stp>
        <stp>.SPXW251114C6685</stp>
        <tr r="R116" s="1"/>
        <tr r="R116" s="1"/>
      </tp>
      <tp t="s">
        <v>N/A</v>
        <stp/>
        <stp>VOLUME</stp>
        <stp>.SPXW260206C6795</stp>
        <tr r="N95" s="2"/>
      </tp>
      <tp t="s">
        <v>N/A</v>
        <stp/>
        <stp>VOLUME</stp>
        <stp>.SPXW260109C6765</stp>
        <tr r="L101" s="2"/>
      </tp>
      <tp t="s">
        <v>N/A</v>
        <stp/>
        <stp>VOLUME</stp>
        <stp>.SPXW260206C6790</stp>
        <tr r="N96" s="2"/>
      </tp>
      <tp t="s">
        <v>N/A</v>
        <stp/>
        <stp>VOLUME</stp>
        <stp>.SPXW260109C6760</stp>
        <tr r="L102" s="2"/>
      </tp>
      <tp>
        <v>588</v>
        <stp/>
        <stp>VOLUME</stp>
        <stp>.SPXW251205C6790</stp>
        <tr r="I96" s="2"/>
        <tr r="I96" s="2"/>
      </tp>
      <tp>
        <v>81</v>
        <stp/>
        <stp>VOLUME</stp>
        <stp>.SPXW251219C6650</stp>
        <tr r="K124" s="2"/>
        <tr r="K124" s="2"/>
      </tp>
      <tp>
        <v>178</v>
        <stp/>
        <stp>VOLUME</stp>
        <stp>.SPXW251114C6680</stp>
        <tr r="R117" s="1"/>
        <tr r="R117" s="1"/>
      </tp>
      <tp t="s">
        <v>N/A</v>
        <stp/>
        <stp>VOLUME</stp>
        <stp>.SPXW260206P6795</stp>
        <tr r="N95" s="2"/>
      </tp>
      <tp t="s">
        <v>N/A</v>
        <stp/>
        <stp>VOLUME</stp>
        <stp>.SPXW260109P6765</stp>
        <tr r="L101" s="2"/>
      </tp>
      <tp t="s">
        <v>N/A</v>
        <stp/>
        <stp>VOLUME</stp>
        <stp>.SPXW251205P6795</stp>
        <tr r="I95" s="2"/>
      </tp>
      <tp>
        <v>36</v>
        <stp/>
        <stp>VOLUME</stp>
        <stp>.SPXW251219P6655</stp>
        <tr r="K123" s="2"/>
        <tr r="K123" s="2"/>
      </tp>
      <tp>
        <v>508</v>
        <stp/>
        <stp>VOLUME</stp>
        <stp>.SPXW251114P6685</stp>
        <tr r="S116" s="1"/>
        <tr r="S116" s="1"/>
      </tp>
      <tp>
        <v>4</v>
        <stp/>
        <stp>VOLUME</stp>
        <stp>.SPXW251205P6790</stp>
        <tr r="I96" s="2"/>
        <tr r="I96" s="2"/>
      </tp>
      <tp>
        <v>144</v>
        <stp/>
        <stp>VOLUME</stp>
        <stp>.SPXW251219P6650</stp>
        <tr r="K124" s="2"/>
        <tr r="K124" s="2"/>
      </tp>
      <tp>
        <v>677</v>
        <stp/>
        <stp>VOLUME</stp>
        <stp>.SPXW251114P6680</stp>
        <tr r="S117" s="1"/>
        <tr r="S117" s="1"/>
      </tp>
      <tp t="s">
        <v>N/A</v>
        <stp/>
        <stp>VOLUME</stp>
        <stp>.SPXW260206P6790</stp>
        <tr r="N96" s="2"/>
      </tp>
      <tp t="s">
        <v>N/A</v>
        <stp/>
        <stp>VOLUME</stp>
        <stp>.SPXW260109P6760</stp>
        <tr r="L102" s="2"/>
      </tp>
      <tp>
        <v>3</v>
        <stp/>
        <stp>VOLUME</stp>
        <stp>.SPXW251205C6785</stp>
        <tr r="I97" s="2"/>
        <tr r="I97" s="2"/>
      </tp>
      <tp>
        <v>14</v>
        <stp/>
        <stp>VOLUME</stp>
        <stp>.SPXW251219C6645</stp>
        <tr r="K125" s="2"/>
        <tr r="K125" s="2"/>
      </tp>
      <tp>
        <v>98</v>
        <stp/>
        <stp>VOLUME</stp>
        <stp>.SPXW251114C6695</stp>
        <tr r="R114" s="1"/>
        <tr r="R114" s="1"/>
      </tp>
      <tp t="s">
        <v>N/A</v>
        <stp/>
        <stp>VOLUME</stp>
        <stp>.SPXW260206C6785</stp>
        <tr r="N97" s="2"/>
      </tp>
      <tp t="s">
        <v>N/A</v>
        <stp/>
        <stp>VOLUME</stp>
        <stp>.SPXW260109C6775</stp>
        <tr r="L99" s="2"/>
      </tp>
      <tp t="s">
        <v>N/A</v>
        <stp/>
        <stp>VOLUME</stp>
        <stp>.SPXW260206C6780</stp>
        <tr r="N98" s="2"/>
      </tp>
      <tp t="s">
        <v>N/A</v>
        <stp/>
        <stp>VOLUME</stp>
        <stp>.SPXW260109C6770</stp>
        <tr r="L100" s="2"/>
      </tp>
      <tp>
        <v>1171</v>
        <stp/>
        <stp>VOLUME</stp>
        <stp>.SPXW251205C6780</stp>
        <tr r="I98" s="2"/>
        <tr r="I98" s="2"/>
      </tp>
      <tp>
        <v>27</v>
        <stp/>
        <stp>VOLUME</stp>
        <stp>.SPXW251219C6640</stp>
        <tr r="K126" s="2"/>
        <tr r="K126" s="2"/>
      </tp>
      <tp>
        <v>206</v>
        <stp/>
        <stp>VOLUME</stp>
        <stp>.SPXW251114C6690</stp>
        <tr r="R115" s="1"/>
        <tr r="R115" s="1"/>
      </tp>
      <tp t="s">
        <v>N/A</v>
        <stp/>
        <stp>VOLUME</stp>
        <stp>.SPXW260206P6785</stp>
        <tr r="N97" s="2"/>
      </tp>
      <tp t="s">
        <v>N/A</v>
        <stp/>
        <stp>VOLUME</stp>
        <stp>.SPXW260109P6775</stp>
        <tr r="L99" s="2"/>
      </tp>
      <tp>
        <v>2</v>
        <stp/>
        <stp>VOLUME</stp>
        <stp>.SPXW251205P6785</stp>
        <tr r="I97" s="2"/>
        <tr r="I97" s="2"/>
      </tp>
      <tp>
        <v>33</v>
        <stp/>
        <stp>VOLUME</stp>
        <stp>.SPXW251219P6645</stp>
        <tr r="K125" s="2"/>
        <tr r="K125" s="2"/>
      </tp>
      <tp>
        <v>356</v>
        <stp/>
        <stp>VOLUME</stp>
        <stp>.SPXW251114P6695</stp>
        <tr r="S114" s="1"/>
        <tr r="S114" s="1"/>
      </tp>
      <tp>
        <v>8</v>
        <stp/>
        <stp>VOLUME</stp>
        <stp>.SPXW251205P6780</stp>
        <tr r="I98" s="2"/>
        <tr r="I98" s="2"/>
      </tp>
      <tp>
        <v>26</v>
        <stp/>
        <stp>VOLUME</stp>
        <stp>.SPXW251219P6640</stp>
        <tr r="K126" s="2"/>
        <tr r="K126" s="2"/>
      </tp>
      <tp>
        <v>437</v>
        <stp/>
        <stp>VOLUME</stp>
        <stp>.SPXW251114P6690</stp>
        <tr r="S115" s="1"/>
        <tr r="S115" s="1"/>
      </tp>
      <tp t="s">
        <v>N/A</v>
        <stp/>
        <stp>VOLUME</stp>
        <stp>.SPXW260206P6780</stp>
        <tr r="N98" s="2"/>
      </tp>
      <tp t="s">
        <v>N/A</v>
        <stp/>
        <stp>VOLUME</stp>
        <stp>.SPXW260109P6770</stp>
        <tr r="L100" s="2"/>
      </tp>
      <tp>
        <v>25</v>
        <stp/>
        <stp>VOLUME</stp>
        <stp>.SPXW251219C6675</stp>
        <tr r="K119" s="2"/>
        <tr r="K119" s="2"/>
      </tp>
      <tp t="s">
        <v>N/A</v>
        <stp/>
        <stp>VOLUME</stp>
        <stp>.SPXW260109C6745</stp>
        <tr r="L105" s="2"/>
      </tp>
      <tp t="s">
        <v>N/A</v>
        <stp/>
        <stp>VOLUME</stp>
        <stp>.SPXW260109C6740</stp>
        <tr r="L106" s="2"/>
      </tp>
      <tp>
        <v>41</v>
        <stp/>
        <stp>VOLUME</stp>
        <stp>.SPXW251219C6670</stp>
        <tr r="K120" s="2"/>
        <tr r="K120" s="2"/>
      </tp>
      <tp t="s">
        <v>N/A</v>
        <stp/>
        <stp>VOLUME</stp>
        <stp>.SPXW260109P6745</stp>
        <tr r="L105" s="2"/>
      </tp>
      <tp>
        <v>31</v>
        <stp/>
        <stp>VOLUME</stp>
        <stp>.SPXW251219P6675</stp>
        <tr r="K119" s="2"/>
        <tr r="K119" s="2"/>
      </tp>
      <tp>
        <v>42</v>
        <stp/>
        <stp>VOLUME</stp>
        <stp>.SPXW251219P6670</stp>
        <tr r="K120" s="2"/>
        <tr r="K120" s="2"/>
      </tp>
      <tp t="s">
        <v>N/A</v>
        <stp/>
        <stp>VOLUME</stp>
        <stp>.SPXW260109P6740</stp>
        <tr r="L106" s="2"/>
      </tp>
      <tp>
        <v>6</v>
        <stp/>
        <stp>VOLUME</stp>
        <stp>.SPXW251219C6665</stp>
        <tr r="K121" s="2"/>
        <tr r="K121" s="2"/>
      </tp>
      <tp t="s">
        <v>N/A</v>
        <stp/>
        <stp>VOLUME</stp>
        <stp>.SPXW260109C6755</stp>
        <tr r="L103" s="2"/>
      </tp>
      <tp t="s">
        <v>N/A</v>
        <stp/>
        <stp>VOLUME</stp>
        <stp>.SPXW260109C6750</stp>
        <tr r="L104" s="2"/>
      </tp>
      <tp>
        <v>15</v>
        <stp/>
        <stp>VOLUME</stp>
        <stp>.SPXW251219C6660</stp>
        <tr r="K122" s="2"/>
        <tr r="K122" s="2"/>
      </tp>
      <tp t="s">
        <v>N/A</v>
        <stp/>
        <stp>VOLUME</stp>
        <stp>.SPXW260109P6755</stp>
        <tr r="L103" s="2"/>
      </tp>
      <tp>
        <v>35</v>
        <stp/>
        <stp>VOLUME</stp>
        <stp>.SPXW251219P6665</stp>
        <tr r="K121" s="2"/>
        <tr r="K121" s="2"/>
      </tp>
      <tp>
        <v>73</v>
        <stp/>
        <stp>VOLUME</stp>
        <stp>.SPXW251219P6660</stp>
        <tr r="K122" s="2"/>
        <tr r="K122" s="2"/>
      </tp>
      <tp t="s">
        <v>N/A</v>
        <stp/>
        <stp>VOLUME</stp>
        <stp>.SPXW260109P6750</stp>
        <tr r="L104" s="2"/>
      </tp>
      <tp>
        <v>2</v>
        <stp/>
        <stp>VOLUME</stp>
        <stp>.NDXP251112P24850</stp>
        <tr r="D168" s="2"/>
        <tr r="D168" s="2"/>
      </tp>
      <tp>
        <v>2</v>
        <stp/>
        <stp>VOLUME</stp>
        <stp>.NDXP251113P24950</stp>
        <tr r="E164" s="2"/>
        <tr r="E164" s="2"/>
      </tp>
      <tp t="s">
        <v>N/A</v>
        <stp/>
        <stp>VOLUME</stp>
        <stp>.NDXP261030P24950</stp>
        <tr r="X164" s="2"/>
      </tp>
      <tp t="s">
        <v>N/A</v>
        <stp/>
        <stp>VOLUME</stp>
        <stp>.NDXP251212P24850</stp>
        <tr r="J168" s="2"/>
      </tp>
      <tp>
        <v>6</v>
        <stp/>
        <stp>VOLUME</stp>
        <stp>.SPXW251205C6755</stp>
        <tr r="I103" s="2"/>
        <tr r="I103" s="2"/>
      </tp>
      <tp>
        <v>7</v>
        <stp/>
        <stp>VOLUME</stp>
        <stp>.SPXW251212C6625</stp>
        <tr r="J129" s="2"/>
        <tr r="J129" s="2"/>
      </tp>
      <tp>
        <v>12</v>
        <stp/>
        <stp>VOLUME</stp>
        <stp>.SPXW251219C6695</stp>
        <tr r="K115" s="2"/>
        <tr r="K115" s="2"/>
      </tp>
      <tp>
        <v>23</v>
        <stp/>
        <stp>VOLUME</stp>
        <stp>.SPXW251111C6615</stp>
        <tr r="C131" s="2"/>
        <tr r="C131" s="2"/>
      </tp>
      <tp>
        <v>17</v>
        <stp/>
        <stp>VOLUME</stp>
        <stp>.SPXW251112C6625</stp>
        <tr r="D129" s="2"/>
        <tr r="D129" s="2"/>
      </tp>
      <tp>
        <v>32</v>
        <stp/>
        <stp>VOLUME</stp>
        <stp>.SPXW251113C6635</stp>
        <tr r="E127" s="2"/>
        <tr r="E127" s="2"/>
      </tp>
      <tp>
        <v>79</v>
        <stp/>
        <stp>VOLUME</stp>
        <stp>.SPXW251114C6645</stp>
        <tr r="R124" s="1"/>
        <tr r="R124" s="1"/>
      </tp>
      <tp t="s">
        <v>N/A</v>
        <stp/>
        <stp>VOLUME</stp>
        <stp>.SPXW260206C6755</stp>
        <tr r="N103" s="2"/>
      </tp>
      <tp t="s">
        <v>N/A</v>
        <stp/>
        <stp>VOLUME</stp>
        <stp>.SPXW260501C6725</stp>
        <tr r="R109" s="2"/>
      </tp>
      <tp t="s">
        <v>N/A</v>
        <stp/>
        <stp>VOLUME</stp>
        <stp>.SPXW260206C6750</stp>
        <tr r="N104" s="2"/>
      </tp>
      <tp t="s">
        <v>N/A</v>
        <stp/>
        <stp>VOLUME</stp>
        <stp>.SPXW260501C6720</stp>
        <tr r="R110" s="2"/>
      </tp>
      <tp>
        <v>226</v>
        <stp/>
        <stp>VOLUME</stp>
        <stp>.SPXW251205C6750</stp>
        <tr r="I104" s="2"/>
        <tr r="I104" s="2"/>
      </tp>
      <tp>
        <v>11</v>
        <stp/>
        <stp>VOLUME</stp>
        <stp>.SPXW251212C6620</stp>
        <tr r="J130" s="2"/>
        <tr r="J130" s="2"/>
      </tp>
      <tp>
        <v>11</v>
        <stp/>
        <stp>VOLUME</stp>
        <stp>.SPXW251219C6690</stp>
        <tr r="K116" s="2"/>
        <tr r="K116" s="2"/>
      </tp>
      <tp>
        <v>15</v>
        <stp/>
        <stp>VOLUME</stp>
        <stp>.SPXW251112C6620</stp>
        <tr r="D130" s="2"/>
        <tr r="D130" s="2"/>
      </tp>
      <tp>
        <v>16</v>
        <stp/>
        <stp>VOLUME</stp>
        <stp>.SPXW251113C6630</stp>
        <tr r="E128" s="2"/>
        <tr r="E128" s="2"/>
      </tp>
      <tp>
        <v>112</v>
        <stp/>
        <stp>VOLUME</stp>
        <stp>.SPXW251114C6640</stp>
        <tr r="R125" s="1"/>
        <tr r="R125" s="1"/>
      </tp>
      <tp t="s">
        <v>N/A</v>
        <stp/>
        <stp>VOLUME</stp>
        <stp>.SPXW260206P6755</stp>
        <tr r="N103" s="2"/>
      </tp>
      <tp t="s">
        <v>N/A</v>
        <stp/>
        <stp>VOLUME</stp>
        <stp>.SPXW260501P6725</stp>
        <tr r="R109" s="2"/>
      </tp>
      <tp t="s">
        <v>N/A</v>
        <stp/>
        <stp>VOLUME</stp>
        <stp>.SPXW251205P6755</stp>
        <tr r="I103" s="2"/>
      </tp>
      <tp>
        <v>62</v>
        <stp/>
        <stp>VOLUME</stp>
        <stp>.SPXW251212P6625</stp>
        <tr r="J129" s="2"/>
        <tr r="J129" s="2"/>
      </tp>
      <tp>
        <v>5</v>
        <stp/>
        <stp>VOLUME</stp>
        <stp>.SPXW251219P6695</stp>
        <tr r="K115" s="2"/>
        <tr r="K115" s="2"/>
      </tp>
      <tp>
        <v>315</v>
        <stp/>
        <stp>VOLUME</stp>
        <stp>.SPXW251111P6615</stp>
        <tr r="C131" s="2"/>
        <tr r="C131" s="2"/>
      </tp>
      <tp>
        <v>289</v>
        <stp/>
        <stp>VOLUME</stp>
        <stp>.SPXW251112P6625</stp>
        <tr r="D129" s="2"/>
        <tr r="D129" s="2"/>
      </tp>
      <tp>
        <v>81</v>
        <stp/>
        <stp>VOLUME</stp>
        <stp>.SPXW251113P6635</stp>
        <tr r="E127" s="2"/>
        <tr r="E127" s="2"/>
      </tp>
      <tp>
        <v>346</v>
        <stp/>
        <stp>VOLUME</stp>
        <stp>.SPXW251114P6645</stp>
        <tr r="S124" s="1"/>
        <tr r="S124" s="1"/>
      </tp>
      <tp>
        <v>373</v>
        <stp/>
        <stp>VOLUME</stp>
        <stp>.SPXW251205P6750</stp>
        <tr r="I104" s="2"/>
        <tr r="I104" s="2"/>
      </tp>
      <tp>
        <v>198</v>
        <stp/>
        <stp>VOLUME</stp>
        <stp>.SPXW251212P6620</stp>
        <tr r="J130" s="2"/>
        <tr r="J130" s="2"/>
      </tp>
      <tp>
        <v>21</v>
        <stp/>
        <stp>VOLUME</stp>
        <stp>.SPXW251219P6690</stp>
        <tr r="K116" s="2"/>
        <tr r="K116" s="2"/>
      </tp>
      <tp>
        <v>221</v>
        <stp/>
        <stp>VOLUME</stp>
        <stp>.SPXW251112P6620</stp>
        <tr r="D130" s="2"/>
        <tr r="D130" s="2"/>
      </tp>
      <tp>
        <v>341</v>
        <stp/>
        <stp>VOLUME</stp>
        <stp>.SPXW251113P6630</stp>
        <tr r="E128" s="2"/>
        <tr r="E128" s="2"/>
      </tp>
      <tp>
        <v>611</v>
        <stp/>
        <stp>VOLUME</stp>
        <stp>.SPXW251114P6640</stp>
        <tr r="S125" s="1"/>
        <tr r="S125" s="1"/>
      </tp>
      <tp t="s">
        <v>N/A</v>
        <stp/>
        <stp>VOLUME</stp>
        <stp>.SPXW260206P6750</stp>
        <tr r="N104" s="2"/>
      </tp>
      <tp t="s">
        <v>N/A</v>
        <stp/>
        <stp>VOLUME</stp>
        <stp>.SPXW260501P6720</stp>
        <tr r="R110" s="2"/>
      </tp>
      <tp t="s">
        <v>N/A</v>
        <stp/>
        <stp>VOLUME</stp>
        <stp>.NDXP260828P25150</stp>
        <tr r="V156" s="2"/>
      </tp>
      <tp t="s">
        <v>N/A</v>
        <stp/>
        <stp>VOLUME</stp>
        <stp>.NDXP260109P25050</stp>
        <tr r="L160" s="2"/>
      </tp>
      <tp t="s">
        <v>N/A</v>
        <stp/>
        <stp>VOLUME</stp>
        <stp>.NDXP260501P24850</stp>
        <tr r="R168" s="2"/>
      </tp>
      <tp>
        <v>10</v>
        <stp/>
        <stp>VOLUME</stp>
        <stp>.SPXW251205C6745</stp>
        <tr r="I105" s="2"/>
        <tr r="I105" s="2"/>
      </tp>
      <tp t="s">
        <v>N/A</v>
        <stp/>
        <stp>VOLUME</stp>
        <stp>.SPXW251212C6635</stp>
        <tr r="J127" s="2"/>
      </tp>
      <tp>
        <v>16</v>
        <stp/>
        <stp>VOLUME</stp>
        <stp>.SPXW251219C6685</stp>
        <tr r="K117" s="2"/>
        <tr r="K117" s="2"/>
      </tp>
      <tp>
        <v>45</v>
        <stp/>
        <stp>VOLUME</stp>
        <stp>.SPXW251110C6615</stp>
        <tr r="B131" s="2"/>
        <tr r="B131" s="2"/>
        <tr r="P130" s="1"/>
        <tr r="P130" s="1"/>
      </tp>
      <tp>
        <v>82</v>
        <stp/>
        <stp>VOLUME</stp>
        <stp>.SPXW251112C6635</stp>
        <tr r="D127" s="2"/>
        <tr r="D127" s="2"/>
      </tp>
      <tp>
        <v>13</v>
        <stp/>
        <stp>VOLUME</stp>
        <stp>.SPXW251113C6625</stp>
        <tr r="E129" s="2"/>
        <tr r="E129" s="2"/>
      </tp>
      <tp>
        <v>272</v>
        <stp/>
        <stp>VOLUME</stp>
        <stp>.SPXW251114C6655</stp>
        <tr r="R122" s="1"/>
        <tr r="R122" s="1"/>
      </tp>
      <tp t="s">
        <v>N/A</v>
        <stp/>
        <stp>VOLUME</stp>
        <stp>.SPXW260206C6745</stp>
        <tr r="N105" s="2"/>
      </tp>
      <tp t="s">
        <v>N/A</v>
        <stp/>
        <stp>VOLUME</stp>
        <stp>.SPXW260501C6735</stp>
        <tr r="R107" s="2"/>
      </tp>
      <tp t="s">
        <v>N/A</v>
        <stp/>
        <stp>VOLUME</stp>
        <stp>.SPXW260206C6740</stp>
        <tr r="N106" s="2"/>
      </tp>
      <tp t="s">
        <v>N/A</v>
        <stp/>
        <stp>VOLUME</stp>
        <stp>.SPXW260501C6730</stp>
        <tr r="R108" s="2"/>
      </tp>
      <tp>
        <v>15</v>
        <stp/>
        <stp>VOLUME</stp>
        <stp>.SPXW251205C6740</stp>
        <tr r="I106" s="2"/>
        <tr r="I106" s="2"/>
      </tp>
      <tp>
        <v>13</v>
        <stp/>
        <stp>VOLUME</stp>
        <stp>.SPXW251212C6630</stp>
        <tr r="J128" s="2"/>
        <tr r="J128" s="2"/>
      </tp>
      <tp>
        <v>8</v>
        <stp/>
        <stp>VOLUME</stp>
        <stp>.SPXW251219C6680</stp>
        <tr r="K118" s="2"/>
        <tr r="K118" s="2"/>
      </tp>
      <tp>
        <v>63</v>
        <stp/>
        <stp>VOLUME</stp>
        <stp>.SPXW251112C6630</stp>
        <tr r="D128" s="2"/>
        <tr r="D128" s="2"/>
      </tp>
      <tp>
        <v>6</v>
        <stp/>
        <stp>VOLUME</stp>
        <stp>.SPXW251113C6620</stp>
        <tr r="E130" s="2"/>
        <tr r="E130" s="2"/>
      </tp>
      <tp>
        <v>496</v>
        <stp/>
        <stp>VOLUME</stp>
        <stp>.SPXW251114C6650</stp>
        <tr r="R123" s="1"/>
        <tr r="R123" s="1"/>
      </tp>
      <tp t="s">
        <v>N/A</v>
        <stp/>
        <stp>VOLUME</stp>
        <stp>.SPXW260206P6745</stp>
        <tr r="N105" s="2"/>
      </tp>
      <tp t="s">
        <v>N/A</v>
        <stp/>
        <stp>VOLUME</stp>
        <stp>.SPXW260501P6735</stp>
        <tr r="R107" s="2"/>
      </tp>
      <tp>
        <v>3</v>
        <stp/>
        <stp>VOLUME</stp>
        <stp>.SPXW251205P6745</stp>
        <tr r="I105" s="2"/>
        <tr r="I105" s="2"/>
      </tp>
      <tp t="s">
        <v>N/A</v>
        <stp/>
        <stp>VOLUME</stp>
        <stp>.SPXW251212P6635</stp>
        <tr r="J127" s="2"/>
      </tp>
      <tp>
        <v>15</v>
        <stp/>
        <stp>VOLUME</stp>
        <stp>.SPXW251219P6685</stp>
        <tr r="K117" s="2"/>
        <tr r="K117" s="2"/>
      </tp>
      <tp>
        <v>4213</v>
        <stp/>
        <stp>VOLUME</stp>
        <stp>.SPXW251110P6615</stp>
        <tr r="B131" s="2"/>
        <tr r="B131" s="2"/>
        <tr r="Q130" s="1"/>
        <tr r="Q130" s="1"/>
      </tp>
      <tp>
        <v>190</v>
        <stp/>
        <stp>VOLUME</stp>
        <stp>.SPXW251112P6635</stp>
        <tr r="D127" s="2"/>
        <tr r="D127" s="2"/>
      </tp>
      <tp>
        <v>93</v>
        <stp/>
        <stp>VOLUME</stp>
        <stp>.SPXW251113P6625</stp>
        <tr r="E129" s="2"/>
        <tr r="E129" s="2"/>
      </tp>
      <tp>
        <v>292</v>
        <stp/>
        <stp>VOLUME</stp>
        <stp>.SPXW251114P6655</stp>
        <tr r="S122" s="1"/>
        <tr r="S122" s="1"/>
      </tp>
      <tp>
        <v>12</v>
        <stp/>
        <stp>VOLUME</stp>
        <stp>.SPXW251205P6740</stp>
        <tr r="I106" s="2"/>
        <tr r="I106" s="2"/>
      </tp>
      <tp>
        <v>13</v>
        <stp/>
        <stp>VOLUME</stp>
        <stp>.SPXW251212P6630</stp>
        <tr r="J128" s="2"/>
        <tr r="J128" s="2"/>
      </tp>
      <tp>
        <v>40</v>
        <stp/>
        <stp>VOLUME</stp>
        <stp>.SPXW251219P6680</stp>
        <tr r="K118" s="2"/>
        <tr r="K118" s="2"/>
      </tp>
      <tp>
        <v>400</v>
        <stp/>
        <stp>VOLUME</stp>
        <stp>.SPXW251112P6630</stp>
        <tr r="D128" s="2"/>
        <tr r="D128" s="2"/>
      </tp>
      <tp>
        <v>156</v>
        <stp/>
        <stp>VOLUME</stp>
        <stp>.SPXW251113P6620</stp>
        <tr r="E130" s="2"/>
        <tr r="E130" s="2"/>
      </tp>
      <tp>
        <v>2762</v>
        <stp/>
        <stp>VOLUME</stp>
        <stp>.SPXW251114P6650</stp>
        <tr r="S123" s="1"/>
        <tr r="S123" s="1"/>
      </tp>
      <tp t="s">
        <v>N/A</v>
        <stp/>
        <stp>VOLUME</stp>
        <stp>.SPXW260206P6740</stp>
        <tr r="N106" s="2"/>
      </tp>
      <tp t="s">
        <v>N/A</v>
        <stp/>
        <stp>VOLUME</stp>
        <stp>.SPXW260501P6730</stp>
        <tr r="R108" s="2"/>
      </tp>
      <tp t="s">
        <v>N/A</v>
        <stp/>
        <stp>VOLUME</stp>
        <stp>.NDXP261030P24975</stp>
        <tr r="X163" s="2"/>
      </tp>
      <tp t="s">
        <v>N/A</v>
        <stp/>
        <stp>VOLUME</stp>
        <stp>.NDXP251112P24875</stp>
        <tr r="D167" s="2"/>
      </tp>
      <tp t="s">
        <v>N/A</v>
        <stp/>
        <stp>VOLUME</stp>
        <stp>.NDXP251113P24975</stp>
        <tr r="E163" s="2"/>
      </tp>
      <tp t="s">
        <v>N/A</v>
        <stp/>
        <stp>VOLUME</stp>
        <stp>.NDXP251212P24875</stp>
        <tr r="J167" s="2"/>
      </tp>
      <tp>
        <v>63</v>
        <stp/>
        <stp>VOLUME</stp>
        <stp>.SPXW251205C6775</stp>
        <tr r="I99" s="2"/>
        <tr r="I99" s="2"/>
      </tp>
      <tp>
        <v>120</v>
        <stp/>
        <stp>VOLUME</stp>
        <stp>.SPXW251110C6625</stp>
        <tr r="B129" s="2"/>
        <tr r="B129" s="2"/>
        <tr r="P128" s="1"/>
        <tr r="P128" s="1"/>
      </tp>
      <tp>
        <v>78</v>
        <stp/>
        <stp>VOLUME</stp>
        <stp>.SPXW251111C6635</stp>
        <tr r="C127" s="2"/>
        <tr r="C127" s="2"/>
      </tp>
      <tp>
        <v>14</v>
        <stp/>
        <stp>VOLUME</stp>
        <stp>.SPXW251113C6615</stp>
        <tr r="E131" s="2"/>
        <tr r="E131" s="2"/>
      </tp>
      <tp>
        <v>303</v>
        <stp/>
        <stp>VOLUME</stp>
        <stp>.SPXW251114C6665</stp>
        <tr r="R120" s="1"/>
        <tr r="R120" s="1"/>
      </tp>
      <tp t="s">
        <v>N/A</v>
        <stp/>
        <stp>VOLUME</stp>
        <stp>.SPXW260206C6775</stp>
        <tr r="N99" s="2"/>
      </tp>
      <tp t="s">
        <v>N/A</v>
        <stp/>
        <stp>VOLUME</stp>
        <stp>.SPXW260109C6785</stp>
        <tr r="L97" s="2"/>
      </tp>
      <tp t="s">
        <v>N/A</v>
        <stp/>
        <stp>VOLUME</stp>
        <stp>.SPXW260501C6705</stp>
        <tr r="R113" s="2"/>
      </tp>
      <tp t="s">
        <v>N/A</v>
        <stp/>
        <stp>VOLUME</stp>
        <stp>.SPXW260206C6770</stp>
        <tr r="N100" s="2"/>
      </tp>
      <tp t="s">
        <v>N/A</v>
        <stp/>
        <stp>VOLUME</stp>
        <stp>.SPXW260109C6780</stp>
        <tr r="L98" s="2"/>
      </tp>
      <tp t="s">
        <v>N/A</v>
        <stp/>
        <stp>VOLUME</stp>
        <stp>.SPXW260501C6700</stp>
        <tr r="R114" s="2"/>
      </tp>
      <tp>
        <v>27</v>
        <stp/>
        <stp>VOLUME</stp>
        <stp>.SPXW251205C6770</stp>
        <tr r="I100" s="2"/>
        <tr r="I100" s="2"/>
      </tp>
      <tp>
        <v>248</v>
        <stp/>
        <stp>VOLUME</stp>
        <stp>.SPXW251110C6620</stp>
        <tr r="B130" s="2"/>
        <tr r="B130" s="2"/>
        <tr r="P129" s="1"/>
        <tr r="P129" s="1"/>
      </tp>
      <tp>
        <v>1479</v>
        <stp/>
        <stp>VOLUME</stp>
        <stp>.SPXW251111C6630</stp>
        <tr r="C128" s="2"/>
        <tr r="C128" s="2"/>
      </tp>
      <tp>
        <v>278</v>
        <stp/>
        <stp>VOLUME</stp>
        <stp>.SPXW251114C6660</stp>
        <tr r="R121" s="1"/>
        <tr r="R121" s="1"/>
      </tp>
      <tp t="s">
        <v>N/A</v>
        <stp/>
        <stp>VOLUME</stp>
        <stp>.SPXW260206P6775</stp>
        <tr r="N99" s="2"/>
      </tp>
      <tp t="s">
        <v>N/A</v>
        <stp/>
        <stp>VOLUME</stp>
        <stp>.SPXW260109P6785</stp>
        <tr r="L97" s="2"/>
      </tp>
      <tp t="s">
        <v>N/A</v>
        <stp/>
        <stp>VOLUME</stp>
        <stp>.SPXW260501P6705</stp>
        <tr r="R113" s="2"/>
      </tp>
      <tp>
        <v>37</v>
        <stp/>
        <stp>VOLUME</stp>
        <stp>.SPXW251205P6775</stp>
        <tr r="I99" s="2"/>
        <tr r="I99" s="2"/>
      </tp>
      <tp>
        <v>7499</v>
        <stp/>
        <stp>VOLUME</stp>
        <stp>.SPXW251110P6625</stp>
        <tr r="B129" s="2"/>
        <tr r="B129" s="2"/>
        <tr r="Q128" s="1"/>
        <tr r="Q128" s="1"/>
      </tp>
      <tp>
        <v>313</v>
        <stp/>
        <stp>VOLUME</stp>
        <stp>.SPXW251111P6635</stp>
        <tr r="C127" s="2"/>
        <tr r="C127" s="2"/>
      </tp>
      <tp>
        <v>334</v>
        <stp/>
        <stp>VOLUME</stp>
        <stp>.SPXW251113P6615</stp>
        <tr r="E131" s="2"/>
        <tr r="E131" s="2"/>
      </tp>
      <tp>
        <v>343</v>
        <stp/>
        <stp>VOLUME</stp>
        <stp>.SPXW251114P6665</stp>
        <tr r="S120" s="1"/>
        <tr r="S120" s="1"/>
      </tp>
      <tp>
        <v>24</v>
        <stp/>
        <stp>VOLUME</stp>
        <stp>.SPXW251205P6770</stp>
        <tr r="I100" s="2"/>
        <tr r="I100" s="2"/>
      </tp>
      <tp>
        <v>7940</v>
        <stp/>
        <stp>VOLUME</stp>
        <stp>.SPXW251110P6620</stp>
        <tr r="B130" s="2"/>
        <tr r="B130" s="2"/>
        <tr r="Q129" s="1"/>
        <tr r="Q129" s="1"/>
      </tp>
      <tp>
        <v>760</v>
        <stp/>
        <stp>VOLUME</stp>
        <stp>.SPXW251111P6630</stp>
        <tr r="C128" s="2"/>
        <tr r="C128" s="2"/>
      </tp>
      <tp>
        <v>766</v>
        <stp/>
        <stp>VOLUME</stp>
        <stp>.SPXW251114P6660</stp>
        <tr r="S121" s="1"/>
        <tr r="S121" s="1"/>
      </tp>
      <tp t="s">
        <v>N/A</v>
        <stp/>
        <stp>VOLUME</stp>
        <stp>.SPXW260206P6770</stp>
        <tr r="N100" s="2"/>
      </tp>
      <tp t="s">
        <v>N/A</v>
        <stp/>
        <stp>VOLUME</stp>
        <stp>.SPXW260109P6780</stp>
        <tr r="L98" s="2"/>
      </tp>
      <tp t="s">
        <v>N/A</v>
        <stp/>
        <stp>VOLUME</stp>
        <stp>.SPXW260501P6700</stp>
        <tr r="R114" s="2"/>
      </tp>
      <tp t="s">
        <v>N/A</v>
        <stp/>
        <stp>VOLUME</stp>
        <stp>.NDXP260828P25175</stp>
        <tr r="V155" s="2"/>
      </tp>
      <tp t="s">
        <v>N/A</v>
        <stp/>
        <stp>VOLUME</stp>
        <stp>.NDXP260501P24875</stp>
        <tr r="R167" s="2"/>
      </tp>
      <tp t="s">
        <v>N/A</v>
        <stp/>
        <stp>VOLUME</stp>
        <stp>.NDXP260109P25075</stp>
        <tr r="L159" s="2"/>
      </tp>
      <tp>
        <v>7</v>
        <stp/>
        <stp>VOLUME</stp>
        <stp>.SPXW251205C6765</stp>
        <tr r="I101" s="2"/>
        <tr r="I101" s="2"/>
      </tp>
      <tp t="s">
        <v>N/A</v>
        <stp/>
        <stp>VOLUME</stp>
        <stp>.SPXW251212C6615</stp>
        <tr r="J131" s="2"/>
      </tp>
      <tp>
        <v>301</v>
        <stp/>
        <stp>VOLUME</stp>
        <stp>.SPXW251110C6635</stp>
        <tr r="B127" s="2"/>
        <tr r="B127" s="2"/>
        <tr r="P126" s="1"/>
        <tr r="P126" s="1"/>
      </tp>
      <tp>
        <v>143</v>
        <stp/>
        <stp>VOLUME</stp>
        <stp>.SPXW251111C6625</stp>
        <tr r="C129" s="2"/>
        <tr r="C129" s="2"/>
      </tp>
      <tp>
        <v>11</v>
        <stp/>
        <stp>VOLUME</stp>
        <stp>.SPXW251112C6615</stp>
        <tr r="D131" s="2"/>
        <tr r="D131" s="2"/>
      </tp>
      <tp>
        <v>309</v>
        <stp/>
        <stp>VOLUME</stp>
        <stp>.SPXW251114C6675</stp>
        <tr r="R118" s="1"/>
        <tr r="R118" s="1"/>
      </tp>
      <tp t="s">
        <v>N/A</v>
        <stp/>
        <stp>VOLUME</stp>
        <stp>.SPXW260206C6765</stp>
        <tr r="N101" s="2"/>
      </tp>
      <tp t="s">
        <v>N/A</v>
        <stp/>
        <stp>VOLUME</stp>
        <stp>.SPXW260109C6795</stp>
        <tr r="L95" s="2"/>
      </tp>
      <tp t="s">
        <v>N/A</v>
        <stp/>
        <stp>VOLUME</stp>
        <stp>.SPXW260501C6715</stp>
        <tr r="R111" s="2"/>
      </tp>
      <tp t="s">
        <v>N/A</v>
        <stp/>
        <stp>VOLUME</stp>
        <stp>.SPXW260206C6760</stp>
        <tr r="N102" s="2"/>
      </tp>
      <tp t="s">
        <v>N/A</v>
        <stp/>
        <stp>VOLUME</stp>
        <stp>.SPXW260109C6790</stp>
        <tr r="L96" s="2"/>
      </tp>
      <tp t="s">
        <v>N/A</v>
        <stp/>
        <stp>VOLUME</stp>
        <stp>.SPXW260501C6710</stp>
        <tr r="R112" s="2"/>
      </tp>
      <tp>
        <v>22</v>
        <stp/>
        <stp>VOLUME</stp>
        <stp>.SPXW251205C6760</stp>
        <tr r="I102" s="2"/>
        <tr r="I102" s="2"/>
      </tp>
      <tp>
        <v>227</v>
        <stp/>
        <stp>VOLUME</stp>
        <stp>.SPXW251110C6630</stp>
        <tr r="B128" s="2"/>
        <tr r="B128" s="2"/>
        <tr r="P127" s="1"/>
        <tr r="P127" s="1"/>
      </tp>
      <tp>
        <v>132</v>
        <stp/>
        <stp>VOLUME</stp>
        <stp>.SPXW251111C6620</stp>
        <tr r="C130" s="2"/>
        <tr r="C130" s="2"/>
      </tp>
      <tp>
        <v>189</v>
        <stp/>
        <stp>VOLUME</stp>
        <stp>.SPXW251114C6670</stp>
        <tr r="R119" s="1"/>
        <tr r="R119" s="1"/>
      </tp>
      <tp t="s">
        <v>N/A</v>
        <stp/>
        <stp>VOLUME</stp>
        <stp>.SPXW260206P6765</stp>
        <tr r="N101" s="2"/>
      </tp>
      <tp t="s">
        <v>N/A</v>
        <stp/>
        <stp>VOLUME</stp>
        <stp>.SPXW260109P6795</stp>
        <tr r="L95" s="2"/>
      </tp>
      <tp t="s">
        <v>N/A</v>
        <stp/>
        <stp>VOLUME</stp>
        <stp>.SPXW260501P6715</stp>
        <tr r="R111" s="2"/>
      </tp>
      <tp>
        <v>3</v>
        <stp/>
        <stp>VOLUME</stp>
        <stp>.SPXW251205P6765</stp>
        <tr r="I101" s="2"/>
        <tr r="I101" s="2"/>
      </tp>
      <tp t="s">
        <v>N/A</v>
        <stp/>
        <stp>VOLUME</stp>
        <stp>.SPXW251212P6615</stp>
        <tr r="J131" s="2"/>
      </tp>
      <tp>
        <v>4443</v>
        <stp/>
        <stp>VOLUME</stp>
        <stp>.SPXW251110P6635</stp>
        <tr r="B127" s="2"/>
        <tr r="B127" s="2"/>
        <tr r="Q126" s="1"/>
        <tr r="Q126" s="1"/>
      </tp>
      <tp>
        <v>658</v>
        <stp/>
        <stp>VOLUME</stp>
        <stp>.SPXW251111P6625</stp>
        <tr r="C129" s="2"/>
        <tr r="C129" s="2"/>
      </tp>
      <tp>
        <v>252</v>
        <stp/>
        <stp>VOLUME</stp>
        <stp>.SPXW251112P6615</stp>
        <tr r="D131" s="2"/>
        <tr r="D131" s="2"/>
      </tp>
      <tp>
        <v>962</v>
        <stp/>
        <stp>VOLUME</stp>
        <stp>.SPXW251114P6675</stp>
        <tr r="S118" s="1"/>
        <tr r="S118" s="1"/>
      </tp>
      <tp>
        <v>11</v>
        <stp/>
        <stp>VOLUME</stp>
        <stp>.SPXW251205P6760</stp>
        <tr r="I102" s="2"/>
        <tr r="I102" s="2"/>
      </tp>
      <tp>
        <v>5770</v>
        <stp/>
        <stp>VOLUME</stp>
        <stp>.SPXW251110P6630</stp>
        <tr r="B128" s="2"/>
        <tr r="B128" s="2"/>
        <tr r="Q127" s="1"/>
        <tr r="Q127" s="1"/>
      </tp>
      <tp>
        <v>424</v>
        <stp/>
        <stp>VOLUME</stp>
        <stp>.SPXW251111P6620</stp>
        <tr r="C130" s="2"/>
        <tr r="C130" s="2"/>
      </tp>
      <tp>
        <v>504</v>
        <stp/>
        <stp>VOLUME</stp>
        <stp>.SPXW251114P6670</stp>
        <tr r="S119" s="1"/>
        <tr r="S119" s="1"/>
      </tp>
      <tp t="s">
        <v>N/A</v>
        <stp/>
        <stp>VOLUME</stp>
        <stp>.SPXW260206P6760</stp>
        <tr r="N102" s="2"/>
      </tp>
      <tp t="s">
        <v>N/A</v>
        <stp/>
        <stp>VOLUME</stp>
        <stp>.SPXW260109P6790</stp>
        <tr r="L96" s="2"/>
      </tp>
      <tp t="s">
        <v>N/A</v>
        <stp/>
        <stp>VOLUME</stp>
        <stp>.SPXW260501P6710</stp>
        <tr r="R112" s="2"/>
      </tp>
      <tp t="s">
        <v>N/A</v>
        <stp/>
        <stp>VOLUME</stp>
        <stp>.NDXP260828P25100</stp>
        <tr r="V158" s="2"/>
      </tp>
      <tp t="s">
        <v>N/A</v>
        <stp/>
        <stp>VOLUME</stp>
        <stp>.NDXP260109P25000</stp>
        <tr r="L162" s="2"/>
      </tp>
      <tp t="s">
        <v>N/A</v>
        <stp/>
        <stp>VOLUME</stp>
        <stp>.NDXP260501P24800</stp>
        <tr r="R170" s="2"/>
      </tp>
      <tp>
        <v>18</v>
        <stp/>
        <stp>VOLUME</stp>
        <stp>.SPXW251205C6715</stp>
        <tr r="I111" s="2"/>
        <tr r="I111" s="2"/>
      </tp>
      <tp t="s">
        <v>N/A</v>
        <stp/>
        <stp>VOLUME</stp>
        <stp>.SPXW251212C6665</stp>
        <tr r="J121" s="2"/>
      </tp>
      <tp>
        <v>666</v>
        <stp/>
        <stp>VOLUME</stp>
        <stp>.SPXW251110C6645</stp>
        <tr r="B125" s="2"/>
        <tr r="B125" s="2"/>
        <tr r="P124" s="1"/>
        <tr r="P124" s="1"/>
      </tp>
      <tp>
        <v>777</v>
        <stp/>
        <stp>VOLUME</stp>
        <stp>.SPXW251111C6655</stp>
        <tr r="C123" s="2"/>
        <tr r="C123" s="2"/>
      </tp>
      <tp>
        <v>177</v>
        <stp/>
        <stp>VOLUME</stp>
        <stp>.SPXW251112C6665</stp>
        <tr r="D121" s="2"/>
        <tr r="D121" s="2"/>
      </tp>
      <tp>
        <v>56</v>
        <stp/>
        <stp>VOLUME</stp>
        <stp>.SPXW251113C6675</stp>
        <tr r="E119" s="2"/>
        <tr r="E119" s="2"/>
      </tp>
      <tp t="s">
        <v>N/A</v>
        <stp/>
        <stp>VOLUME</stp>
        <stp>.SPXW260206C6715</stp>
        <tr r="N111" s="2"/>
      </tp>
      <tp t="s">
        <v>N/A</v>
        <stp/>
        <stp>VOLUME</stp>
        <stp>.SPXW260501C6765</stp>
        <tr r="R101" s="2"/>
      </tp>
      <tp t="s">
        <v>N/A</v>
        <stp/>
        <stp>VOLUME</stp>
        <stp>.SPXW260206C6710</stp>
        <tr r="N112" s="2"/>
      </tp>
      <tp t="s">
        <v>N/A</v>
        <stp/>
        <stp>VOLUME</stp>
        <stp>.SPXW260501C6760</stp>
        <tr r="R102" s="2"/>
      </tp>
      <tp>
        <v>140</v>
        <stp/>
        <stp>VOLUME</stp>
        <stp>.SPXW251205C6710</stp>
        <tr r="I112" s="2"/>
        <tr r="I112" s="2"/>
      </tp>
      <tp>
        <v>11</v>
        <stp/>
        <stp>VOLUME</stp>
        <stp>.SPXW251212C6660</stp>
        <tr r="J122" s="2"/>
        <tr r="J122" s="2"/>
      </tp>
      <tp>
        <v>813</v>
        <stp/>
        <stp>VOLUME</stp>
        <stp>.SPXW251110C6640</stp>
        <tr r="B126" s="2"/>
        <tr r="B126" s="2"/>
        <tr r="P125" s="1"/>
        <tr r="P125" s="1"/>
      </tp>
      <tp>
        <v>1139</v>
        <stp/>
        <stp>VOLUME</stp>
        <stp>.SPXW251111C6650</stp>
        <tr r="C124" s="2"/>
        <tr r="C124" s="2"/>
      </tp>
      <tp>
        <v>170</v>
        <stp/>
        <stp>VOLUME</stp>
        <stp>.SPXW251112C6660</stp>
        <tr r="D122" s="2"/>
        <tr r="D122" s="2"/>
      </tp>
      <tp>
        <v>339</v>
        <stp/>
        <stp>VOLUME</stp>
        <stp>.SPXW251113C6670</stp>
        <tr r="E120" s="2"/>
        <tr r="E120" s="2"/>
      </tp>
      <tp t="s">
        <v>N/A</v>
        <stp/>
        <stp>VOLUME</stp>
        <stp>.SPXW260206P6715</stp>
        <tr r="N111" s="2"/>
      </tp>
      <tp t="s">
        <v>N/A</v>
        <stp/>
        <stp>VOLUME</stp>
        <stp>.SPXW260501P6765</stp>
        <tr r="R101" s="2"/>
      </tp>
      <tp>
        <v>100</v>
        <stp/>
        <stp>VOLUME</stp>
        <stp>.SPXW251205P6715</stp>
        <tr r="I111" s="2"/>
        <tr r="I111" s="2"/>
      </tp>
      <tp t="s">
        <v>N/A</v>
        <stp/>
        <stp>VOLUME</stp>
        <stp>.SPXW251212P6665</stp>
        <tr r="J121" s="2"/>
      </tp>
      <tp>
        <v>6022</v>
        <stp/>
        <stp>VOLUME</stp>
        <stp>.SPXW251110P6645</stp>
        <tr r="B125" s="2"/>
        <tr r="B125" s="2"/>
        <tr r="Q124" s="1"/>
        <tr r="Q124" s="1"/>
      </tp>
      <tp>
        <v>302</v>
        <stp/>
        <stp>VOLUME</stp>
        <stp>.SPXW251111P6655</stp>
        <tr r="C123" s="2"/>
        <tr r="C123" s="2"/>
      </tp>
      <tp>
        <v>206</v>
        <stp/>
        <stp>VOLUME</stp>
        <stp>.SPXW251112P6665</stp>
        <tr r="D121" s="2"/>
        <tr r="D121" s="2"/>
      </tp>
      <tp>
        <v>124</v>
        <stp/>
        <stp>VOLUME</stp>
        <stp>.SPXW251113P6675</stp>
        <tr r="E119" s="2"/>
        <tr r="E119" s="2"/>
      </tp>
      <tp>
        <v>141</v>
        <stp/>
        <stp>VOLUME</stp>
        <stp>.SPXW251205P6710</stp>
        <tr r="I112" s="2"/>
        <tr r="I112" s="2"/>
      </tp>
      <tp>
        <v>197</v>
        <stp/>
        <stp>VOLUME</stp>
        <stp>.SPXW251212P6660</stp>
        <tr r="J122" s="2"/>
        <tr r="J122" s="2"/>
      </tp>
      <tp>
        <v>6605</v>
        <stp/>
        <stp>VOLUME</stp>
        <stp>.SPXW251110P6640</stp>
        <tr r="B126" s="2"/>
        <tr r="B126" s="2"/>
        <tr r="Q125" s="1"/>
        <tr r="Q125" s="1"/>
      </tp>
      <tp>
        <v>3688</v>
        <stp/>
        <stp>VOLUME</stp>
        <stp>.SPXW251111P6650</stp>
        <tr r="C124" s="2"/>
        <tr r="C124" s="2"/>
      </tp>
      <tp>
        <v>256</v>
        <stp/>
        <stp>VOLUME</stp>
        <stp>.SPXW251112P6660</stp>
        <tr r="D122" s="2"/>
        <tr r="D122" s="2"/>
      </tp>
      <tp>
        <v>206</v>
        <stp/>
        <stp>VOLUME</stp>
        <stp>.SPXW251113P6670</stp>
        <tr r="E120" s="2"/>
        <tr r="E120" s="2"/>
      </tp>
      <tp t="s">
        <v>N/A</v>
        <stp/>
        <stp>VOLUME</stp>
        <stp>.SPXW260206P6710</stp>
        <tr r="N112" s="2"/>
      </tp>
      <tp t="s">
        <v>N/A</v>
        <stp/>
        <stp>VOLUME</stp>
        <stp>.SPXW260501P6760</stp>
        <tr r="R102" s="2"/>
      </tp>
      <tp>
        <v>68</v>
        <stp/>
        <stp>VOLUME</stp>
        <stp>.NDXP251112P24800</stp>
        <tr r="D170" s="2"/>
        <tr r="D170" s="2"/>
      </tp>
      <tp>
        <v>3</v>
        <stp/>
        <stp>VOLUME</stp>
        <stp>.NDXP251113P24900</stp>
        <tr r="E166" s="2"/>
        <tr r="E166" s="2"/>
      </tp>
      <tp t="s">
        <v>N/A</v>
        <stp/>
        <stp>VOLUME</stp>
        <stp>.NDXP261030P24900</stp>
        <tr r="X166" s="2"/>
      </tp>
      <tp t="s">
        <v>N/A</v>
        <stp/>
        <stp>VOLUME</stp>
        <stp>.NDXP251212P24800</stp>
        <tr r="J170" s="2"/>
      </tp>
      <tp>
        <v>39</v>
        <stp/>
        <stp>VOLUME</stp>
        <stp>.SPXW251205C6705</stp>
        <tr r="I113" s="2"/>
        <tr r="I113" s="2"/>
      </tp>
      <tp>
        <v>9</v>
        <stp/>
        <stp>VOLUME</stp>
        <stp>.SPXW251212C6675</stp>
        <tr r="J119" s="2"/>
        <tr r="J119" s="2"/>
      </tp>
      <tp>
        <v>1192</v>
        <stp/>
        <stp>VOLUME</stp>
        <stp>.SPXW251110C6655</stp>
        <tr r="B123" s="2"/>
        <tr r="B123" s="2"/>
        <tr r="P122" s="1"/>
        <tr r="P122" s="1"/>
      </tp>
      <tp>
        <v>134</v>
        <stp/>
        <stp>VOLUME</stp>
        <stp>.SPXW251111C6645</stp>
        <tr r="C125" s="2"/>
        <tr r="C125" s="2"/>
      </tp>
      <tp>
        <v>140</v>
        <stp/>
        <stp>VOLUME</stp>
        <stp>.SPXW251112C6675</stp>
        <tr r="D119" s="2"/>
        <tr r="D119" s="2"/>
      </tp>
      <tp>
        <v>99</v>
        <stp/>
        <stp>VOLUME</stp>
        <stp>.SPXW251113C6665</stp>
        <tr r="E121" s="2"/>
        <tr r="E121" s="2"/>
      </tp>
      <tp>
        <v>8</v>
        <stp/>
        <stp>VOLUME</stp>
        <stp>.SPXW251114C6615</stp>
        <tr r="R130" s="1"/>
        <tr r="R130" s="1"/>
      </tp>
      <tp t="s">
        <v>N/A</v>
        <stp/>
        <stp>VOLUME</stp>
        <stp>.SPXW260206C6705</stp>
        <tr r="N113" s="2"/>
      </tp>
      <tp t="s">
        <v>N/A</v>
        <stp/>
        <stp>VOLUME</stp>
        <stp>.SPXW260501C6775</stp>
        <tr r="R99" s="2"/>
      </tp>
      <tp t="s">
        <v>N/A</v>
        <stp/>
        <stp>VOLUME</stp>
        <stp>.SPXW260206C6700</stp>
        <tr r="N114" s="2"/>
      </tp>
      <tp t="s">
        <v>N/A</v>
        <stp/>
        <stp>VOLUME</stp>
        <stp>.SPXW260501C6770</stp>
        <tr r="R100" s="2"/>
      </tp>
      <tp>
        <v>74</v>
        <stp/>
        <stp>VOLUME</stp>
        <stp>.SPXW251205C6700</stp>
        <tr r="I114" s="2"/>
        <tr r="I114" s="2"/>
      </tp>
      <tp>
        <v>19</v>
        <stp/>
        <stp>VOLUME</stp>
        <stp>.SPXW251212C6670</stp>
        <tr r="J120" s="2"/>
        <tr r="J120" s="2"/>
      </tp>
      <tp>
        <v>2044</v>
        <stp/>
        <stp>VOLUME</stp>
        <stp>.SPXW251110C6650</stp>
        <tr r="B124" s="2"/>
        <tr r="B124" s="2"/>
        <tr r="P123" s="1"/>
        <tr r="P123" s="1"/>
      </tp>
      <tp>
        <v>153</v>
        <stp/>
        <stp>VOLUME</stp>
        <stp>.SPXW251111C6640</stp>
        <tr r="C126" s="2"/>
        <tr r="C126" s="2"/>
      </tp>
      <tp>
        <v>59</v>
        <stp/>
        <stp>VOLUME</stp>
        <stp>.SPXW251112C6670</stp>
        <tr r="D120" s="2"/>
        <tr r="D120" s="2"/>
      </tp>
      <tp>
        <v>40</v>
        <stp/>
        <stp>VOLUME</stp>
        <stp>.SPXW251113C6660</stp>
        <tr r="E122" s="2"/>
        <tr r="E122" s="2"/>
      </tp>
      <tp t="s">
        <v>N/A</v>
        <stp/>
        <stp>VOLUME</stp>
        <stp>.SPXW260206P6705</stp>
        <tr r="N113" s="2"/>
      </tp>
      <tp t="s">
        <v>N/A</v>
        <stp/>
        <stp>VOLUME</stp>
        <stp>.SPXW260501P6775</stp>
        <tr r="R99" s="2"/>
      </tp>
      <tp>
        <v>2</v>
        <stp/>
        <stp>VOLUME</stp>
        <stp>.SPXW251205P6705</stp>
        <tr r="I113" s="2"/>
        <tr r="I113" s="2"/>
      </tp>
      <tp>
        <v>36</v>
        <stp/>
        <stp>VOLUME</stp>
        <stp>.SPXW251212P6675</stp>
        <tr r="J119" s="2"/>
        <tr r="J119" s="2"/>
      </tp>
      <tp>
        <v>4929</v>
        <stp/>
        <stp>VOLUME</stp>
        <stp>.SPXW251110P6655</stp>
        <tr r="B123" s="2"/>
        <tr r="B123" s="2"/>
        <tr r="Q122" s="1"/>
        <tr r="Q122" s="1"/>
      </tp>
      <tp>
        <v>321</v>
        <stp/>
        <stp>VOLUME</stp>
        <stp>.SPXW251111P6645</stp>
        <tr r="C125" s="2"/>
        <tr r="C125" s="2"/>
      </tp>
      <tp>
        <v>427</v>
        <stp/>
        <stp>VOLUME</stp>
        <stp>.SPXW251112P6675</stp>
        <tr r="D119" s="2"/>
        <tr r="D119" s="2"/>
      </tp>
      <tp>
        <v>168</v>
        <stp/>
        <stp>VOLUME</stp>
        <stp>.SPXW251113P6665</stp>
        <tr r="E121" s="2"/>
        <tr r="E121" s="2"/>
      </tp>
      <tp>
        <v>320</v>
        <stp/>
        <stp>VOLUME</stp>
        <stp>.SPXW251114P6615</stp>
        <tr r="S130" s="1"/>
        <tr r="S130" s="1"/>
      </tp>
      <tp>
        <v>230</v>
        <stp/>
        <stp>VOLUME</stp>
        <stp>.SPXW251205P6700</stp>
        <tr r="I114" s="2"/>
        <tr r="I114" s="2"/>
      </tp>
      <tp>
        <v>4</v>
        <stp/>
        <stp>VOLUME</stp>
        <stp>.SPXW251212P6670</stp>
        <tr r="J120" s="2"/>
        <tr r="J120" s="2"/>
      </tp>
      <tp>
        <v>12932</v>
        <stp/>
        <stp>VOLUME</stp>
        <stp>.SPXW251110P6650</stp>
        <tr r="B124" s="2"/>
        <tr r="B124" s="2"/>
        <tr r="Q123" s="1"/>
        <tr r="Q123" s="1"/>
      </tp>
      <tp>
        <v>617</v>
        <stp/>
        <stp>VOLUME</stp>
        <stp>.SPXW251111P6640</stp>
        <tr r="C126" s="2"/>
        <tr r="C126" s="2"/>
      </tp>
      <tp>
        <v>466</v>
        <stp/>
        <stp>VOLUME</stp>
        <stp>.SPXW251112P6670</stp>
        <tr r="D120" s="2"/>
        <tr r="D120" s="2"/>
      </tp>
      <tp>
        <v>358</v>
        <stp/>
        <stp>VOLUME</stp>
        <stp>.SPXW251113P6660</stp>
        <tr r="E122" s="2"/>
        <tr r="E122" s="2"/>
      </tp>
      <tp t="s">
        <v>N/A</v>
        <stp/>
        <stp>VOLUME</stp>
        <stp>.SPXW260206P6700</stp>
        <tr r="N114" s="2"/>
      </tp>
      <tp t="s">
        <v>N/A</v>
        <stp/>
        <stp>VOLUME</stp>
        <stp>.SPXW260501P6770</stp>
        <tr r="R100" s="2"/>
      </tp>
      <tp t="s">
        <v>N/A</v>
        <stp/>
        <stp>VOLUME</stp>
        <stp>.NDXP260828P25125</stp>
        <tr r="V157" s="2"/>
      </tp>
      <tp t="s">
        <v>N/A</v>
        <stp/>
        <stp>VOLUME</stp>
        <stp>.NDXP260501P24825</stp>
        <tr r="R169" s="2"/>
      </tp>
      <tp t="s">
        <v>N/A</v>
        <stp/>
        <stp>VOLUME</stp>
        <stp>.NDXP260109P25025</stp>
        <tr r="L161" s="2"/>
      </tp>
      <tp>
        <v>25</v>
        <stp/>
        <stp>VOLUME</stp>
        <stp>.SPXW251205C6735</stp>
        <tr r="I107" s="2"/>
        <tr r="I107" s="2"/>
      </tp>
      <tp t="s">
        <v>N/A</v>
        <stp/>
        <stp>VOLUME</stp>
        <stp>.SPXW251212C6645</stp>
        <tr r="J125" s="2"/>
      </tp>
      <tp>
        <v>1167</v>
        <stp/>
        <stp>VOLUME</stp>
        <stp>.SPXW251110C6665</stp>
        <tr r="B121" s="2"/>
        <tr r="B121" s="2"/>
        <tr r="P120" s="1"/>
        <tr r="P120" s="1"/>
      </tp>
      <tp>
        <v>511</v>
        <stp/>
        <stp>VOLUME</stp>
        <stp>.SPXW251111C6675</stp>
        <tr r="C119" s="2"/>
        <tr r="C119" s="2"/>
      </tp>
      <tp>
        <v>48</v>
        <stp/>
        <stp>VOLUME</stp>
        <stp>.SPXW251112C6645</stp>
        <tr r="D125" s="2"/>
        <tr r="D125" s="2"/>
      </tp>
      <tp>
        <v>83</v>
        <stp/>
        <stp>VOLUME</stp>
        <stp>.SPXW251113C6655</stp>
        <tr r="E123" s="2"/>
        <tr r="E123" s="2"/>
      </tp>
      <tp>
        <v>76</v>
        <stp/>
        <stp>VOLUME</stp>
        <stp>.SPXW251114C6625</stp>
        <tr r="R128" s="1"/>
        <tr r="R128" s="1"/>
      </tp>
      <tp t="s">
        <v>N/A</v>
        <stp/>
        <stp>VOLUME</stp>
        <stp>.SPXW260206C6735</stp>
        <tr r="N107" s="2"/>
      </tp>
      <tp t="s">
        <v>N/A</v>
        <stp/>
        <stp>VOLUME</stp>
        <stp>.SPXW260501C6745</stp>
        <tr r="R105" s="2"/>
      </tp>
      <tp t="s">
        <v>N/A</v>
        <stp/>
        <stp>VOLUME</stp>
        <stp>.SPXW260206C6730</stp>
        <tr r="N108" s="2"/>
      </tp>
      <tp t="s">
        <v>N/A</v>
        <stp/>
        <stp>VOLUME</stp>
        <stp>.SPXW260501C6740</stp>
        <tr r="R106" s="2"/>
      </tp>
      <tp>
        <v>329</v>
        <stp/>
        <stp>VOLUME</stp>
        <stp>.SPXW251205C6730</stp>
        <tr r="I108" s="2"/>
        <tr r="I108" s="2"/>
      </tp>
      <tp>
        <v>16</v>
        <stp/>
        <stp>VOLUME</stp>
        <stp>.SPXW251212C6640</stp>
        <tr r="J126" s="2"/>
        <tr r="J126" s="2"/>
      </tp>
      <tp>
        <v>1961</v>
        <stp/>
        <stp>VOLUME</stp>
        <stp>.SPXW251110C6660</stp>
        <tr r="B122" s="2"/>
        <tr r="B122" s="2"/>
        <tr r="P121" s="1"/>
        <tr r="P121" s="1"/>
      </tp>
      <tp>
        <v>761</v>
        <stp/>
        <stp>VOLUME</stp>
        <stp>.SPXW251111C6670</stp>
        <tr r="C120" s="2"/>
        <tr r="C120" s="2"/>
      </tp>
      <tp>
        <v>81</v>
        <stp/>
        <stp>VOLUME</stp>
        <stp>.SPXW251112C6640</stp>
        <tr r="D126" s="2"/>
        <tr r="D126" s="2"/>
      </tp>
      <tp>
        <v>52</v>
        <stp/>
        <stp>VOLUME</stp>
        <stp>.SPXW251113C6650</stp>
        <tr r="E124" s="2"/>
        <tr r="E124" s="2"/>
      </tp>
      <tp>
        <v>32</v>
        <stp/>
        <stp>VOLUME</stp>
        <stp>.SPXW251114C6620</stp>
        <tr r="R129" s="1"/>
        <tr r="R129" s="1"/>
      </tp>
      <tp t="s">
        <v>N/A</v>
        <stp/>
        <stp>VOLUME</stp>
        <stp>.SPXW260206P6735</stp>
        <tr r="N107" s="2"/>
      </tp>
      <tp t="s">
        <v>N/A</v>
        <stp/>
        <stp>VOLUME</stp>
        <stp>.SPXW260501P6745</stp>
        <tr r="R105" s="2"/>
      </tp>
      <tp>
        <v>2</v>
        <stp/>
        <stp>VOLUME</stp>
        <stp>.SPXW251205P6735</stp>
        <tr r="I107" s="2"/>
        <tr r="I107" s="2"/>
      </tp>
      <tp t="s">
        <v>N/A</v>
        <stp/>
        <stp>VOLUME</stp>
        <stp>.SPXW251212P6645</stp>
        <tr r="J125" s="2"/>
      </tp>
      <tp>
        <v>4390</v>
        <stp/>
        <stp>VOLUME</stp>
        <stp>.SPXW251110P6665</stp>
        <tr r="B121" s="2"/>
        <tr r="B121" s="2"/>
        <tr r="Q120" s="1"/>
        <tr r="Q120" s="1"/>
      </tp>
      <tp>
        <v>665</v>
        <stp/>
        <stp>VOLUME</stp>
        <stp>.SPXW251111P6675</stp>
        <tr r="C119" s="2"/>
        <tr r="C119" s="2"/>
      </tp>
      <tp>
        <v>144</v>
        <stp/>
        <stp>VOLUME</stp>
        <stp>.SPXW251112P6645</stp>
        <tr r="D125" s="2"/>
        <tr r="D125" s="2"/>
      </tp>
      <tp>
        <v>69</v>
        <stp/>
        <stp>VOLUME</stp>
        <stp>.SPXW251113P6655</stp>
        <tr r="E123" s="2"/>
        <tr r="E123" s="2"/>
      </tp>
      <tp>
        <v>784</v>
        <stp/>
        <stp>VOLUME</stp>
        <stp>.SPXW251114P6625</stp>
        <tr r="S128" s="1"/>
        <tr r="S128" s="1"/>
      </tp>
      <tp>
        <v>128</v>
        <stp/>
        <stp>VOLUME</stp>
        <stp>.SPXW251205P6730</stp>
        <tr r="I108" s="2"/>
        <tr r="I108" s="2"/>
      </tp>
      <tp>
        <v>80</v>
        <stp/>
        <stp>VOLUME</stp>
        <stp>.SPXW251212P6640</stp>
        <tr r="J126" s="2"/>
        <tr r="J126" s="2"/>
      </tp>
      <tp>
        <v>7242</v>
        <stp/>
        <stp>VOLUME</stp>
        <stp>.SPXW251110P6660</stp>
        <tr r="B122" s="2"/>
        <tr r="B122" s="2"/>
        <tr r="Q121" s="1"/>
        <tr r="Q121" s="1"/>
      </tp>
      <tp>
        <v>395</v>
        <stp/>
        <stp>VOLUME</stp>
        <stp>.SPXW251111P6670</stp>
        <tr r="C120" s="2"/>
        <tr r="C120" s="2"/>
      </tp>
      <tp>
        <v>204</v>
        <stp/>
        <stp>VOLUME</stp>
        <stp>.SPXW251112P6640</stp>
        <tr r="D126" s="2"/>
        <tr r="D126" s="2"/>
      </tp>
      <tp>
        <v>265</v>
        <stp/>
        <stp>VOLUME</stp>
        <stp>.SPXW251113P6650</stp>
        <tr r="E124" s="2"/>
        <tr r="E124" s="2"/>
      </tp>
      <tp>
        <v>378</v>
        <stp/>
        <stp>VOLUME</stp>
        <stp>.SPXW251114P6620</stp>
        <tr r="S129" s="1"/>
        <tr r="S129" s="1"/>
      </tp>
      <tp t="s">
        <v>N/A</v>
        <stp/>
        <stp>VOLUME</stp>
        <stp>.SPXW260206P6730</stp>
        <tr r="N108" s="2"/>
      </tp>
      <tp t="s">
        <v>N/A</v>
        <stp/>
        <stp>VOLUME</stp>
        <stp>.SPXW260501P6740</stp>
        <tr r="R106" s="2"/>
      </tp>
      <tp t="s">
        <v>N/A</v>
        <stp/>
        <stp>VOLUME</stp>
        <stp>.NDXP261030P24925</stp>
        <tr r="X165" s="2"/>
      </tp>
      <tp t="s">
        <v>N/A</v>
        <stp/>
        <stp>VOLUME</stp>
        <stp>.NDXP251112P24825</stp>
        <tr r="D169" s="2"/>
      </tp>
      <tp t="s">
        <v>N/A</v>
        <stp/>
        <stp>VOLUME</stp>
        <stp>.NDXP251113P24925</stp>
        <tr r="E165" s="2"/>
      </tp>
      <tp t="s">
        <v>N/A</v>
        <stp/>
        <stp>VOLUME</stp>
        <stp>.NDXP251212P24825</stp>
        <tr r="J169" s="2"/>
      </tp>
      <tp>
        <v>133</v>
        <stp/>
        <stp>VOLUME</stp>
        <stp>.SPXW251205C6725</stp>
        <tr r="I109" s="2"/>
        <tr r="I109" s="2"/>
      </tp>
      <tp t="s">
        <v>N/A</v>
        <stp/>
        <stp>VOLUME</stp>
        <stp>.SPXW251212C6655</stp>
        <tr r="J123" s="2"/>
      </tp>
      <tp>
        <v>2275</v>
        <stp/>
        <stp>VOLUME</stp>
        <stp>.SPXW251110C6675</stp>
        <tr r="B119" s="2"/>
        <tr r="B119" s="2"/>
        <tr r="P118" s="1"/>
        <tr r="P118" s="1"/>
      </tp>
      <tp>
        <v>375</v>
        <stp/>
        <stp>VOLUME</stp>
        <stp>.SPXW251111C6665</stp>
        <tr r="C121" s="2"/>
        <tr r="C121" s="2"/>
      </tp>
      <tp>
        <v>88</v>
        <stp/>
        <stp>VOLUME</stp>
        <stp>.SPXW251112C6655</stp>
        <tr r="D123" s="2"/>
        <tr r="D123" s="2"/>
      </tp>
      <tp>
        <v>582</v>
        <stp/>
        <stp>VOLUME</stp>
        <stp>.SPXW251113C6645</stp>
        <tr r="E125" s="2"/>
        <tr r="E125" s="2"/>
      </tp>
      <tp>
        <v>50</v>
        <stp/>
        <stp>VOLUME</stp>
        <stp>.SPXW251114C6635</stp>
        <tr r="R126" s="1"/>
        <tr r="R126" s="1"/>
      </tp>
      <tp t="s">
        <v>N/A</v>
        <stp/>
        <stp>VOLUME</stp>
        <stp>.SPXW260206C6725</stp>
        <tr r="N109" s="2"/>
      </tp>
      <tp t="s">
        <v>N/A</v>
        <stp/>
        <stp>VOLUME</stp>
        <stp>.SPXW260501C6755</stp>
        <tr r="R103" s="2"/>
      </tp>
      <tp t="s">
        <v>N/A</v>
        <stp/>
        <stp>VOLUME</stp>
        <stp>.SPXW260206C6720</stp>
        <tr r="N110" s="2"/>
      </tp>
      <tp t="s">
        <v>N/A</v>
        <stp/>
        <stp>VOLUME</stp>
        <stp>.SPXW260501C6750</stp>
        <tr r="R104" s="2"/>
      </tp>
      <tp>
        <v>20</v>
        <stp/>
        <stp>VOLUME</stp>
        <stp>.SPXW251205C6720</stp>
        <tr r="I110" s="2"/>
        <tr r="I110" s="2"/>
      </tp>
      <tp>
        <v>6</v>
        <stp/>
        <stp>VOLUME</stp>
        <stp>.SPXW251212C6650</stp>
        <tr r="J124" s="2"/>
        <tr r="J124" s="2"/>
      </tp>
      <tp>
        <v>3266</v>
        <stp/>
        <stp>VOLUME</stp>
        <stp>.SPXW251110C6670</stp>
        <tr r="B120" s="2"/>
        <tr r="B120" s="2"/>
        <tr r="P119" s="1"/>
        <tr r="P119" s="1"/>
      </tp>
      <tp>
        <v>443</v>
        <stp/>
        <stp>VOLUME</stp>
        <stp>.SPXW251111C6660</stp>
        <tr r="C122" s="2"/>
        <tr r="C122" s="2"/>
      </tp>
      <tp>
        <v>167</v>
        <stp/>
        <stp>VOLUME</stp>
        <stp>.SPXW251112C6650</stp>
        <tr r="D124" s="2"/>
        <tr r="D124" s="2"/>
      </tp>
      <tp>
        <v>47</v>
        <stp/>
        <stp>VOLUME</stp>
        <stp>.SPXW251113C6640</stp>
        <tr r="E126" s="2"/>
        <tr r="E126" s="2"/>
      </tp>
      <tp>
        <v>44</v>
        <stp/>
        <stp>VOLUME</stp>
        <stp>.SPXW251114C6630</stp>
        <tr r="R127" s="1"/>
        <tr r="R127" s="1"/>
      </tp>
      <tp t="s">
        <v>N/A</v>
        <stp/>
        <stp>VOLUME</stp>
        <stp>.SPXW260206P6725</stp>
        <tr r="N109" s="2"/>
      </tp>
      <tp t="s">
        <v>N/A</v>
        <stp/>
        <stp>VOLUME</stp>
        <stp>.SPXW260501P6755</stp>
        <tr r="R103" s="2"/>
      </tp>
      <tp>
        <v>114</v>
        <stp/>
        <stp>VOLUME</stp>
        <stp>.SPXW251205P6725</stp>
        <tr r="I109" s="2"/>
        <tr r="I109" s="2"/>
      </tp>
      <tp t="s">
        <v>N/A</v>
        <stp/>
        <stp>VOLUME</stp>
        <stp>.SPXW251212P6655</stp>
        <tr r="J123" s="2"/>
      </tp>
      <tp>
        <v>6280</v>
        <stp/>
        <stp>VOLUME</stp>
        <stp>.SPXW251110P6675</stp>
        <tr r="B119" s="2"/>
        <tr r="B119" s="2"/>
        <tr r="Q118" s="1"/>
        <tr r="Q118" s="1"/>
      </tp>
      <tp>
        <v>546</v>
        <stp/>
        <stp>VOLUME</stp>
        <stp>.SPXW251111P6665</stp>
        <tr r="C121" s="2"/>
        <tr r="C121" s="2"/>
      </tp>
      <tp>
        <v>176</v>
        <stp/>
        <stp>VOLUME</stp>
        <stp>.SPXW251112P6655</stp>
        <tr r="D123" s="2"/>
        <tr r="D123" s="2"/>
      </tp>
      <tp>
        <v>47</v>
        <stp/>
        <stp>VOLUME</stp>
        <stp>.SPXW251113P6645</stp>
        <tr r="E125" s="2"/>
        <tr r="E125" s="2"/>
      </tp>
      <tp>
        <v>512</v>
        <stp/>
        <stp>VOLUME</stp>
        <stp>.SPXW251114P6635</stp>
        <tr r="S126" s="1"/>
        <tr r="S126" s="1"/>
      </tp>
      <tp>
        <v>10</v>
        <stp/>
        <stp>VOLUME</stp>
        <stp>.SPXW251205P6720</stp>
        <tr r="I110" s="2"/>
        <tr r="I110" s="2"/>
      </tp>
      <tp>
        <v>25</v>
        <stp/>
        <stp>VOLUME</stp>
        <stp>.SPXW251212P6650</stp>
        <tr r="J124" s="2"/>
        <tr r="J124" s="2"/>
      </tp>
      <tp>
        <v>5489</v>
        <stp/>
        <stp>VOLUME</stp>
        <stp>.SPXW251110P6670</stp>
        <tr r="B120" s="2"/>
        <tr r="B120" s="2"/>
        <tr r="Q119" s="1"/>
        <tr r="Q119" s="1"/>
      </tp>
      <tp>
        <v>556</v>
        <stp/>
        <stp>VOLUME</stp>
        <stp>.SPXW251111P6660</stp>
        <tr r="C122" s="2"/>
        <tr r="C122" s="2"/>
      </tp>
      <tp>
        <v>880</v>
        <stp/>
        <stp>VOLUME</stp>
        <stp>.SPXW251112P6650</stp>
        <tr r="D124" s="2"/>
        <tr r="D124" s="2"/>
      </tp>
      <tp>
        <v>237</v>
        <stp/>
        <stp>VOLUME</stp>
        <stp>.SPXW251113P6640</stp>
        <tr r="E126" s="2"/>
        <tr r="E126" s="2"/>
      </tp>
      <tp>
        <v>640</v>
        <stp/>
        <stp>VOLUME</stp>
        <stp>.SPXW251114P6630</stp>
        <tr r="S127" s="1"/>
        <tr r="S127" s="1"/>
      </tp>
      <tp t="s">
        <v>N/A</v>
        <stp/>
        <stp>VOLUME</stp>
        <stp>.SPXW260206P6720</stp>
        <tr r="N110" s="2"/>
      </tp>
      <tp t="s">
        <v>N/A</v>
        <stp/>
        <stp>VOLUME</stp>
        <stp>.SPXW260501P6750</stp>
        <tr r="R104" s="2"/>
      </tp>
      <tp>
        <v>37</v>
        <stp/>
        <stp>OPEN_INT</stp>
        <stp>.NDXP251110C25200</stp>
        <tr r="H153" s="1"/>
        <tr r="H153" s="1"/>
      </tp>
      <tp>
        <v>63</v>
        <stp/>
        <stp>OPEN_INT</stp>
        <stp>.NDXP251114C25600</stp>
        <tr r="J137" s="1"/>
        <tr r="J137" s="1"/>
      </tp>
      <tp>
        <v>5</v>
        <stp/>
        <stp>OPEN_INT</stp>
        <stp>.NDXP251114C24600</stp>
        <tr r="J177" s="1"/>
        <tr r="J177" s="1"/>
      </tp>
      <tp t="s">
        <v>N/A</v>
        <stp/>
        <stp>OPEN_INT</stp>
        <stp>.NDXP251110C25225</stp>
        <tr r="H152" s="1"/>
      </tp>
      <tp>
        <v>2</v>
        <stp/>
        <stp>OPEN_INT</stp>
        <stp>.NDXP251114C24625</stp>
        <tr r="J176" s="1"/>
        <tr r="J176" s="1"/>
      </tp>
      <tp>
        <v>11</v>
        <stp/>
        <stp>OPEN_INT</stp>
        <stp>.NDXP251110C25250</stp>
        <tr r="H151" s="1"/>
        <tr r="H151" s="1"/>
      </tp>
      <tp>
        <v>2</v>
        <stp/>
        <stp>OPEN_INT</stp>
        <stp>.NDXP251114C24650</stp>
        <tr r="J175" s="1"/>
        <tr r="J175" s="1"/>
      </tp>
      <tp t="s">
        <v>N/A</v>
        <stp/>
        <stp>OPEN_INT</stp>
        <stp>.NDXP251110C25275</stp>
        <tr r="H150" s="1"/>
      </tp>
      <tp>
        <v>4</v>
        <stp/>
        <stp>OPEN_INT</stp>
        <stp>.NDXP251114C24675</stp>
        <tr r="J174" s="1"/>
        <tr r="J174" s="1"/>
      </tp>
      <tp t="s">
        <v>N/A</v>
        <stp/>
        <stp>OPEN_INT</stp>
        <stp>.NDXP251110P25225</stp>
        <tr r="I152" s="1"/>
      </tp>
      <tp>
        <v>68</v>
        <stp/>
        <stp>OPEN_INT</stp>
        <stp>.NDXP251114P24625</stp>
        <tr r="K176" s="1"/>
        <tr r="K176" s="1"/>
      </tp>
      <tp>
        <v>11</v>
        <stp/>
        <stp>OPEN_INT</stp>
        <stp>.NDXP251110P25200</stp>
        <tr r="I153" s="1"/>
        <tr r="I153" s="1"/>
      </tp>
      <tp>
        <v>29</v>
        <stp/>
        <stp>OPEN_INT</stp>
        <stp>.NDXP251114P25600</stp>
        <tr r="K137" s="1"/>
        <tr r="K137" s="1"/>
      </tp>
      <tp>
        <v>15</v>
        <stp/>
        <stp>OPEN_INT</stp>
        <stp>.NDXP251114P24600</stp>
        <tr r="K177" s="1"/>
        <tr r="K177" s="1"/>
      </tp>
      <tp t="s">
        <v>N/A</v>
        <stp/>
        <stp>OPEN_INT</stp>
        <stp>.NDXP251110P25275</stp>
        <tr r="I150" s="1"/>
      </tp>
      <tp>
        <v>4</v>
        <stp/>
        <stp>OPEN_INT</stp>
        <stp>.NDXP251114P24675</stp>
        <tr r="K174" s="1"/>
        <tr r="K174" s="1"/>
      </tp>
      <tp>
        <v>5</v>
        <stp/>
        <stp>OPEN_INT</stp>
        <stp>.NDXP251110P25250</stp>
        <tr r="I151" s="1"/>
        <tr r="I151" s="1"/>
      </tp>
      <tp>
        <v>5</v>
        <stp/>
        <stp>OPEN_INT</stp>
        <stp>.NDXP251114P24650</stp>
        <tr r="K175" s="1"/>
        <tr r="K175" s="1"/>
      </tp>
      <tp t="s">
        <v>N/A</v>
        <stp/>
        <stp>VOLUME</stp>
        <stp>.NDXP260828C25075</stp>
        <tr r="V159" s="2"/>
      </tp>
      <tp t="s">
        <v>N/A</v>
        <stp/>
        <stp>VOLUME</stp>
        <stp>.NDXP260501C24975</stp>
        <tr r="R163" s="2"/>
      </tp>
      <tp t="s">
        <v>N/A</v>
        <stp/>
        <stp>VOLUME</stp>
        <stp>.NDXP260109C25175</stp>
        <tr r="L155" s="2"/>
      </tp>
      <tp t="s">
        <v>N/A</v>
        <stp/>
        <stp>VOLUME</stp>
        <stp>.NDXP261030C24875</stp>
        <tr r="X167" s="2"/>
      </tp>
      <tp t="s">
        <v>N/A</v>
        <stp/>
        <stp>VOLUME</stp>
        <stp>.NDXP251112C24975</stp>
        <tr r="D163" s="2"/>
      </tp>
      <tp t="s">
        <v>N/A</v>
        <stp/>
        <stp>VOLUME</stp>
        <stp>.NDXP251113C24875</stp>
        <tr r="E167" s="2"/>
      </tp>
      <tp t="s">
        <v>N/A</v>
        <stp/>
        <stp>VOLUME</stp>
        <stp>.NDXP251212C24975</stp>
        <tr r="J163" s="2"/>
      </tp>
      <tp t="s">
        <v>N/A</v>
        <stp/>
        <stp>VOLUME</stp>
        <stp>.NDXP260828C25050</stp>
        <tr r="V160" s="2"/>
      </tp>
      <tp t="s">
        <v>N/A</v>
        <stp/>
        <stp>VOLUME</stp>
        <stp>.NDXP260109C25150</stp>
        <tr r="L156" s="2"/>
      </tp>
      <tp t="s">
        <v>N/A</v>
        <stp/>
        <stp>VOLUME</stp>
        <stp>.NDXP260501C24950</stp>
        <tr r="R164" s="2"/>
      </tp>
      <tp>
        <v>1</v>
        <stp/>
        <stp>VOLUME</stp>
        <stp>.NDXP251112C24950</stp>
        <tr r="D164" s="2"/>
        <tr r="D164" s="2"/>
      </tp>
      <tp>
        <v>1</v>
        <stp/>
        <stp>VOLUME</stp>
        <stp>.NDXP251113C24850</stp>
        <tr r="E168" s="2"/>
        <tr r="E168" s="2"/>
      </tp>
      <tp t="s">
        <v>N/A</v>
        <stp/>
        <stp>VOLUME</stp>
        <stp>.NDXP261030C24850</stp>
        <tr r="X168" s="2"/>
      </tp>
      <tp t="s">
        <v>N/A</v>
        <stp/>
        <stp>VOLUME</stp>
        <stp>.NDXP251212C24950</stp>
        <tr r="J164" s="2"/>
      </tp>
      <tp t="s">
        <v>N/A</v>
        <stp/>
        <stp>VOLUME</stp>
        <stp>.NDXP261030C24825</stp>
        <tr r="X169" s="2"/>
      </tp>
      <tp t="s">
        <v>N/A</v>
        <stp/>
        <stp>VOLUME</stp>
        <stp>.NDXP251112C24925</stp>
        <tr r="D165" s="2"/>
      </tp>
      <tp t="s">
        <v>N/A</v>
        <stp/>
        <stp>VOLUME</stp>
        <stp>.NDXP251113C24825</stp>
        <tr r="E169" s="2"/>
      </tp>
      <tp t="s">
        <v>N/A</v>
        <stp/>
        <stp>VOLUME</stp>
        <stp>.NDXP251212C24925</stp>
        <tr r="J165" s="2"/>
      </tp>
      <tp t="s">
        <v>N/A</v>
        <stp/>
        <stp>VOLUME</stp>
        <stp>.NDXP260828C25025</stp>
        <tr r="V161" s="2"/>
      </tp>
      <tp t="s">
        <v>N/A</v>
        <stp/>
        <stp>VOLUME</stp>
        <stp>.NDXP260501C24925</stp>
        <tr r="R165" s="2"/>
      </tp>
      <tp t="s">
        <v>N/A</v>
        <stp/>
        <stp>VOLUME</stp>
        <stp>.NDXP260109C25125</stp>
        <tr r="L157" s="2"/>
      </tp>
      <tp>
        <v>1</v>
        <stp/>
        <stp>VOLUME</stp>
        <stp>.NDXP251112C24900</stp>
        <tr r="D166" s="2"/>
        <tr r="D166" s="2"/>
      </tp>
      <tp>
        <v>2</v>
        <stp/>
        <stp>VOLUME</stp>
        <stp>.NDXP251113C24800</stp>
        <tr r="E170" s="2"/>
        <tr r="E170" s="2"/>
      </tp>
      <tp t="s">
        <v>N/A</v>
        <stp/>
        <stp>VOLUME</stp>
        <stp>.NDXP261030C24800</stp>
        <tr r="X170" s="2"/>
      </tp>
      <tp t="s">
        <v>N/A</v>
        <stp/>
        <stp>VOLUME</stp>
        <stp>.NDXP251212C24900</stp>
        <tr r="J166" s="2"/>
      </tp>
      <tp t="s">
        <v>N/A</v>
        <stp/>
        <stp>VOLUME</stp>
        <stp>.NDXP260828C25000</stp>
        <tr r="V162" s="2"/>
      </tp>
      <tp t="s">
        <v>N/A</v>
        <stp/>
        <stp>VOLUME</stp>
        <stp>.NDXP260109C25100</stp>
        <tr r="L158" s="2"/>
      </tp>
      <tp t="s">
        <v>N/A</v>
        <stp/>
        <stp>VOLUME</stp>
        <stp>.NDXP260501C24900</stp>
        <tr r="R166" s="2"/>
      </tp>
      <tp>
        <v>8</v>
        <stp/>
        <stp>VOLUME</stp>
        <stp>.SPXW251219C6715</stp>
        <tr r="K111" s="2"/>
        <tr r="K111" s="2"/>
      </tp>
      <tp>
        <v>2555</v>
        <stp/>
        <stp>VOLUME</stp>
        <stp>.SPXW251110C6785</stp>
        <tr r="B97" s="2"/>
        <tr r="B97" s="2"/>
        <tr r="P96" s="1"/>
        <tr r="P96" s="1"/>
      </tp>
      <tp>
        <v>351</v>
        <stp/>
        <stp>VOLUME</stp>
        <stp>.SPXW251111C6795</stp>
        <tr r="C95" s="2"/>
        <tr r="C95" s="2"/>
      </tp>
      <tp t="s">
        <v>N/A</v>
        <stp/>
        <stp>VOLUME</stp>
        <stp>.SPXW260109C6625</stp>
        <tr r="L129" s="2"/>
      </tp>
      <tp t="s">
        <v>N/A</v>
        <stp/>
        <stp>VOLUME</stp>
        <stp>.SPXW260109C6620</stp>
        <tr r="L130" s="2"/>
      </tp>
      <tp>
        <v>190</v>
        <stp/>
        <stp>VOLUME</stp>
        <stp>.SPXW251219C6710</stp>
        <tr r="K112" s="2"/>
        <tr r="K112" s="2"/>
      </tp>
      <tp>
        <v>4833</v>
        <stp/>
        <stp>VOLUME</stp>
        <stp>.SPXW251110C6780</stp>
        <tr r="B98" s="2"/>
        <tr r="B98" s="2"/>
        <tr r="P97" s="1"/>
        <tr r="P97" s="1"/>
      </tp>
      <tp>
        <v>433</v>
        <stp/>
        <stp>VOLUME</stp>
        <stp>.SPXW251111C6790</stp>
        <tr r="C96" s="2"/>
        <tr r="C96" s="2"/>
      </tp>
      <tp t="s">
        <v>N/A</v>
        <stp/>
        <stp>VOLUME</stp>
        <stp>.SPXW260109P6625</stp>
        <tr r="L129" s="2"/>
      </tp>
      <tp>
        <v>17</v>
        <stp/>
        <stp>VOLUME</stp>
        <stp>.SPXW251219P6715</stp>
        <tr r="K111" s="2"/>
        <tr r="K111" s="2"/>
      </tp>
      <tp>
        <v>637</v>
        <stp/>
        <stp>VOLUME</stp>
        <stp>.SPXW251110P6785</stp>
        <tr r="B97" s="2"/>
        <tr r="B97" s="2"/>
        <tr r="Q96" s="1"/>
        <tr r="Q96" s="1"/>
      </tp>
      <tp>
        <v>16</v>
        <stp/>
        <stp>VOLUME</stp>
        <stp>.SPXW251111P6795</stp>
        <tr r="C95" s="2"/>
        <tr r="C95" s="2"/>
      </tp>
      <tp>
        <v>198</v>
        <stp/>
        <stp>VOLUME</stp>
        <stp>.SPXW251219P6710</stp>
        <tr r="K112" s="2"/>
        <tr r="K112" s="2"/>
      </tp>
      <tp>
        <v>1161</v>
        <stp/>
        <stp>VOLUME</stp>
        <stp>.SPXW251110P6780</stp>
        <tr r="B98" s="2"/>
        <tr r="B98" s="2"/>
        <tr r="Q97" s="1"/>
        <tr r="Q97" s="1"/>
      </tp>
      <tp>
        <v>51</v>
        <stp/>
        <stp>VOLUME</stp>
        <stp>.SPXW251111P6790</stp>
        <tr r="C96" s="2"/>
        <tr r="C96" s="2"/>
      </tp>
      <tp t="s">
        <v>N/A</v>
        <stp/>
        <stp>VOLUME</stp>
        <stp>.SPXW260109P6620</stp>
        <tr r="L130" s="2"/>
      </tp>
      <tp>
        <v>8</v>
        <stp/>
        <stp>VOLUME</stp>
        <stp>.SPXW251219C6705</stp>
        <tr r="K113" s="2"/>
        <tr r="K113" s="2"/>
      </tp>
      <tp>
        <v>1894</v>
        <stp/>
        <stp>VOLUME</stp>
        <stp>.SPXW251110C6795</stp>
        <tr r="B95" s="2"/>
        <tr r="B95" s="2"/>
        <tr r="P94" s="1"/>
        <tr r="P94" s="1"/>
      </tp>
      <tp>
        <v>582</v>
        <stp/>
        <stp>VOLUME</stp>
        <stp>.SPXW251111C6785</stp>
        <tr r="C97" s="2"/>
        <tr r="C97" s="2"/>
      </tp>
      <tp t="s">
        <v>N/A</v>
        <stp/>
        <stp>VOLUME</stp>
        <stp>.SPXW260109C6635</stp>
        <tr r="L127" s="2"/>
      </tp>
      <tp t="s">
        <v>N/A</v>
        <stp/>
        <stp>VOLUME</stp>
        <stp>.SPXW260109C6630</stp>
        <tr r="L128" s="2"/>
      </tp>
      <tp>
        <v>225</v>
        <stp/>
        <stp>VOLUME</stp>
        <stp>.SPXW251219C6700</stp>
        <tr r="K114" s="2"/>
        <tr r="K114" s="2"/>
      </tp>
      <tp>
        <v>2575</v>
        <stp/>
        <stp>VOLUME</stp>
        <stp>.SPXW251110C6790</stp>
        <tr r="B96" s="2"/>
        <tr r="B96" s="2"/>
        <tr r="P95" s="1"/>
        <tr r="P95" s="1"/>
      </tp>
      <tp>
        <v>570</v>
        <stp/>
        <stp>VOLUME</stp>
        <stp>.SPXW251111C6780</stp>
        <tr r="C98" s="2"/>
        <tr r="C98" s="2"/>
      </tp>
      <tp t="s">
        <v>N/A</v>
        <stp/>
        <stp>VOLUME</stp>
        <stp>.SPXW260109P6635</stp>
        <tr r="L127" s="2"/>
      </tp>
      <tp>
        <v>23</v>
        <stp/>
        <stp>VOLUME</stp>
        <stp>.SPXW251219P6705</stp>
        <tr r="K113" s="2"/>
        <tr r="K113" s="2"/>
      </tp>
      <tp>
        <v>159</v>
        <stp/>
        <stp>VOLUME</stp>
        <stp>.SPXW251110P6795</stp>
        <tr r="B95" s="2"/>
        <tr r="B95" s="2"/>
        <tr r="Q94" s="1"/>
        <tr r="Q94" s="1"/>
      </tp>
      <tp>
        <v>45</v>
        <stp/>
        <stp>VOLUME</stp>
        <stp>.SPXW251111P6785</stp>
        <tr r="C97" s="2"/>
        <tr r="C97" s="2"/>
      </tp>
      <tp>
        <v>63</v>
        <stp/>
        <stp>VOLUME</stp>
        <stp>.SPXW251219P6700</stp>
        <tr r="K114" s="2"/>
        <tr r="K114" s="2"/>
      </tp>
      <tp>
        <v>265</v>
        <stp/>
        <stp>VOLUME</stp>
        <stp>.SPXW251110P6790</stp>
        <tr r="B96" s="2"/>
        <tr r="B96" s="2"/>
        <tr r="Q95" s="1"/>
        <tr r="Q95" s="1"/>
      </tp>
      <tp>
        <v>203</v>
        <stp/>
        <stp>VOLUME</stp>
        <stp>.SPXW251111P6780</stp>
        <tr r="C98" s="2"/>
        <tr r="C98" s="2"/>
      </tp>
      <tp t="s">
        <v>N/A</v>
        <stp/>
        <stp>VOLUME</stp>
        <stp>.SPXW260109P6630</stp>
        <tr r="L128" s="2"/>
      </tp>
      <tp t="s">
        <v>N/A</v>
        <stp/>
        <stp>VOLUME</stp>
        <stp>.SPXW251212C6785</stp>
        <tr r="J97" s="2"/>
      </tp>
      <tp>
        <v>11</v>
        <stp/>
        <stp>VOLUME</stp>
        <stp>.SPXW251219C6735</stp>
        <tr r="K107" s="2"/>
        <tr r="K107" s="2"/>
      </tp>
      <tp>
        <v>367</v>
        <stp/>
        <stp>VOLUME</stp>
        <stp>.SPXW251112C6785</stp>
        <tr r="D97" s="2"/>
        <tr r="D97" s="2"/>
      </tp>
      <tp>
        <v>259</v>
        <stp/>
        <stp>VOLUME</stp>
        <stp>.SPXW251113C6795</stp>
        <tr r="E95" s="2"/>
        <tr r="E95" s="2"/>
      </tp>
      <tp t="s">
        <v>N/A</v>
        <stp/>
        <stp>VOLUME</stp>
        <stp>.SPXW260501C6685</stp>
        <tr r="R117" s="2"/>
      </tp>
      <tp t="s">
        <v>N/A</v>
        <stp/>
        <stp>VOLUME</stp>
        <stp>.SPXW260501C6680</stp>
        <tr r="R118" s="2"/>
      </tp>
      <tp>
        <v>33</v>
        <stp/>
        <stp>VOLUME</stp>
        <stp>.SPXW251212C6780</stp>
        <tr r="J98" s="2"/>
        <tr r="J98" s="2"/>
      </tp>
      <tp>
        <v>12</v>
        <stp/>
        <stp>VOLUME</stp>
        <stp>.SPXW251219C6730</stp>
        <tr r="K108" s="2"/>
        <tr r="K108" s="2"/>
      </tp>
      <tp>
        <v>539</v>
        <stp/>
        <stp>VOLUME</stp>
        <stp>.SPXW251112C6780</stp>
        <tr r="D98" s="2"/>
        <tr r="D98" s="2"/>
      </tp>
      <tp>
        <v>152</v>
        <stp/>
        <stp>VOLUME</stp>
        <stp>.SPXW251113C6790</stp>
        <tr r="E96" s="2"/>
        <tr r="E96" s="2"/>
      </tp>
      <tp t="s">
        <v>N/A</v>
        <stp/>
        <stp>VOLUME</stp>
        <stp>.SPXW260501P6685</stp>
        <tr r="R117" s="2"/>
      </tp>
      <tp t="s">
        <v>N/A</v>
        <stp/>
        <stp>VOLUME</stp>
        <stp>.SPXW251212P6785</stp>
        <tr r="J97" s="2"/>
      </tp>
      <tp>
        <v>5</v>
        <stp/>
        <stp>VOLUME</stp>
        <stp>.SPXW251219P6735</stp>
        <tr r="K107" s="2"/>
        <tr r="K107" s="2"/>
      </tp>
      <tp>
        <v>216</v>
        <stp/>
        <stp>VOLUME</stp>
        <stp>.SPXW251112P6785</stp>
        <tr r="D97" s="2"/>
        <tr r="D97" s="2"/>
      </tp>
      <tp>
        <v>14</v>
        <stp/>
        <stp>VOLUME</stp>
        <stp>.SPXW251113P6795</stp>
        <tr r="E95" s="2"/>
        <tr r="E95" s="2"/>
      </tp>
      <tp>
        <v>3</v>
        <stp/>
        <stp>VOLUME</stp>
        <stp>.SPXW251212P6780</stp>
        <tr r="J98" s="2"/>
        <tr r="J98" s="2"/>
      </tp>
      <tp>
        <v>25</v>
        <stp/>
        <stp>VOLUME</stp>
        <stp>.SPXW251219P6730</stp>
        <tr r="K108" s="2"/>
        <tr r="K108" s="2"/>
      </tp>
      <tp>
        <v>23</v>
        <stp/>
        <stp>VOLUME</stp>
        <stp>.SPXW251112P6780</stp>
        <tr r="D98" s="2"/>
        <tr r="D98" s="2"/>
      </tp>
      <tp>
        <v>22</v>
        <stp/>
        <stp>VOLUME</stp>
        <stp>.SPXW251113P6790</stp>
        <tr r="E96" s="2"/>
        <tr r="E96" s="2"/>
      </tp>
      <tp t="s">
        <v>N/A</v>
        <stp/>
        <stp>VOLUME</stp>
        <stp>.SPXW260501P6680</stp>
        <tr r="R118" s="2"/>
      </tp>
      <tp t="s">
        <v>N/A</v>
        <stp/>
        <stp>VOLUME</stp>
        <stp>.SPXW251212C6795</stp>
        <tr r="J95" s="2"/>
      </tp>
      <tp>
        <v>10</v>
        <stp/>
        <stp>VOLUME</stp>
        <stp>.SPXW251219C6725</stp>
        <tr r="K109" s="2"/>
        <tr r="K109" s="2"/>
      </tp>
      <tp>
        <v>293</v>
        <stp/>
        <stp>VOLUME</stp>
        <stp>.SPXW251112C6795</stp>
        <tr r="D95" s="2"/>
        <tr r="D95" s="2"/>
      </tp>
      <tp>
        <v>245</v>
        <stp/>
        <stp>VOLUME</stp>
        <stp>.SPXW251113C6785</stp>
        <tr r="E97" s="2"/>
        <tr r="E97" s="2"/>
      </tp>
      <tp t="s">
        <v>N/A</v>
        <stp/>
        <stp>VOLUME</stp>
        <stp>.SPXW260109C6615</stp>
        <tr r="L131" s="2"/>
      </tp>
      <tp t="s">
        <v>N/A</v>
        <stp/>
        <stp>VOLUME</stp>
        <stp>.SPXW260501C6695</stp>
        <tr r="R115" s="2"/>
      </tp>
      <tp t="s">
        <v>N/A</v>
        <stp/>
        <stp>VOLUME</stp>
        <stp>.SPXW260501C6690</stp>
        <tr r="R116" s="2"/>
      </tp>
      <tp>
        <v>18</v>
        <stp/>
        <stp>VOLUME</stp>
        <stp>.SPXW251212C6790</stp>
        <tr r="J96" s="2"/>
        <tr r="J96" s="2"/>
      </tp>
      <tp>
        <v>14</v>
        <stp/>
        <stp>VOLUME</stp>
        <stp>.SPXW251219C6720</stp>
        <tr r="K110" s="2"/>
        <tr r="K110" s="2"/>
      </tp>
      <tp>
        <v>370</v>
        <stp/>
        <stp>VOLUME</stp>
        <stp>.SPXW251112C6790</stp>
        <tr r="D96" s="2"/>
        <tr r="D96" s="2"/>
      </tp>
      <tp>
        <v>291</v>
        <stp/>
        <stp>VOLUME</stp>
        <stp>.SPXW251113C6780</stp>
        <tr r="E98" s="2"/>
        <tr r="E98" s="2"/>
      </tp>
      <tp t="s">
        <v>N/A</v>
        <stp/>
        <stp>VOLUME</stp>
        <stp>.SPXW260109P6615</stp>
        <tr r="L131" s="2"/>
      </tp>
      <tp t="s">
        <v>N/A</v>
        <stp/>
        <stp>VOLUME</stp>
        <stp>.SPXW260501P6695</stp>
        <tr r="R115" s="2"/>
      </tp>
      <tp t="s">
        <v>N/A</v>
        <stp/>
        <stp>VOLUME</stp>
        <stp>.SPXW251212P6795</stp>
        <tr r="J95" s="2"/>
      </tp>
      <tp>
        <v>2</v>
        <stp/>
        <stp>VOLUME</stp>
        <stp>.SPXW251219P6725</stp>
        <tr r="K109" s="2"/>
        <tr r="K109" s="2"/>
      </tp>
      <tp>
        <v>411</v>
        <stp/>
        <stp>VOLUME</stp>
        <stp>.SPXW251112P6795</stp>
        <tr r="D95" s="2"/>
        <tr r="D95" s="2"/>
      </tp>
      <tp>
        <v>12</v>
        <stp/>
        <stp>VOLUME</stp>
        <stp>.SPXW251113P6785</stp>
        <tr r="E97" s="2"/>
        <tr r="E97" s="2"/>
      </tp>
      <tp>
        <v>13</v>
        <stp/>
        <stp>VOLUME</stp>
        <stp>.SPXW251212P6790</stp>
        <tr r="J96" s="2"/>
        <tr r="J96" s="2"/>
      </tp>
      <tp>
        <v>8</v>
        <stp/>
        <stp>VOLUME</stp>
        <stp>.SPXW251219P6720</stp>
        <tr r="K110" s="2"/>
        <tr r="K110" s="2"/>
      </tp>
      <tp>
        <v>40</v>
        <stp/>
        <stp>VOLUME</stp>
        <stp>.SPXW251112P6790</stp>
        <tr r="D96" s="2"/>
        <tr r="D96" s="2"/>
      </tp>
      <tp>
        <v>22</v>
        <stp/>
        <stp>VOLUME</stp>
        <stp>.SPXW251113P6780</stp>
        <tr r="E98" s="2"/>
        <tr r="E98" s="2"/>
      </tp>
      <tp t="s">
        <v>N/A</v>
        <stp/>
        <stp>VOLUME</stp>
        <stp>.SPXW260501P6690</stp>
        <tr r="R116" s="2"/>
      </tp>
      <tp>
        <v>13</v>
        <stp/>
        <stp>VOLUME</stp>
        <stp>.SPXW251205C6695</stp>
        <tr r="I115" s="2"/>
        <tr r="I115" s="2"/>
      </tp>
      <tp>
        <v>11</v>
        <stp/>
        <stp>VOLUME</stp>
        <stp>.SPXW251219C6755</stp>
        <tr r="K103" s="2"/>
        <tr r="K103" s="2"/>
      </tp>
      <tp>
        <v>556</v>
        <stp/>
        <stp>VOLUME</stp>
        <stp>.SPXW251114C6785</stp>
        <tr r="R96" s="1"/>
        <tr r="R96" s="1"/>
      </tp>
      <tp t="s">
        <v>N/A</v>
        <stp/>
        <stp>VOLUME</stp>
        <stp>.SPXW260206C6695</stp>
        <tr r="N115" s="2"/>
      </tp>
      <tp t="s">
        <v>N/A</v>
        <stp/>
        <stp>VOLUME</stp>
        <stp>.SPXW260109C6665</stp>
        <tr r="L121" s="2"/>
      </tp>
      <tp t="s">
        <v>N/A</v>
        <stp/>
        <stp>VOLUME</stp>
        <stp>.SPXW260206C6690</stp>
        <tr r="N116" s="2"/>
      </tp>
      <tp t="s">
        <v>N/A</v>
        <stp/>
        <stp>VOLUME</stp>
        <stp>.SPXW260109C6660</stp>
        <tr r="L122" s="2"/>
      </tp>
      <tp>
        <v>33</v>
        <stp/>
        <stp>VOLUME</stp>
        <stp>.SPXW251205C6690</stp>
        <tr r="I116" s="2"/>
        <tr r="I116" s="2"/>
      </tp>
      <tp>
        <v>111</v>
        <stp/>
        <stp>VOLUME</stp>
        <stp>.SPXW251219C6750</stp>
        <tr r="K104" s="2"/>
        <tr r="K104" s="2"/>
      </tp>
      <tp>
        <v>560</v>
        <stp/>
        <stp>VOLUME</stp>
        <stp>.SPXW251114C6780</stp>
        <tr r="R97" s="1"/>
        <tr r="R97" s="1"/>
      </tp>
      <tp t="s">
        <v>N/A</v>
        <stp/>
        <stp>VOLUME</stp>
        <stp>.SPXW260206P6695</stp>
        <tr r="N115" s="2"/>
      </tp>
      <tp t="s">
        <v>N/A</v>
        <stp/>
        <stp>VOLUME</stp>
        <stp>.SPXW260109P6665</stp>
        <tr r="L121" s="2"/>
      </tp>
      <tp>
        <v>2</v>
        <stp/>
        <stp>VOLUME</stp>
        <stp>.SPXW251205P6695</stp>
        <tr r="I115" s="2"/>
        <tr r="I115" s="2"/>
      </tp>
      <tp>
        <v>10</v>
        <stp/>
        <stp>VOLUME</stp>
        <stp>.SPXW251219P6755</stp>
        <tr r="K103" s="2"/>
        <tr r="K103" s="2"/>
      </tp>
      <tp>
        <v>37</v>
        <stp/>
        <stp>VOLUME</stp>
        <stp>.SPXW251114P6785</stp>
        <tr r="S96" s="1"/>
        <tr r="S96" s="1"/>
      </tp>
      <tp>
        <v>15</v>
        <stp/>
        <stp>VOLUME</stp>
        <stp>.SPXW251205P6690</stp>
        <tr r="I116" s="2"/>
        <tr r="I116" s="2"/>
      </tp>
      <tp>
        <v>33</v>
        <stp/>
        <stp>VOLUME</stp>
        <stp>.SPXW251219P6750</stp>
        <tr r="K104" s="2"/>
        <tr r="K104" s="2"/>
      </tp>
      <tp>
        <v>52</v>
        <stp/>
        <stp>VOLUME</stp>
        <stp>.SPXW251114P6780</stp>
        <tr r="S97" s="1"/>
        <tr r="S97" s="1"/>
      </tp>
      <tp t="s">
        <v>N/A</v>
        <stp/>
        <stp>VOLUME</stp>
        <stp>.SPXW260206P6690</stp>
        <tr r="N116" s="2"/>
      </tp>
      <tp t="s">
        <v>N/A</v>
        <stp/>
        <stp>VOLUME</stp>
        <stp>.SPXW260109P6660</stp>
        <tr r="L122" s="2"/>
      </tp>
      <tp>
        <v>5</v>
        <stp/>
        <stp>VOLUME</stp>
        <stp>.SPXW251205C6685</stp>
        <tr r="I117" s="2"/>
        <tr r="I117" s="2"/>
      </tp>
      <tp>
        <v>15</v>
        <stp/>
        <stp>VOLUME</stp>
        <stp>.SPXW251219C6745</stp>
        <tr r="K105" s="2"/>
        <tr r="K105" s="2"/>
      </tp>
      <tp>
        <v>347</v>
        <stp/>
        <stp>VOLUME</stp>
        <stp>.SPXW251114C6795</stp>
        <tr r="R94" s="1"/>
        <tr r="R94" s="1"/>
      </tp>
      <tp t="s">
        <v>N/A</v>
        <stp/>
        <stp>VOLUME</stp>
        <stp>.SPXW260206C6685</stp>
        <tr r="N117" s="2"/>
      </tp>
      <tp t="s">
        <v>N/A</v>
        <stp/>
        <stp>VOLUME</stp>
        <stp>.SPXW260109C6675</stp>
        <tr r="L119" s="2"/>
      </tp>
      <tp t="s">
        <v>N/A</v>
        <stp/>
        <stp>VOLUME</stp>
        <stp>.SPXW260206C6680</stp>
        <tr r="N118" s="2"/>
      </tp>
      <tp t="s">
        <v>N/A</v>
        <stp/>
        <stp>VOLUME</stp>
        <stp>.SPXW260109C6670</stp>
        <tr r="L120" s="2"/>
      </tp>
      <tp>
        <v>30</v>
        <stp/>
        <stp>VOLUME</stp>
        <stp>.SPXW251205C6680</stp>
        <tr r="I118" s="2"/>
        <tr r="I118" s="2"/>
      </tp>
      <tp>
        <v>10</v>
        <stp/>
        <stp>VOLUME</stp>
        <stp>.SPXW251219C6740</stp>
        <tr r="K106" s="2"/>
        <tr r="K106" s="2"/>
      </tp>
      <tp>
        <v>551</v>
        <stp/>
        <stp>VOLUME</stp>
        <stp>.SPXW251114C6790</stp>
        <tr r="R95" s="1"/>
        <tr r="R95" s="1"/>
      </tp>
      <tp t="s">
        <v>N/A</v>
        <stp/>
        <stp>VOLUME</stp>
        <stp>.SPXW260206P6685</stp>
        <tr r="N117" s="2"/>
      </tp>
      <tp t="s">
        <v>N/A</v>
        <stp/>
        <stp>VOLUME</stp>
        <stp>.SPXW260109P6675</stp>
        <tr r="L119" s="2"/>
      </tp>
      <tp>
        <v>5</v>
        <stp/>
        <stp>VOLUME</stp>
        <stp>.SPXW251205P6685</stp>
        <tr r="I117" s="2"/>
        <tr r="I117" s="2"/>
      </tp>
      <tp>
        <v>12</v>
        <stp/>
        <stp>VOLUME</stp>
        <stp>.SPXW251219P6745</stp>
        <tr r="K105" s="2"/>
        <tr r="K105" s="2"/>
      </tp>
      <tp>
        <v>276</v>
        <stp/>
        <stp>VOLUME</stp>
        <stp>.SPXW251114P6795</stp>
        <tr r="S94" s="1"/>
        <tr r="S94" s="1"/>
      </tp>
      <tp>
        <v>777</v>
        <stp/>
        <stp>VOLUME</stp>
        <stp>.SPXW251205P6680</stp>
        <tr r="I118" s="2"/>
        <tr r="I118" s="2"/>
      </tp>
      <tp>
        <v>23</v>
        <stp/>
        <stp>VOLUME</stp>
        <stp>.SPXW251219P6740</stp>
        <tr r="K106" s="2"/>
        <tr r="K106" s="2"/>
      </tp>
      <tp>
        <v>54</v>
        <stp/>
        <stp>VOLUME</stp>
        <stp>.SPXW251114P6790</stp>
        <tr r="S95" s="1"/>
        <tr r="S95" s="1"/>
      </tp>
      <tp t="s">
        <v>N/A</v>
        <stp/>
        <stp>VOLUME</stp>
        <stp>.SPXW260206P6680</stp>
        <tr r="N118" s="2"/>
      </tp>
      <tp t="s">
        <v>N/A</v>
        <stp/>
        <stp>VOLUME</stp>
        <stp>.SPXW260109P6670</stp>
        <tr r="L120" s="2"/>
      </tp>
      <tp>
        <v>21</v>
        <stp/>
        <stp>VOLUME</stp>
        <stp>.SPXW251219C6775</stp>
        <tr r="K99" s="2"/>
        <tr r="K99" s="2"/>
      </tp>
      <tp t="s">
        <v>N/A</v>
        <stp/>
        <stp>VOLUME</stp>
        <stp>.SPXW260109C6645</stp>
        <tr r="L125" s="2"/>
      </tp>
      <tp t="s">
        <v>N/A</v>
        <stp/>
        <stp>VOLUME</stp>
        <stp>.SPXW260109C6640</stp>
        <tr r="L126" s="2"/>
      </tp>
      <tp>
        <v>40</v>
        <stp/>
        <stp>VOLUME</stp>
        <stp>.SPXW251219C6770</stp>
        <tr r="K100" s="2"/>
        <tr r="K100" s="2"/>
      </tp>
      <tp t="s">
        <v>N/A</v>
        <stp/>
        <stp>VOLUME</stp>
        <stp>.SPXW260109P6645</stp>
        <tr r="L125" s="2"/>
      </tp>
      <tp>
        <v>7</v>
        <stp/>
        <stp>VOLUME</stp>
        <stp>.SPXW251219P6775</stp>
        <tr r="K99" s="2"/>
        <tr r="K99" s="2"/>
      </tp>
      <tp>
        <v>38</v>
        <stp/>
        <stp>VOLUME</stp>
        <stp>.SPXW251219P6770</stp>
        <tr r="K100" s="2"/>
        <tr r="K100" s="2"/>
      </tp>
      <tp t="s">
        <v>N/A</v>
        <stp/>
        <stp>VOLUME</stp>
        <stp>.SPXW260109P6640</stp>
        <tr r="L126" s="2"/>
      </tp>
      <tp>
        <v>33</v>
        <stp/>
        <stp>VOLUME</stp>
        <stp>.SPXW251219C6765</stp>
        <tr r="K101" s="2"/>
        <tr r="K101" s="2"/>
      </tp>
      <tp t="s">
        <v>N/A</v>
        <stp/>
        <stp>VOLUME</stp>
        <stp>.SPXW260109C6655</stp>
        <tr r="L123" s="2"/>
      </tp>
      <tp t="s">
        <v>N/A</v>
        <stp/>
        <stp>VOLUME</stp>
        <stp>.SPXW260109C6650</stp>
        <tr r="L124" s="2"/>
      </tp>
      <tp>
        <v>74</v>
        <stp/>
        <stp>VOLUME</stp>
        <stp>.SPXW251219C6760</stp>
        <tr r="K102" s="2"/>
        <tr r="K102" s="2"/>
      </tp>
      <tp t="s">
        <v>N/A</v>
        <stp/>
        <stp>VOLUME</stp>
        <stp>.SPXW260109P6655</stp>
        <tr r="L123" s="2"/>
      </tp>
      <tp t="s">
        <v>N/A</v>
        <stp/>
        <stp>VOLUME</stp>
        <stp>.SPXW251219P6765</stp>
        <tr r="K101" s="2"/>
      </tp>
      <tp>
        <v>15</v>
        <stp/>
        <stp>VOLUME</stp>
        <stp>.SPXW251219P6760</stp>
        <tr r="K102" s="2"/>
        <tr r="K102" s="2"/>
      </tp>
      <tp t="s">
        <v>N/A</v>
        <stp/>
        <stp>VOLUME</stp>
        <stp>.SPXW260109P6650</stp>
        <tr r="L124" s="2"/>
      </tp>
      <tp>
        <v>2</v>
        <stp/>
        <stp>VOLUME</stp>
        <stp>.NDXP251112P24950</stp>
        <tr r="D164" s="2"/>
        <tr r="D164" s="2"/>
      </tp>
      <tp>
        <v>1</v>
        <stp/>
        <stp>VOLUME</stp>
        <stp>.NDXP251113P24850</stp>
        <tr r="E168" s="2"/>
        <tr r="E168" s="2"/>
      </tp>
      <tp t="s">
        <v>N/A</v>
        <stp/>
        <stp>VOLUME</stp>
        <stp>.NDXP261030P24850</stp>
        <tr r="X168" s="2"/>
      </tp>
      <tp t="s">
        <v>N/A</v>
        <stp/>
        <stp>VOLUME</stp>
        <stp>.NDXP251212P24950</stp>
        <tr r="J164" s="2"/>
      </tp>
      <tp>
        <v>14</v>
        <stp/>
        <stp>VOLUME</stp>
        <stp>.SPXW251205C6655</stp>
        <tr r="I123" s="2"/>
        <tr r="I123" s="2"/>
      </tp>
      <tp>
        <v>15</v>
        <stp/>
        <stp>VOLUME</stp>
        <stp>.SPXW251212C6725</stp>
        <tr r="J109" s="2"/>
        <tr r="J109" s="2"/>
      </tp>
      <tp>
        <v>50</v>
        <stp/>
        <stp>VOLUME</stp>
        <stp>.SPXW251219C6795</stp>
        <tr r="K95" s="2"/>
        <tr r="K95" s="2"/>
      </tp>
      <tp>
        <v>2302</v>
        <stp/>
        <stp>VOLUME</stp>
        <stp>.SPXW251110C6705</stp>
        <tr r="B113" s="2"/>
        <tr r="B113" s="2"/>
        <tr r="P112" s="1"/>
        <tr r="P112" s="1"/>
      </tp>
      <tp>
        <v>335</v>
        <stp/>
        <stp>VOLUME</stp>
        <stp>.SPXW251111C6715</stp>
        <tr r="C111" s="2"/>
        <tr r="C111" s="2"/>
      </tp>
      <tp>
        <v>376</v>
        <stp/>
        <stp>VOLUME</stp>
        <stp>.SPXW251112C6725</stp>
        <tr r="D109" s="2"/>
        <tr r="D109" s="2"/>
      </tp>
      <tp>
        <v>133</v>
        <stp/>
        <stp>VOLUME</stp>
        <stp>.SPXW251113C6735</stp>
        <tr r="E107" s="2"/>
        <tr r="E107" s="2"/>
      </tp>
      <tp>
        <v>297</v>
        <stp/>
        <stp>VOLUME</stp>
        <stp>.SPXW251114C6745</stp>
        <tr r="R104" s="1"/>
        <tr r="R104" s="1"/>
      </tp>
      <tp t="s">
        <v>N/A</v>
        <stp/>
        <stp>VOLUME</stp>
        <stp>.SPXW260206C6655</stp>
        <tr r="N123" s="2"/>
      </tp>
      <tp t="s">
        <v>N/A</v>
        <stp/>
        <stp>VOLUME</stp>
        <stp>.SPXW260501C6625</stp>
        <tr r="R129" s="2"/>
      </tp>
      <tp t="s">
        <v>N/A</v>
        <stp/>
        <stp>VOLUME</stp>
        <stp>.SPXW260206C6650</stp>
        <tr r="N124" s="2"/>
      </tp>
      <tp t="s">
        <v>N/A</v>
        <stp/>
        <stp>VOLUME</stp>
        <stp>.SPXW260501C6620</stp>
        <tr r="R130" s="2"/>
      </tp>
      <tp>
        <v>29</v>
        <stp/>
        <stp>VOLUME</stp>
        <stp>.SPXW251205C6650</stp>
        <tr r="I124" s="2"/>
        <tr r="I124" s="2"/>
      </tp>
      <tp>
        <v>7</v>
        <stp/>
        <stp>VOLUME</stp>
        <stp>.SPXW251212C6720</stp>
        <tr r="J110" s="2"/>
        <tr r="J110" s="2"/>
      </tp>
      <tp>
        <v>43</v>
        <stp/>
        <stp>VOLUME</stp>
        <stp>.SPXW251219C6790</stp>
        <tr r="K96" s="2"/>
        <tr r="K96" s="2"/>
      </tp>
      <tp>
        <v>10763</v>
        <stp/>
        <stp>VOLUME</stp>
        <stp>.SPXW251110C6700</stp>
        <tr r="B114" s="2"/>
        <tr r="B114" s="2"/>
        <tr r="P113" s="1"/>
        <tr r="P113" s="1"/>
      </tp>
      <tp>
        <v>551</v>
        <stp/>
        <stp>VOLUME</stp>
        <stp>.SPXW251111C6710</stp>
        <tr r="C112" s="2"/>
        <tr r="C112" s="2"/>
      </tp>
      <tp>
        <v>286</v>
        <stp/>
        <stp>VOLUME</stp>
        <stp>.SPXW251112C6720</stp>
        <tr r="D110" s="2"/>
        <tr r="D110" s="2"/>
      </tp>
      <tp>
        <v>55</v>
        <stp/>
        <stp>VOLUME</stp>
        <stp>.SPXW251113C6730</stp>
        <tr r="E108" s="2"/>
        <tr r="E108" s="2"/>
      </tp>
      <tp>
        <v>259</v>
        <stp/>
        <stp>VOLUME</stp>
        <stp>.SPXW251114C6740</stp>
        <tr r="R105" s="1"/>
        <tr r="R105" s="1"/>
      </tp>
      <tp t="s">
        <v>N/A</v>
        <stp/>
        <stp>VOLUME</stp>
        <stp>.SPXW260206P6655</stp>
        <tr r="N123" s="2"/>
      </tp>
      <tp t="s">
        <v>N/A</v>
        <stp/>
        <stp>VOLUME</stp>
        <stp>.SPXW260501P6625</stp>
        <tr r="R129" s="2"/>
      </tp>
      <tp>
        <v>11</v>
        <stp/>
        <stp>VOLUME</stp>
        <stp>.SPXW251205P6655</stp>
        <tr r="I123" s="2"/>
        <tr r="I123" s="2"/>
      </tp>
      <tp>
        <v>23</v>
        <stp/>
        <stp>VOLUME</stp>
        <stp>.SPXW251212P6725</stp>
        <tr r="J109" s="2"/>
        <tr r="J109" s="2"/>
      </tp>
      <tp>
        <v>11</v>
        <stp/>
        <stp>VOLUME</stp>
        <stp>.SPXW251219P6795</stp>
        <tr r="K95" s="2"/>
        <tr r="K95" s="2"/>
      </tp>
      <tp>
        <v>2053</v>
        <stp/>
        <stp>VOLUME</stp>
        <stp>.SPXW251110P6705</stp>
        <tr r="B113" s="2"/>
        <tr r="B113" s="2"/>
        <tr r="Q112" s="1"/>
        <tr r="Q112" s="1"/>
      </tp>
      <tp>
        <v>153</v>
        <stp/>
        <stp>VOLUME</stp>
        <stp>.SPXW251111P6715</stp>
        <tr r="C111" s="2"/>
        <tr r="C111" s="2"/>
      </tp>
      <tp>
        <v>151</v>
        <stp/>
        <stp>VOLUME</stp>
        <stp>.SPXW251112P6725</stp>
        <tr r="D109" s="2"/>
        <tr r="D109" s="2"/>
      </tp>
      <tp>
        <v>29</v>
        <stp/>
        <stp>VOLUME</stp>
        <stp>.SPXW251113P6735</stp>
        <tr r="E107" s="2"/>
        <tr r="E107" s="2"/>
      </tp>
      <tp>
        <v>361</v>
        <stp/>
        <stp>VOLUME</stp>
        <stp>.SPXW251114P6745</stp>
        <tr r="S104" s="1"/>
        <tr r="S104" s="1"/>
      </tp>
      <tp>
        <v>118</v>
        <stp/>
        <stp>VOLUME</stp>
        <stp>.SPXW251205P6650</stp>
        <tr r="I124" s="2"/>
        <tr r="I124" s="2"/>
      </tp>
      <tp>
        <v>18</v>
        <stp/>
        <stp>VOLUME</stp>
        <stp>.SPXW251212P6720</stp>
        <tr r="J110" s="2"/>
        <tr r="J110" s="2"/>
      </tp>
      <tp>
        <v>11</v>
        <stp/>
        <stp>VOLUME</stp>
        <stp>.SPXW251219P6790</stp>
        <tr r="K96" s="2"/>
        <tr r="K96" s="2"/>
      </tp>
      <tp>
        <v>6088</v>
        <stp/>
        <stp>VOLUME</stp>
        <stp>.SPXW251110P6700</stp>
        <tr r="B114" s="2"/>
        <tr r="B114" s="2"/>
        <tr r="Q113" s="1"/>
        <tr r="Q113" s="1"/>
      </tp>
      <tp>
        <v>309</v>
        <stp/>
        <stp>VOLUME</stp>
        <stp>.SPXW251111P6710</stp>
        <tr r="C112" s="2"/>
        <tr r="C112" s="2"/>
      </tp>
      <tp>
        <v>287</v>
        <stp/>
        <stp>VOLUME</stp>
        <stp>.SPXW251112P6720</stp>
        <tr r="D110" s="2"/>
        <tr r="D110" s="2"/>
      </tp>
      <tp>
        <v>861</v>
        <stp/>
        <stp>VOLUME</stp>
        <stp>.SPXW251113P6730</stp>
        <tr r="E108" s="2"/>
        <tr r="E108" s="2"/>
      </tp>
      <tp>
        <v>153</v>
        <stp/>
        <stp>VOLUME</stp>
        <stp>.SPXW251114P6740</stp>
        <tr r="S105" s="1"/>
        <tr r="S105" s="1"/>
      </tp>
      <tp t="s">
        <v>N/A</v>
        <stp/>
        <stp>VOLUME</stp>
        <stp>.SPXW260206P6650</stp>
        <tr r="N124" s="2"/>
      </tp>
      <tp t="s">
        <v>N/A</v>
        <stp/>
        <stp>VOLUME</stp>
        <stp>.SPXW260501P6620</stp>
        <tr r="R130" s="2"/>
      </tp>
      <tp t="s">
        <v>N/A</v>
        <stp/>
        <stp>VOLUME</stp>
        <stp>.NDXP260828P25050</stp>
        <tr r="V160" s="2"/>
      </tp>
      <tp t="s">
        <v>N/A</v>
        <stp/>
        <stp>VOLUME</stp>
        <stp>.NDXP260109P25150</stp>
        <tr r="L156" s="2"/>
      </tp>
      <tp t="s">
        <v>N/A</v>
        <stp/>
        <stp>VOLUME</stp>
        <stp>.NDXP260501P24950</stp>
        <tr r="R164" s="2"/>
      </tp>
      <tp>
        <v>8</v>
        <stp/>
        <stp>VOLUME</stp>
        <stp>.SPXW251205C6645</stp>
        <tr r="I125" s="2"/>
        <tr r="I125" s="2"/>
      </tp>
      <tp t="s">
        <v>N/A</v>
        <stp/>
        <stp>VOLUME</stp>
        <stp>.SPXW251212C6735</stp>
        <tr r="J107" s="2"/>
      </tp>
      <tp>
        <v>21</v>
        <stp/>
        <stp>VOLUME</stp>
        <stp>.SPXW251219C6785</stp>
        <tr r="K97" s="2"/>
        <tr r="K97" s="2"/>
      </tp>
      <tp>
        <v>3695</v>
        <stp/>
        <stp>VOLUME</stp>
        <stp>.SPXW251110C6715</stp>
        <tr r="B111" s="2"/>
        <tr r="B111" s="2"/>
        <tr r="P110" s="1"/>
        <tr r="P110" s="1"/>
      </tp>
      <tp>
        <v>318</v>
        <stp/>
        <stp>VOLUME</stp>
        <stp>.SPXW251111C6705</stp>
        <tr r="C113" s="2"/>
        <tr r="C113" s="2"/>
      </tp>
      <tp>
        <v>152</v>
        <stp/>
        <stp>VOLUME</stp>
        <stp>.SPXW251112C6735</stp>
        <tr r="D107" s="2"/>
        <tr r="D107" s="2"/>
      </tp>
      <tp>
        <v>34</v>
        <stp/>
        <stp>VOLUME</stp>
        <stp>.SPXW251113C6725</stp>
        <tr r="E109" s="2"/>
        <tr r="E109" s="2"/>
      </tp>
      <tp>
        <v>283</v>
        <stp/>
        <stp>VOLUME</stp>
        <stp>.SPXW251114C6755</stp>
        <tr r="R102" s="1"/>
        <tr r="R102" s="1"/>
      </tp>
      <tp t="s">
        <v>N/A</v>
        <stp/>
        <stp>VOLUME</stp>
        <stp>.SPXW260206C6645</stp>
        <tr r="N125" s="2"/>
      </tp>
      <tp t="s">
        <v>N/A</v>
        <stp/>
        <stp>VOLUME</stp>
        <stp>.SPXW260501C6635</stp>
        <tr r="R127" s="2"/>
      </tp>
      <tp t="s">
        <v>N/A</v>
        <stp/>
        <stp>VOLUME</stp>
        <stp>.SPXW260206C6640</stp>
        <tr r="N126" s="2"/>
      </tp>
      <tp t="s">
        <v>N/A</v>
        <stp/>
        <stp>VOLUME</stp>
        <stp>.SPXW260501C6630</stp>
        <tr r="R128" s="2"/>
      </tp>
      <tp>
        <v>6</v>
        <stp/>
        <stp>VOLUME</stp>
        <stp>.SPXW251205C6640</stp>
        <tr r="I126" s="2"/>
        <tr r="I126" s="2"/>
      </tp>
      <tp>
        <v>10</v>
        <stp/>
        <stp>VOLUME</stp>
        <stp>.SPXW251212C6730</stp>
        <tr r="J108" s="2"/>
        <tr r="J108" s="2"/>
      </tp>
      <tp>
        <v>42</v>
        <stp/>
        <stp>VOLUME</stp>
        <stp>.SPXW251219C6780</stp>
        <tr r="K98" s="2"/>
        <tr r="K98" s="2"/>
      </tp>
      <tp>
        <v>3645</v>
        <stp/>
        <stp>VOLUME</stp>
        <stp>.SPXW251110C6710</stp>
        <tr r="B112" s="2"/>
        <tr r="B112" s="2"/>
        <tr r="P111" s="1"/>
        <tr r="P111" s="1"/>
      </tp>
      <tp>
        <v>1402</v>
        <stp/>
        <stp>VOLUME</stp>
        <stp>.SPXW251111C6700</stp>
        <tr r="C114" s="2"/>
        <tr r="C114" s="2"/>
      </tp>
      <tp>
        <v>209</v>
        <stp/>
        <stp>VOLUME</stp>
        <stp>.SPXW251112C6730</stp>
        <tr r="D108" s="2"/>
        <tr r="D108" s="2"/>
      </tp>
      <tp>
        <v>123</v>
        <stp/>
        <stp>VOLUME</stp>
        <stp>.SPXW251113C6720</stp>
        <tr r="E110" s="2"/>
        <tr r="E110" s="2"/>
      </tp>
      <tp>
        <v>2015</v>
        <stp/>
        <stp>VOLUME</stp>
        <stp>.SPXW251114C6750</stp>
        <tr r="R103" s="1"/>
        <tr r="R103" s="1"/>
      </tp>
      <tp t="s">
        <v>N/A</v>
        <stp/>
        <stp>VOLUME</stp>
        <stp>.SPXW260206P6645</stp>
        <tr r="N125" s="2"/>
      </tp>
      <tp t="s">
        <v>N/A</v>
        <stp/>
        <stp>VOLUME</stp>
        <stp>.SPXW260501P6635</stp>
        <tr r="R127" s="2"/>
      </tp>
      <tp>
        <v>32</v>
        <stp/>
        <stp>VOLUME</stp>
        <stp>.SPXW251205P6645</stp>
        <tr r="I125" s="2"/>
        <tr r="I125" s="2"/>
      </tp>
      <tp t="s">
        <v>N/A</v>
        <stp/>
        <stp>VOLUME</stp>
        <stp>.SPXW251212P6735</stp>
        <tr r="J107" s="2"/>
      </tp>
      <tp>
        <v>8</v>
        <stp/>
        <stp>VOLUME</stp>
        <stp>.SPXW251219P6785</stp>
        <tr r="K97" s="2"/>
        <tr r="K97" s="2"/>
      </tp>
      <tp>
        <v>2813</v>
        <stp/>
        <stp>VOLUME</stp>
        <stp>.SPXW251110P6715</stp>
        <tr r="B111" s="2"/>
        <tr r="B111" s="2"/>
        <tr r="Q110" s="1"/>
        <tr r="Q110" s="1"/>
      </tp>
      <tp>
        <v>286</v>
        <stp/>
        <stp>VOLUME</stp>
        <stp>.SPXW251111P6705</stp>
        <tr r="C113" s="2"/>
        <tr r="C113" s="2"/>
      </tp>
      <tp>
        <v>55</v>
        <stp/>
        <stp>VOLUME</stp>
        <stp>.SPXW251112P6735</stp>
        <tr r="D107" s="2"/>
        <tr r="D107" s="2"/>
      </tp>
      <tp>
        <v>53</v>
        <stp/>
        <stp>VOLUME</stp>
        <stp>.SPXW251113P6725</stp>
        <tr r="E109" s="2"/>
        <tr r="E109" s="2"/>
      </tp>
      <tp>
        <v>145</v>
        <stp/>
        <stp>VOLUME</stp>
        <stp>.SPXW251114P6755</stp>
        <tr r="S102" s="1"/>
        <tr r="S102" s="1"/>
      </tp>
      <tp>
        <v>34</v>
        <stp/>
        <stp>VOLUME</stp>
        <stp>.SPXW251205P6640</stp>
        <tr r="I126" s="2"/>
        <tr r="I126" s="2"/>
      </tp>
      <tp>
        <v>21</v>
        <stp/>
        <stp>VOLUME</stp>
        <stp>.SPXW251212P6730</stp>
        <tr r="J108" s="2"/>
        <tr r="J108" s="2"/>
      </tp>
      <tp>
        <v>11</v>
        <stp/>
        <stp>VOLUME</stp>
        <stp>.SPXW251219P6780</stp>
        <tr r="K98" s="2"/>
        <tr r="K98" s="2"/>
      </tp>
      <tp>
        <v>2835</v>
        <stp/>
        <stp>VOLUME</stp>
        <stp>.SPXW251110P6710</stp>
        <tr r="B112" s="2"/>
        <tr r="B112" s="2"/>
        <tr r="Q111" s="1"/>
        <tr r="Q111" s="1"/>
      </tp>
      <tp>
        <v>1058</v>
        <stp/>
        <stp>VOLUME</stp>
        <stp>.SPXW251111P6700</stp>
        <tr r="C114" s="2"/>
        <tr r="C114" s="2"/>
      </tp>
      <tp>
        <v>224</v>
        <stp/>
        <stp>VOLUME</stp>
        <stp>.SPXW251112P6730</stp>
        <tr r="D108" s="2"/>
        <tr r="D108" s="2"/>
      </tp>
      <tp>
        <v>151</v>
        <stp/>
        <stp>VOLUME</stp>
        <stp>.SPXW251113P6720</stp>
        <tr r="E110" s="2"/>
        <tr r="E110" s="2"/>
      </tp>
      <tp>
        <v>1641</v>
        <stp/>
        <stp>VOLUME</stp>
        <stp>.SPXW251114P6750</stp>
        <tr r="S103" s="1"/>
        <tr r="S103" s="1"/>
      </tp>
      <tp t="s">
        <v>N/A</v>
        <stp/>
        <stp>VOLUME</stp>
        <stp>.SPXW260206P6640</stp>
        <tr r="N126" s="2"/>
      </tp>
      <tp t="s">
        <v>N/A</v>
        <stp/>
        <stp>VOLUME</stp>
        <stp>.SPXW260501P6630</stp>
        <tr r="R128" s="2"/>
      </tp>
      <tp t="s">
        <v>N/A</v>
        <stp/>
        <stp>VOLUME</stp>
        <stp>.NDXP261030P24875</stp>
        <tr r="X167" s="2"/>
      </tp>
      <tp t="s">
        <v>N/A</v>
        <stp/>
        <stp>VOLUME</stp>
        <stp>.NDXP251112P24975</stp>
        <tr r="D163" s="2"/>
      </tp>
      <tp t="s">
        <v>N/A</v>
        <stp/>
        <stp>VOLUME</stp>
        <stp>.NDXP251113P24875</stp>
        <tr r="E167" s="2"/>
      </tp>
      <tp t="s">
        <v>N/A</v>
        <stp/>
        <stp>VOLUME</stp>
        <stp>.NDXP251212P24975</stp>
        <tr r="J163" s="2"/>
      </tp>
      <tp>
        <v>20</v>
        <stp/>
        <stp>VOLUME</stp>
        <stp>.SPXW251205C6675</stp>
        <tr r="I119" s="2"/>
        <tr r="I119" s="2"/>
      </tp>
      <tp t="s">
        <v>N/A</v>
        <stp/>
        <stp>VOLUME</stp>
        <stp>.SPXW251212C6705</stp>
        <tr r="J113" s="2"/>
      </tp>
      <tp>
        <v>5714</v>
        <stp/>
        <stp>VOLUME</stp>
        <stp>.SPXW251110C6725</stp>
        <tr r="B109" s="2"/>
        <tr r="B109" s="2"/>
        <tr r="P108" s="1"/>
        <tr r="P108" s="1"/>
      </tp>
      <tp>
        <v>336</v>
        <stp/>
        <stp>VOLUME</stp>
        <stp>.SPXW251111C6735</stp>
        <tr r="C107" s="2"/>
        <tr r="C107" s="2"/>
      </tp>
      <tp>
        <v>242</v>
        <stp/>
        <stp>VOLUME</stp>
        <stp>.SPXW251112C6705</stp>
        <tr r="D113" s="2"/>
        <tr r="D113" s="2"/>
      </tp>
      <tp>
        <v>63</v>
        <stp/>
        <stp>VOLUME</stp>
        <stp>.SPXW251113C6715</stp>
        <tr r="E111" s="2"/>
        <tr r="E111" s="2"/>
      </tp>
      <tp>
        <v>618</v>
        <stp/>
        <stp>VOLUME</stp>
        <stp>.SPXW251114C6765</stp>
        <tr r="R100" s="1"/>
        <tr r="R100" s="1"/>
      </tp>
      <tp t="s">
        <v>N/A</v>
        <stp/>
        <stp>VOLUME</stp>
        <stp>.SPXW260206C6675</stp>
        <tr r="N119" s="2"/>
      </tp>
      <tp t="s">
        <v>N/A</v>
        <stp/>
        <stp>VOLUME</stp>
        <stp>.SPXW260109C6685</stp>
        <tr r="L117" s="2"/>
      </tp>
      <tp t="s">
        <v>N/A</v>
        <stp/>
        <stp>VOLUME</stp>
        <stp>.SPXW260206C6670</stp>
        <tr r="N120" s="2"/>
      </tp>
      <tp t="s">
        <v>N/A</v>
        <stp/>
        <stp>VOLUME</stp>
        <stp>.SPXW260109C6680</stp>
        <tr r="L118" s="2"/>
      </tp>
      <tp>
        <v>8</v>
        <stp/>
        <stp>VOLUME</stp>
        <stp>.SPXW251205C6670</stp>
        <tr r="I120" s="2"/>
        <tr r="I120" s="2"/>
      </tp>
      <tp>
        <v>24</v>
        <stp/>
        <stp>VOLUME</stp>
        <stp>.SPXW251212C6700</stp>
        <tr r="J114" s="2"/>
        <tr r="J114" s="2"/>
      </tp>
      <tp>
        <v>5897</v>
        <stp/>
        <stp>VOLUME</stp>
        <stp>.SPXW251110C6720</stp>
        <tr r="B110" s="2"/>
        <tr r="B110" s="2"/>
        <tr r="P109" s="1"/>
        <tr r="P109" s="1"/>
      </tp>
      <tp>
        <v>401</v>
        <stp/>
        <stp>VOLUME</stp>
        <stp>.SPXW251111C6730</stp>
        <tr r="C108" s="2"/>
        <tr r="C108" s="2"/>
      </tp>
      <tp>
        <v>1187</v>
        <stp/>
        <stp>VOLUME</stp>
        <stp>.SPXW251112C6700</stp>
        <tr r="D114" s="2"/>
        <tr r="D114" s="2"/>
      </tp>
      <tp>
        <v>217</v>
        <stp/>
        <stp>VOLUME</stp>
        <stp>.SPXW251113C6710</stp>
        <tr r="E112" s="2"/>
        <tr r="E112" s="2"/>
      </tp>
      <tp>
        <v>1576</v>
        <stp/>
        <stp>VOLUME</stp>
        <stp>.SPXW251114C6760</stp>
        <tr r="R101" s="1"/>
        <tr r="R101" s="1"/>
      </tp>
      <tp t="s">
        <v>N/A</v>
        <stp/>
        <stp>VOLUME</stp>
        <stp>.SPXW260206P6675</stp>
        <tr r="N119" s="2"/>
      </tp>
      <tp t="s">
        <v>N/A</v>
        <stp/>
        <stp>VOLUME</stp>
        <stp>.SPXW260109P6685</stp>
        <tr r="L117" s="2"/>
      </tp>
      <tp>
        <v>19</v>
        <stp/>
        <stp>VOLUME</stp>
        <stp>.SPXW251205P6675</stp>
        <tr r="I119" s="2"/>
        <tr r="I119" s="2"/>
      </tp>
      <tp t="s">
        <v>N/A</v>
        <stp/>
        <stp>VOLUME</stp>
        <stp>.SPXW251212P6705</stp>
        <tr r="J113" s="2"/>
      </tp>
      <tp>
        <v>2465</v>
        <stp/>
        <stp>VOLUME</stp>
        <stp>.SPXW251110P6725</stp>
        <tr r="B109" s="2"/>
        <tr r="B109" s="2"/>
        <tr r="Q108" s="1"/>
        <tr r="Q108" s="1"/>
      </tp>
      <tp>
        <v>99</v>
        <stp/>
        <stp>VOLUME</stp>
        <stp>.SPXW251111P6735</stp>
        <tr r="C107" s="2"/>
        <tr r="C107" s="2"/>
      </tp>
      <tp>
        <v>209</v>
        <stp/>
        <stp>VOLUME</stp>
        <stp>.SPXW251112P6705</stp>
        <tr r="D113" s="2"/>
        <tr r="D113" s="2"/>
      </tp>
      <tp>
        <v>198</v>
        <stp/>
        <stp>VOLUME</stp>
        <stp>.SPXW251113P6715</stp>
        <tr r="E111" s="2"/>
        <tr r="E111" s="2"/>
      </tp>
      <tp>
        <v>140</v>
        <stp/>
        <stp>VOLUME</stp>
        <stp>.SPXW251114P6765</stp>
        <tr r="S100" s="1"/>
        <tr r="S100" s="1"/>
      </tp>
      <tp>
        <v>16</v>
        <stp/>
        <stp>VOLUME</stp>
        <stp>.SPXW251205P6670</stp>
        <tr r="I120" s="2"/>
        <tr r="I120" s="2"/>
      </tp>
      <tp>
        <v>48</v>
        <stp/>
        <stp>VOLUME</stp>
        <stp>.SPXW251212P6700</stp>
        <tr r="J114" s="2"/>
        <tr r="J114" s="2"/>
      </tp>
      <tp>
        <v>3389</v>
        <stp/>
        <stp>VOLUME</stp>
        <stp>.SPXW251110P6720</stp>
        <tr r="B110" s="2"/>
        <tr r="B110" s="2"/>
        <tr r="Q109" s="1"/>
        <tr r="Q109" s="1"/>
      </tp>
      <tp>
        <v>225</v>
        <stp/>
        <stp>VOLUME</stp>
        <stp>.SPXW251111P6730</stp>
        <tr r="C108" s="2"/>
        <tr r="C108" s="2"/>
      </tp>
      <tp>
        <v>1230</v>
        <stp/>
        <stp>VOLUME</stp>
        <stp>.SPXW251112P6700</stp>
        <tr r="D114" s="2"/>
        <tr r="D114" s="2"/>
      </tp>
      <tp>
        <v>188</v>
        <stp/>
        <stp>VOLUME</stp>
        <stp>.SPXW251113P6710</stp>
        <tr r="E112" s="2"/>
        <tr r="E112" s="2"/>
      </tp>
      <tp>
        <v>159</v>
        <stp/>
        <stp>VOLUME</stp>
        <stp>.SPXW251114P6760</stp>
        <tr r="S101" s="1"/>
        <tr r="S101" s="1"/>
      </tp>
      <tp t="s">
        <v>N/A</v>
        <stp/>
        <stp>VOLUME</stp>
        <stp>.SPXW260206P6670</stp>
        <tr r="N120" s="2"/>
      </tp>
      <tp t="s">
        <v>N/A</v>
        <stp/>
        <stp>VOLUME</stp>
        <stp>.SPXW260109P6680</stp>
        <tr r="L118" s="2"/>
      </tp>
      <tp t="s">
        <v>N/A</v>
        <stp/>
        <stp>VOLUME</stp>
        <stp>.NDXP260828P25075</stp>
        <tr r="V159" s="2"/>
      </tp>
      <tp t="s">
        <v>N/A</v>
        <stp/>
        <stp>VOLUME</stp>
        <stp>.NDXP260501P24975</stp>
        <tr r="R163" s="2"/>
      </tp>
      <tp t="s">
        <v>N/A</v>
        <stp/>
        <stp>VOLUME</stp>
        <stp>.NDXP260109P25175</stp>
        <tr r="L155" s="2"/>
      </tp>
      <tp>
        <v>17</v>
        <stp/>
        <stp>VOLUME</stp>
        <stp>.SPXW251205C6665</stp>
        <tr r="I121" s="2"/>
        <tr r="I121" s="2"/>
      </tp>
      <tp t="s">
        <v>N/A</v>
        <stp/>
        <stp>VOLUME</stp>
        <stp>.SPXW251212C6715</stp>
        <tr r="J111" s="2"/>
      </tp>
      <tp>
        <v>3147</v>
        <stp/>
        <stp>VOLUME</stp>
        <stp>.SPXW251110C6735</stp>
        <tr r="B107" s="2"/>
        <tr r="B107" s="2"/>
        <tr r="P106" s="1"/>
        <tr r="P106" s="1"/>
      </tp>
      <tp>
        <v>1666</v>
        <stp/>
        <stp>VOLUME</stp>
        <stp>.SPXW251111C6725</stp>
        <tr r="C109" s="2"/>
        <tr r="C109" s="2"/>
      </tp>
      <tp>
        <v>148</v>
        <stp/>
        <stp>VOLUME</stp>
        <stp>.SPXW251112C6715</stp>
        <tr r="D111" s="2"/>
        <tr r="D111" s="2"/>
      </tp>
      <tp>
        <v>13</v>
        <stp/>
        <stp>VOLUME</stp>
        <stp>.SPXW251113C6705</stp>
        <tr r="E113" s="2"/>
        <tr r="E113" s="2"/>
      </tp>
      <tp>
        <v>1153</v>
        <stp/>
        <stp>VOLUME</stp>
        <stp>.SPXW251114C6775</stp>
        <tr r="R98" s="1"/>
        <tr r="R98" s="1"/>
      </tp>
      <tp t="s">
        <v>N/A</v>
        <stp/>
        <stp>VOLUME</stp>
        <stp>.SPXW260206C6665</stp>
        <tr r="N121" s="2"/>
      </tp>
      <tp t="s">
        <v>N/A</v>
        <stp/>
        <stp>VOLUME</stp>
        <stp>.SPXW260109C6695</stp>
        <tr r="L115" s="2"/>
      </tp>
      <tp t="s">
        <v>N/A</v>
        <stp/>
        <stp>VOLUME</stp>
        <stp>.SPXW260501C6615</stp>
        <tr r="R131" s="2"/>
      </tp>
      <tp t="s">
        <v>N/A</v>
        <stp/>
        <stp>VOLUME</stp>
        <stp>.SPXW260206C6660</stp>
        <tr r="N122" s="2"/>
      </tp>
      <tp t="s">
        <v>N/A</v>
        <stp/>
        <stp>VOLUME</stp>
        <stp>.SPXW260109C6690</stp>
        <tr r="L116" s="2"/>
      </tp>
      <tp>
        <v>28</v>
        <stp/>
        <stp>VOLUME</stp>
        <stp>.SPXW251205C6660</stp>
        <tr r="I122" s="2"/>
        <tr r="I122" s="2"/>
      </tp>
      <tp>
        <v>10</v>
        <stp/>
        <stp>VOLUME</stp>
        <stp>.SPXW251212C6710</stp>
        <tr r="J112" s="2"/>
        <tr r="J112" s="2"/>
      </tp>
      <tp>
        <v>4504</v>
        <stp/>
        <stp>VOLUME</stp>
        <stp>.SPXW251110C6730</stp>
        <tr r="B108" s="2"/>
        <tr r="B108" s="2"/>
        <tr r="P107" s="1"/>
        <tr r="P107" s="1"/>
      </tp>
      <tp>
        <v>687</v>
        <stp/>
        <stp>VOLUME</stp>
        <stp>.SPXW251111C6720</stp>
        <tr r="C110" s="2"/>
        <tr r="C110" s="2"/>
      </tp>
      <tp>
        <v>147</v>
        <stp/>
        <stp>VOLUME</stp>
        <stp>.SPXW251112C6710</stp>
        <tr r="D112" s="2"/>
        <tr r="D112" s="2"/>
      </tp>
      <tp>
        <v>382</v>
        <stp/>
        <stp>VOLUME</stp>
        <stp>.SPXW251113C6700</stp>
        <tr r="E114" s="2"/>
        <tr r="E114" s="2"/>
      </tp>
      <tp>
        <v>918</v>
        <stp/>
        <stp>VOLUME</stp>
        <stp>.SPXW251114C6770</stp>
        <tr r="R99" s="1"/>
        <tr r="R99" s="1"/>
      </tp>
      <tp t="s">
        <v>N/A</v>
        <stp/>
        <stp>VOLUME</stp>
        <stp>.SPXW260206P6665</stp>
        <tr r="N121" s="2"/>
      </tp>
      <tp t="s">
        <v>N/A</v>
        <stp/>
        <stp>VOLUME</stp>
        <stp>.SPXW260109P6695</stp>
        <tr r="L115" s="2"/>
      </tp>
      <tp t="s">
        <v>N/A</v>
        <stp/>
        <stp>VOLUME</stp>
        <stp>.SPXW260501P6615</stp>
        <tr r="R131" s="2"/>
      </tp>
      <tp>
        <v>34</v>
        <stp/>
        <stp>VOLUME</stp>
        <stp>.SPXW251205P6665</stp>
        <tr r="I121" s="2"/>
        <tr r="I121" s="2"/>
      </tp>
      <tp t="s">
        <v>N/A</v>
        <stp/>
        <stp>VOLUME</stp>
        <stp>.SPXW251212P6715</stp>
        <tr r="J111" s="2"/>
      </tp>
      <tp>
        <v>738</v>
        <stp/>
        <stp>VOLUME</stp>
        <stp>.SPXW251110P6735</stp>
        <tr r="B107" s="2"/>
        <tr r="B107" s="2"/>
        <tr r="Q106" s="1"/>
        <tr r="Q106" s="1"/>
      </tp>
      <tp>
        <v>202</v>
        <stp/>
        <stp>VOLUME</stp>
        <stp>.SPXW251111P6725</stp>
        <tr r="C109" s="2"/>
        <tr r="C109" s="2"/>
      </tp>
      <tp>
        <v>208</v>
        <stp/>
        <stp>VOLUME</stp>
        <stp>.SPXW251112P6715</stp>
        <tr r="D111" s="2"/>
        <tr r="D111" s="2"/>
      </tp>
      <tp>
        <v>71</v>
        <stp/>
        <stp>VOLUME</stp>
        <stp>.SPXW251113P6705</stp>
        <tr r="E113" s="2"/>
        <tr r="E113" s="2"/>
      </tp>
      <tp>
        <v>420</v>
        <stp/>
        <stp>VOLUME</stp>
        <stp>.SPXW251114P6775</stp>
        <tr r="S98" s="1"/>
        <tr r="S98" s="1"/>
      </tp>
      <tp>
        <v>44</v>
        <stp/>
        <stp>VOLUME</stp>
        <stp>.SPXW251205P6660</stp>
        <tr r="I122" s="2"/>
        <tr r="I122" s="2"/>
      </tp>
      <tp>
        <v>30</v>
        <stp/>
        <stp>VOLUME</stp>
        <stp>.SPXW251212P6710</stp>
        <tr r="J112" s="2"/>
        <tr r="J112" s="2"/>
      </tp>
      <tp>
        <v>1489</v>
        <stp/>
        <stp>VOLUME</stp>
        <stp>.SPXW251110P6730</stp>
        <tr r="B108" s="2"/>
        <tr r="B108" s="2"/>
        <tr r="Q107" s="1"/>
        <tr r="Q107" s="1"/>
      </tp>
      <tp>
        <v>583</v>
        <stp/>
        <stp>VOLUME</stp>
        <stp>.SPXW251111P6720</stp>
        <tr r="C110" s="2"/>
        <tr r="C110" s="2"/>
      </tp>
      <tp>
        <v>115</v>
        <stp/>
        <stp>VOLUME</stp>
        <stp>.SPXW251112P6710</stp>
        <tr r="D112" s="2"/>
        <tr r="D112" s="2"/>
      </tp>
      <tp>
        <v>380</v>
        <stp/>
        <stp>VOLUME</stp>
        <stp>.SPXW251113P6700</stp>
        <tr r="E114" s="2"/>
        <tr r="E114" s="2"/>
      </tp>
      <tp>
        <v>222</v>
        <stp/>
        <stp>VOLUME</stp>
        <stp>.SPXW251114P6770</stp>
        <tr r="S99" s="1"/>
        <tr r="S99" s="1"/>
      </tp>
      <tp t="s">
        <v>N/A</v>
        <stp/>
        <stp>VOLUME</stp>
        <stp>.SPXW260206P6660</stp>
        <tr r="N122" s="2"/>
      </tp>
      <tp t="s">
        <v>N/A</v>
        <stp/>
        <stp>VOLUME</stp>
        <stp>.SPXW260109P6690</stp>
        <tr r="L116" s="2"/>
      </tp>
      <tp t="s">
        <v>N/A</v>
        <stp/>
        <stp>VOLUME</stp>
        <stp>.QQQP608</stp>
        <tr r="F67" s="2"/>
        <tr r="G67" s="2"/>
      </tp>
      <tp t="s">
        <v>N/A</v>
        <stp/>
        <stp>VOLUME</stp>
        <stp>.QQQC608</stp>
        <tr r="F67" s="2"/>
        <tr r="G67" s="2"/>
      </tp>
      <tp t="s">
        <v>N/A</v>
        <stp/>
        <stp>VOLUME</stp>
        <stp>.QQQP609</stp>
        <tr r="F66" s="2"/>
        <tr r="G66" s="2"/>
      </tp>
      <tp t="s">
        <v>N/A</v>
        <stp/>
        <stp>VOLUME</stp>
        <stp>.QQQC609</stp>
        <tr r="F66" s="2"/>
        <tr r="G66" s="2"/>
      </tp>
      <tp t="s">
        <v>N/A</v>
        <stp/>
        <stp>VOLUME</stp>
        <stp>.QQQP604</stp>
        <tr r="F71" s="2"/>
        <tr r="G71" s="2"/>
      </tp>
      <tp t="s">
        <v>N/A</v>
        <stp/>
        <stp>VOLUME</stp>
        <stp>.QQQC604</stp>
        <tr r="F71" s="2"/>
        <tr r="G71" s="2"/>
      </tp>
      <tp t="s">
        <v>N/A</v>
        <stp/>
        <stp>VOLUME</stp>
        <stp>.QQQP605</stp>
        <tr r="G70" s="2"/>
        <tr r="F70" s="2"/>
      </tp>
      <tp t="s">
        <v>N/A</v>
        <stp/>
        <stp>VOLUME</stp>
        <stp>.QQQC605</stp>
        <tr r="G70" s="2"/>
        <tr r="F70" s="2"/>
      </tp>
      <tp t="s">
        <v>N/A</v>
        <stp/>
        <stp>VOLUME</stp>
        <stp>.QQQP606</stp>
        <tr r="F69" s="2"/>
        <tr r="G69" s="2"/>
      </tp>
      <tp t="s">
        <v>N/A</v>
        <stp/>
        <stp>VOLUME</stp>
        <stp>.QQQC606</stp>
        <tr r="F69" s="2"/>
        <tr r="G69" s="2"/>
      </tp>
      <tp t="s">
        <v>N/A</v>
        <stp/>
        <stp>VOLUME</stp>
        <stp>.QQQP607</stp>
        <tr r="G68" s="2"/>
        <tr r="F68" s="2"/>
      </tp>
      <tp t="s">
        <v>N/A</v>
        <stp/>
        <stp>VOLUME</stp>
        <stp>.QQQC607</stp>
        <tr r="G68" s="2"/>
        <tr r="F68" s="2"/>
      </tp>
      <tp t="s">
        <v>N/A</v>
        <stp/>
        <stp>VOLUME</stp>
        <stp>.QQQP600</stp>
        <tr r="F75" s="2"/>
        <tr r="G75" s="2"/>
      </tp>
      <tp t="s">
        <v>N/A</v>
        <stp/>
        <stp>VOLUME</stp>
        <stp>.QQQC600</stp>
        <tr r="F75" s="2"/>
        <tr r="G75" s="2"/>
      </tp>
      <tp t="s">
        <v>N/A</v>
        <stp/>
        <stp>VOLUME</stp>
        <stp>.QQQP601</stp>
        <tr r="G74" s="2"/>
        <tr r="F74" s="2"/>
      </tp>
      <tp t="s">
        <v>N/A</v>
        <stp/>
        <stp>VOLUME</stp>
        <stp>.QQQC601</stp>
        <tr r="G74" s="2"/>
        <tr r="F74" s="2"/>
      </tp>
      <tp t="s">
        <v>N/A</v>
        <stp/>
        <stp>VOLUME</stp>
        <stp>.QQQP602</stp>
        <tr r="F73" s="2"/>
        <tr r="G73" s="2"/>
      </tp>
      <tp t="s">
        <v>N/A</v>
        <stp/>
        <stp>VOLUME</stp>
        <stp>.QQQC602</stp>
        <tr r="F73" s="2"/>
        <tr r="G73" s="2"/>
      </tp>
      <tp t="s">
        <v>N/A</v>
        <stp/>
        <stp>VOLUME</stp>
        <stp>.QQQP603</stp>
        <tr r="F72" s="2"/>
        <tr r="G72" s="2"/>
      </tp>
      <tp t="s">
        <v>N/A</v>
        <stp/>
        <stp>VOLUME</stp>
        <stp>.QQQC603</stp>
        <tr r="F72" s="2"/>
        <tr r="G72" s="2"/>
      </tp>
      <tp t="s">
        <v>N/A</v>
        <stp/>
        <stp>VOLUME</stp>
        <stp>.NDXP260828P25000</stp>
        <tr r="V162" s="2"/>
      </tp>
      <tp t="s">
        <v>N/A</v>
        <stp/>
        <stp>VOLUME</stp>
        <stp>.NDXP260109P25100</stp>
        <tr r="L158" s="2"/>
      </tp>
      <tp t="s">
        <v>N/A</v>
        <stp/>
        <stp>VOLUME</stp>
        <stp>.NDXP260501P24900</stp>
        <tr r="R166" s="2"/>
      </tp>
      <tp>
        <v>5</v>
        <stp/>
        <stp>VOLUME</stp>
        <stp>.SPXW251205C6615</stp>
        <tr r="I131" s="2"/>
        <tr r="I131" s="2"/>
      </tp>
      <tp t="s">
        <v>N/A</v>
        <stp/>
        <stp>VOLUME</stp>
        <stp>.SPXW251212C6765</stp>
        <tr r="J101" s="2"/>
      </tp>
      <tp>
        <v>2637</v>
        <stp/>
        <stp>VOLUME</stp>
        <stp>.SPXW251110C6745</stp>
        <tr r="B105" s="2"/>
        <tr r="B105" s="2"/>
        <tr r="P104" s="1"/>
        <tr r="P104" s="1"/>
      </tp>
      <tp>
        <v>535</v>
        <stp/>
        <stp>VOLUME</stp>
        <stp>.SPXW251111C6755</stp>
        <tr r="C103" s="2"/>
        <tr r="C103" s="2"/>
      </tp>
      <tp>
        <v>312</v>
        <stp/>
        <stp>VOLUME</stp>
        <stp>.SPXW251112C6765</stp>
        <tr r="D101" s="2"/>
        <tr r="D101" s="2"/>
      </tp>
      <tp>
        <v>330</v>
        <stp/>
        <stp>VOLUME</stp>
        <stp>.SPXW251113C6775</stp>
        <tr r="E99" s="2"/>
        <tr r="E99" s="2"/>
      </tp>
      <tp>
        <v>437</v>
        <stp/>
        <stp>VOLUME</stp>
        <stp>.SPXW251114C6705</stp>
        <tr r="R112" s="1"/>
        <tr r="R112" s="1"/>
      </tp>
      <tp t="s">
        <v>N/A</v>
        <stp/>
        <stp>VOLUME</stp>
        <stp>.SPXW260206C6615</stp>
        <tr r="N131" s="2"/>
      </tp>
      <tp t="s">
        <v>N/A</v>
        <stp/>
        <stp>VOLUME</stp>
        <stp>.SPXW260501C6665</stp>
        <tr r="R121" s="2"/>
      </tp>
      <tp t="s">
        <v>N/A</v>
        <stp/>
        <stp>VOLUME</stp>
        <stp>.SPXW260501C6660</stp>
        <tr r="R122" s="2"/>
      </tp>
      <tp>
        <v>8</v>
        <stp/>
        <stp>VOLUME</stp>
        <stp>.SPXW251212C6760</stp>
        <tr r="J102" s="2"/>
        <tr r="J102" s="2"/>
      </tp>
      <tp>
        <v>4352</v>
        <stp/>
        <stp>VOLUME</stp>
        <stp>.SPXW251110C6740</stp>
        <tr r="B106" s="2"/>
        <tr r="B106" s="2"/>
        <tr r="P105" s="1"/>
        <tr r="P105" s="1"/>
      </tp>
      <tp>
        <v>1571</v>
        <stp/>
        <stp>VOLUME</stp>
        <stp>.SPXW251111C6750</stp>
        <tr r="C104" s="2"/>
        <tr r="C104" s="2"/>
      </tp>
      <tp>
        <v>348</v>
        <stp/>
        <stp>VOLUME</stp>
        <stp>.SPXW251112C6760</stp>
        <tr r="D102" s="2"/>
        <tr r="D102" s="2"/>
      </tp>
      <tp>
        <v>375</v>
        <stp/>
        <stp>VOLUME</stp>
        <stp>.SPXW251113C6770</stp>
        <tr r="E100" s="2"/>
        <tr r="E100" s="2"/>
      </tp>
      <tp>
        <v>1994</v>
        <stp/>
        <stp>VOLUME</stp>
        <stp>.SPXW251114C6700</stp>
        <tr r="R113" s="1"/>
        <tr r="R113" s="1"/>
      </tp>
      <tp t="s">
        <v>N/A</v>
        <stp/>
        <stp>VOLUME</stp>
        <stp>.SPXW260206P6615</stp>
        <tr r="N131" s="2"/>
      </tp>
      <tp t="s">
        <v>N/A</v>
        <stp/>
        <stp>VOLUME</stp>
        <stp>.SPXW260501P6665</stp>
        <tr r="R121" s="2"/>
      </tp>
      <tp t="s">
        <v>N/A</v>
        <stp/>
        <stp>VOLUME</stp>
        <stp>.SPXW251205P6615</stp>
        <tr r="I131" s="2"/>
      </tp>
      <tp t="s">
        <v>N/A</v>
        <stp/>
        <stp>VOLUME</stp>
        <stp>.SPXW251212P6765</stp>
        <tr r="J101" s="2"/>
      </tp>
      <tp>
        <v>460</v>
        <stp/>
        <stp>VOLUME</stp>
        <stp>.SPXW251110P6745</stp>
        <tr r="B105" s="2"/>
        <tr r="B105" s="2"/>
        <tr r="Q104" s="1"/>
        <tr r="Q104" s="1"/>
      </tp>
      <tp>
        <v>221</v>
        <stp/>
        <stp>VOLUME</stp>
        <stp>.SPXW251111P6755</stp>
        <tr r="C103" s="2"/>
        <tr r="C103" s="2"/>
      </tp>
      <tp>
        <v>31</v>
        <stp/>
        <stp>VOLUME</stp>
        <stp>.SPXW251112P6765</stp>
        <tr r="D101" s="2"/>
        <tr r="D101" s="2"/>
      </tp>
      <tp>
        <v>812</v>
        <stp/>
        <stp>VOLUME</stp>
        <stp>.SPXW251113P6775</stp>
        <tr r="E99" s="2"/>
        <tr r="E99" s="2"/>
      </tp>
      <tp>
        <v>359</v>
        <stp/>
        <stp>VOLUME</stp>
        <stp>.SPXW251114P6705</stp>
        <tr r="S112" s="1"/>
        <tr r="S112" s="1"/>
      </tp>
      <tp>
        <v>88</v>
        <stp/>
        <stp>VOLUME</stp>
        <stp>.SPXW251212P6760</stp>
        <tr r="J102" s="2"/>
        <tr r="J102" s="2"/>
      </tp>
      <tp>
        <v>1036</v>
        <stp/>
        <stp>VOLUME</stp>
        <stp>.SPXW251110P6740</stp>
        <tr r="B106" s="2"/>
        <tr r="B106" s="2"/>
        <tr r="Q105" s="1"/>
        <tr r="Q105" s="1"/>
      </tp>
      <tp>
        <v>202</v>
        <stp/>
        <stp>VOLUME</stp>
        <stp>.SPXW251111P6750</stp>
        <tr r="C104" s="2"/>
        <tr r="C104" s="2"/>
      </tp>
      <tp>
        <v>79</v>
        <stp/>
        <stp>VOLUME</stp>
        <stp>.SPXW251112P6760</stp>
        <tr r="D102" s="2"/>
        <tr r="D102" s="2"/>
      </tp>
      <tp>
        <v>41</v>
        <stp/>
        <stp>VOLUME</stp>
        <stp>.SPXW251113P6770</stp>
        <tr r="E100" s="2"/>
        <tr r="E100" s="2"/>
      </tp>
      <tp>
        <v>2271</v>
        <stp/>
        <stp>VOLUME</stp>
        <stp>.SPXW251114P6700</stp>
        <tr r="S113" s="1"/>
        <tr r="S113" s="1"/>
      </tp>
      <tp t="s">
        <v>N/A</v>
        <stp/>
        <stp>VOLUME</stp>
        <stp>.SPXW260501P6660</stp>
        <tr r="R122" s="2"/>
      </tp>
      <tp t="s">
        <v>N/A</v>
        <stp/>
        <stp>VOLUME</stp>
        <stp>.QQQP618</stp>
        <tr r="F57" s="2"/>
        <tr r="G57" s="2"/>
      </tp>
      <tp t="s">
        <v>N/A</v>
        <stp/>
        <stp>VOLUME</stp>
        <stp>.QQQC618</stp>
        <tr r="F57" s="2"/>
        <tr r="G57" s="2"/>
      </tp>
      <tp t="s">
        <v>N/A</v>
        <stp/>
        <stp>VOLUME</stp>
        <stp>.QQQP619</stp>
        <tr r="F56" s="2"/>
        <tr r="G56" s="2"/>
      </tp>
      <tp t="s">
        <v>N/A</v>
        <stp/>
        <stp>VOLUME</stp>
        <stp>.QQQC619</stp>
        <tr r="F56" s="2"/>
        <tr r="G56" s="2"/>
      </tp>
      <tp t="s">
        <v>N/A</v>
        <stp/>
        <stp>VOLUME</stp>
        <stp>.QQQP614</stp>
        <tr r="G61" s="2"/>
        <tr r="F61" s="2"/>
      </tp>
      <tp t="s">
        <v>N/A</v>
        <stp/>
        <stp>VOLUME</stp>
        <stp>.QQQC614</stp>
        <tr r="G61" s="2"/>
        <tr r="F61" s="2"/>
      </tp>
      <tp t="s">
        <v>N/A</v>
        <stp/>
        <stp>VOLUME</stp>
        <stp>.QQQP615</stp>
        <tr r="F60" s="2"/>
        <tr r="G60" s="2"/>
      </tp>
      <tp t="s">
        <v>N/A</v>
        <stp/>
        <stp>VOLUME</stp>
        <stp>.QQQC615</stp>
        <tr r="F60" s="2"/>
        <tr r="G60" s="2"/>
      </tp>
      <tp t="s">
        <v>N/A</v>
        <stp/>
        <stp>VOLUME</stp>
        <stp>.QQQP616</stp>
        <tr r="G59" s="2"/>
        <tr r="F59" s="2"/>
      </tp>
      <tp t="s">
        <v>N/A</v>
        <stp/>
        <stp>VOLUME</stp>
        <stp>.QQQC616</stp>
        <tr r="G59" s="2"/>
        <tr r="F59" s="2"/>
      </tp>
      <tp t="s">
        <v>N/A</v>
        <stp/>
        <stp>VOLUME</stp>
        <stp>.QQQP617</stp>
        <tr r="G58" s="2"/>
        <tr r="F58" s="2"/>
      </tp>
      <tp t="s">
        <v>N/A</v>
        <stp/>
        <stp>VOLUME</stp>
        <stp>.QQQC617</stp>
        <tr r="G58" s="2"/>
        <tr r="F58" s="2"/>
      </tp>
      <tp t="s">
        <v>N/A</v>
        <stp/>
        <stp>VOLUME</stp>
        <stp>.QQQP610</stp>
        <tr r="F65" s="2"/>
        <tr r="G65" s="2"/>
      </tp>
      <tp t="s">
        <v>N/A</v>
        <stp/>
        <stp>VOLUME</stp>
        <stp>.QQQC610</stp>
        <tr r="F65" s="2"/>
        <tr r="G65" s="2"/>
      </tp>
      <tp t="s">
        <v>N/A</v>
        <stp/>
        <stp>VOLUME</stp>
        <stp>.QQQP611</stp>
        <tr r="F64" s="2"/>
        <tr r="G64" s="2"/>
      </tp>
      <tp t="s">
        <v>N/A</v>
        <stp/>
        <stp>VOLUME</stp>
        <stp>.QQQC611</stp>
        <tr r="F64" s="2"/>
        <tr r="G64" s="2"/>
      </tp>
      <tp t="s">
        <v>N/A</v>
        <stp/>
        <stp>VOLUME</stp>
        <stp>.QQQP612</stp>
        <tr r="G63" s="2"/>
        <tr r="F63" s="2"/>
      </tp>
      <tp t="s">
        <v>N/A</v>
        <stp/>
        <stp>VOLUME</stp>
        <stp>.QQQC612</stp>
        <tr r="G63" s="2"/>
        <tr r="F63" s="2"/>
      </tp>
      <tp t="s">
        <v>N/A</v>
        <stp/>
        <stp>VOLUME</stp>
        <stp>.QQQP613</stp>
        <tr r="F62" s="2"/>
        <tr r="G62" s="2"/>
      </tp>
      <tp t="s">
        <v>N/A</v>
        <stp/>
        <stp>VOLUME</stp>
        <stp>.QQQC613</stp>
        <tr r="F62" s="2"/>
        <tr r="G62" s="2"/>
      </tp>
      <tp>
        <v>8</v>
        <stp/>
        <stp>VOLUME</stp>
        <stp>.NDXP251112P24900</stp>
        <tr r="D166" s="2"/>
        <tr r="D166" s="2"/>
      </tp>
      <tp>
        <v>4</v>
        <stp/>
        <stp>VOLUME</stp>
        <stp>.NDXP251113P24800</stp>
        <tr r="E170" s="2"/>
        <tr r="E170" s="2"/>
      </tp>
      <tp t="s">
        <v>N/A</v>
        <stp/>
        <stp>VOLUME</stp>
        <stp>.NDXP261030P24800</stp>
        <tr r="X170" s="2"/>
      </tp>
      <tp t="s">
        <v>N/A</v>
        <stp/>
        <stp>VOLUME</stp>
        <stp>.NDXP251212P24900</stp>
        <tr r="J166" s="2"/>
      </tp>
      <tp>
        <v>15</v>
        <stp/>
        <stp>VOLUME</stp>
        <stp>.SPXW251212C6775</stp>
        <tr r="J99" s="2"/>
        <tr r="J99" s="2"/>
      </tp>
      <tp>
        <v>3021</v>
        <stp/>
        <stp>VOLUME</stp>
        <stp>.SPXW251110C6755</stp>
        <tr r="B103" s="2"/>
        <tr r="B103" s="2"/>
        <tr r="P102" s="1"/>
        <tr r="P102" s="1"/>
      </tp>
      <tp>
        <v>192</v>
        <stp/>
        <stp>VOLUME</stp>
        <stp>.SPXW251111C6745</stp>
        <tr r="C105" s="2"/>
        <tr r="C105" s="2"/>
      </tp>
      <tp>
        <v>671</v>
        <stp/>
        <stp>VOLUME</stp>
        <stp>.SPXW251112C6775</stp>
        <tr r="D99" s="2"/>
        <tr r="D99" s="2"/>
      </tp>
      <tp>
        <v>234</v>
        <stp/>
        <stp>VOLUME</stp>
        <stp>.SPXW251113C6765</stp>
        <tr r="E101" s="2"/>
        <tr r="E101" s="2"/>
      </tp>
      <tp>
        <v>344</v>
        <stp/>
        <stp>VOLUME</stp>
        <stp>.SPXW251114C6715</stp>
        <tr r="R110" s="1"/>
        <tr r="R110" s="1"/>
      </tp>
      <tp t="s">
        <v>N/A</v>
        <stp/>
        <stp>VOLUME</stp>
        <stp>.SPXW260501C6675</stp>
        <tr r="R119" s="2"/>
      </tp>
      <tp t="s">
        <v>N/A</v>
        <stp/>
        <stp>VOLUME</stp>
        <stp>.SPXW260501C6670</stp>
        <tr r="R120" s="2"/>
      </tp>
      <tp>
        <v>1</v>
        <stp/>
        <stp>VOLUME</stp>
        <stp>.SPXW251212C6770</stp>
        <tr r="J100" s="2"/>
        <tr r="J100" s="2"/>
      </tp>
      <tp>
        <v>11757</v>
        <stp/>
        <stp>VOLUME</stp>
        <stp>.SPXW251110C6750</stp>
        <tr r="B104" s="2"/>
        <tr r="B104" s="2"/>
        <tr r="P103" s="1"/>
        <tr r="P103" s="1"/>
      </tp>
      <tp>
        <v>469</v>
        <stp/>
        <stp>VOLUME</stp>
        <stp>.SPXW251111C6740</stp>
        <tr r="C106" s="2"/>
        <tr r="C106" s="2"/>
      </tp>
      <tp>
        <v>483</v>
        <stp/>
        <stp>VOLUME</stp>
        <stp>.SPXW251112C6770</stp>
        <tr r="D100" s="2"/>
        <tr r="D100" s="2"/>
      </tp>
      <tp>
        <v>147</v>
        <stp/>
        <stp>VOLUME</stp>
        <stp>.SPXW251113C6760</stp>
        <tr r="E102" s="2"/>
        <tr r="E102" s="2"/>
      </tp>
      <tp>
        <v>564</v>
        <stp/>
        <stp>VOLUME</stp>
        <stp>.SPXW251114C6710</stp>
        <tr r="R111" s="1"/>
        <tr r="R111" s="1"/>
      </tp>
      <tp t="s">
        <v>N/A</v>
        <stp/>
        <stp>VOLUME</stp>
        <stp>.SPXW260501P6675</stp>
        <tr r="R119" s="2"/>
      </tp>
      <tp>
        <v>3</v>
        <stp/>
        <stp>VOLUME</stp>
        <stp>.SPXW251212P6775</stp>
        <tr r="J99" s="2"/>
        <tr r="J99" s="2"/>
      </tp>
      <tp>
        <v>293</v>
        <stp/>
        <stp>VOLUME</stp>
        <stp>.SPXW251110P6755</stp>
        <tr r="B103" s="2"/>
        <tr r="B103" s="2"/>
        <tr r="Q102" s="1"/>
        <tr r="Q102" s="1"/>
      </tp>
      <tp>
        <v>157</v>
        <stp/>
        <stp>VOLUME</stp>
        <stp>.SPXW251111P6745</stp>
        <tr r="C105" s="2"/>
        <tr r="C105" s="2"/>
      </tp>
      <tp>
        <v>65</v>
        <stp/>
        <stp>VOLUME</stp>
        <stp>.SPXW251112P6775</stp>
        <tr r="D99" s="2"/>
        <tr r="D99" s="2"/>
      </tp>
      <tp>
        <v>15</v>
        <stp/>
        <stp>VOLUME</stp>
        <stp>.SPXW251113P6765</stp>
        <tr r="E101" s="2"/>
        <tr r="E101" s="2"/>
      </tp>
      <tp>
        <v>473</v>
        <stp/>
        <stp>VOLUME</stp>
        <stp>.SPXW251114P6715</stp>
        <tr r="S110" s="1"/>
        <tr r="S110" s="1"/>
      </tp>
      <tp>
        <v>19</v>
        <stp/>
        <stp>VOLUME</stp>
        <stp>.SPXW251212P6770</stp>
        <tr r="J100" s="2"/>
        <tr r="J100" s="2"/>
      </tp>
      <tp>
        <v>874</v>
        <stp/>
        <stp>VOLUME</stp>
        <stp>.SPXW251110P6750</stp>
        <tr r="B104" s="2"/>
        <tr r="B104" s="2"/>
        <tr r="Q103" s="1"/>
        <tr r="Q103" s="1"/>
      </tp>
      <tp>
        <v>196</v>
        <stp/>
        <stp>VOLUME</stp>
        <stp>.SPXW251111P6740</stp>
        <tr r="C106" s="2"/>
        <tr r="C106" s="2"/>
      </tp>
      <tp>
        <v>510</v>
        <stp/>
        <stp>VOLUME</stp>
        <stp>.SPXW251112P6770</stp>
        <tr r="D100" s="2"/>
        <tr r="D100" s="2"/>
      </tp>
      <tp>
        <v>63</v>
        <stp/>
        <stp>VOLUME</stp>
        <stp>.SPXW251113P6760</stp>
        <tr r="E102" s="2"/>
        <tr r="E102" s="2"/>
      </tp>
      <tp>
        <v>674</v>
        <stp/>
        <stp>VOLUME</stp>
        <stp>.SPXW251114P6710</stp>
        <tr r="S111" s="1"/>
        <tr r="S111" s="1"/>
      </tp>
      <tp t="s">
        <v>N/A</v>
        <stp/>
        <stp>VOLUME</stp>
        <stp>.SPXW260501P6670</stp>
        <tr r="R120" s="2"/>
      </tp>
      <tp t="s">
        <v>N/A</v>
        <stp/>
        <stp>VOLUME</stp>
        <stp>.QQQP628</stp>
        <tr r="F47" s="2"/>
        <tr r="G47" s="2"/>
      </tp>
      <tp t="s">
        <v>N/A</v>
        <stp/>
        <stp>VOLUME</stp>
        <stp>.QQQC628</stp>
        <tr r="F47" s="2"/>
        <tr r="G47" s="2"/>
      </tp>
      <tp t="s">
        <v>N/A</v>
        <stp/>
        <stp>VOLUME</stp>
        <stp>.QQQP629</stp>
        <tr r="G46" s="2"/>
        <tr r="F46" s="2"/>
      </tp>
      <tp t="s">
        <v>N/A</v>
        <stp/>
        <stp>VOLUME</stp>
        <stp>.QQQC629</stp>
        <tr r="G46" s="2"/>
        <tr r="F46" s="2"/>
      </tp>
      <tp t="s">
        <v>N/A</v>
        <stp/>
        <stp>VOLUME</stp>
        <stp>.QQQP624</stp>
        <tr r="G51" s="2"/>
        <tr r="F51" s="2"/>
      </tp>
      <tp t="s">
        <v>N/A</v>
        <stp/>
        <stp>VOLUME</stp>
        <stp>.QQQC624</stp>
        <tr r="G51" s="2"/>
        <tr r="F51" s="2"/>
      </tp>
      <tp t="s">
        <v>N/A</v>
        <stp/>
        <stp>VOLUME</stp>
        <stp>.QQQP625</stp>
        <tr r="F50" s="2"/>
        <tr r="G50" s="2"/>
      </tp>
      <tp t="s">
        <v>N/A</v>
        <stp/>
        <stp>VOLUME</stp>
        <stp>.QQQC625</stp>
        <tr r="F50" s="2"/>
        <tr r="G50" s="2"/>
      </tp>
      <tp t="s">
        <v>N/A</v>
        <stp/>
        <stp>VOLUME</stp>
        <stp>.QQQP626</stp>
        <tr r="G49" s="2"/>
        <tr r="F49" s="2"/>
      </tp>
      <tp t="s">
        <v>N/A</v>
        <stp/>
        <stp>VOLUME</stp>
        <stp>.QQQC626</stp>
        <tr r="G49" s="2"/>
        <tr r="F49" s="2"/>
      </tp>
      <tp t="s">
        <v>N/A</v>
        <stp/>
        <stp>VOLUME</stp>
        <stp>.QQQP627</stp>
        <tr r="G48" s="2"/>
        <tr r="F48" s="2"/>
      </tp>
      <tp t="s">
        <v>N/A</v>
        <stp/>
        <stp>VOLUME</stp>
        <stp>.QQQC627</stp>
        <tr r="G48" s="2"/>
        <tr r="F48" s="2"/>
      </tp>
      <tp t="s">
        <v>N/A</v>
        <stp/>
        <stp>VOLUME</stp>
        <stp>.QQQP620</stp>
        <tr r="F55" s="2"/>
        <tr r="G55" s="2"/>
      </tp>
      <tp t="s">
        <v>N/A</v>
        <stp/>
        <stp>VOLUME</stp>
        <stp>.QQQC620</stp>
        <tr r="F55" s="2"/>
        <tr r="G55" s="2"/>
      </tp>
      <tp t="s">
        <v>N/A</v>
        <stp/>
        <stp>VOLUME</stp>
        <stp>.QQQP621</stp>
        <tr r="F54" s="2"/>
        <tr r="G54" s="2"/>
      </tp>
      <tp t="s">
        <v>N/A</v>
        <stp/>
        <stp>VOLUME</stp>
        <stp>.QQQC621</stp>
        <tr r="F54" s="2"/>
        <tr r="G54" s="2"/>
      </tp>
      <tp t="s">
        <v>N/A</v>
        <stp/>
        <stp>VOLUME</stp>
        <stp>.QQQP622</stp>
        <tr r="G53" s="2"/>
        <tr r="F53" s="2"/>
      </tp>
      <tp t="s">
        <v>N/A</v>
        <stp/>
        <stp>VOLUME</stp>
        <stp>.QQQC622</stp>
        <tr r="G53" s="2"/>
        <tr r="F53" s="2"/>
      </tp>
      <tp t="s">
        <v>N/A</v>
        <stp/>
        <stp>VOLUME</stp>
        <stp>.QQQP623</stp>
        <tr r="G52" s="2"/>
        <tr r="F52" s="2"/>
      </tp>
      <tp t="s">
        <v>N/A</v>
        <stp/>
        <stp>VOLUME</stp>
        <stp>.QQQC623</stp>
        <tr r="G52" s="2"/>
        <tr r="F52" s="2"/>
      </tp>
      <tp t="s">
        <v>N/A</v>
        <stp/>
        <stp>VOLUME</stp>
        <stp>.NDXP260828P25025</stp>
        <tr r="V161" s="2"/>
      </tp>
      <tp t="s">
        <v>N/A</v>
        <stp/>
        <stp>VOLUME</stp>
        <stp>.NDXP260501P24925</stp>
        <tr r="R165" s="2"/>
      </tp>
      <tp t="s">
        <v>N/A</v>
        <stp/>
        <stp>VOLUME</stp>
        <stp>.NDXP260109P25125</stp>
        <tr r="L157" s="2"/>
      </tp>
      <tp>
        <v>6</v>
        <stp/>
        <stp>VOLUME</stp>
        <stp>.SPXW251205C6635</stp>
        <tr r="I127" s="2"/>
        <tr r="I127" s="2"/>
      </tp>
      <tp t="s">
        <v>N/A</v>
        <stp/>
        <stp>VOLUME</stp>
        <stp>.SPXW251212C6745</stp>
        <tr r="J105" s="2"/>
      </tp>
      <tp>
        <v>3669</v>
        <stp/>
        <stp>VOLUME</stp>
        <stp>.SPXW251110C6765</stp>
        <tr r="B101" s="2"/>
        <tr r="B101" s="2"/>
        <tr r="P100" s="1"/>
        <tr r="P100" s="1"/>
      </tp>
      <tp>
        <v>514</v>
        <stp/>
        <stp>VOLUME</stp>
        <stp>.SPXW251111C6775</stp>
        <tr r="C99" s="2"/>
        <tr r="C99" s="2"/>
      </tp>
      <tp>
        <v>116</v>
        <stp/>
        <stp>VOLUME</stp>
        <stp>.SPXW251112C6745</stp>
        <tr r="D105" s="2"/>
        <tr r="D105" s="2"/>
      </tp>
      <tp>
        <v>153</v>
        <stp/>
        <stp>VOLUME</stp>
        <stp>.SPXW251113C6755</stp>
        <tr r="E103" s="2"/>
        <tr r="E103" s="2"/>
      </tp>
      <tp>
        <v>454</v>
        <stp/>
        <stp>VOLUME</stp>
        <stp>.SPXW251114C6725</stp>
        <tr r="R108" s="1"/>
        <tr r="R108" s="1"/>
      </tp>
      <tp t="s">
        <v>N/A</v>
        <stp/>
        <stp>VOLUME</stp>
        <stp>.SPXW260206C6635</stp>
        <tr r="N127" s="2"/>
      </tp>
      <tp t="s">
        <v>N/A</v>
        <stp/>
        <stp>VOLUME</stp>
        <stp>.SPXW260501C6645</stp>
        <tr r="R125" s="2"/>
      </tp>
      <tp t="s">
        <v>N/A</v>
        <stp/>
        <stp>VOLUME</stp>
        <stp>.SPXW260206C6630</stp>
        <tr r="N128" s="2"/>
      </tp>
      <tp t="s">
        <v>N/A</v>
        <stp/>
        <stp>VOLUME</stp>
        <stp>.SPXW260501C6640</stp>
        <tr r="R126" s="2"/>
      </tp>
      <tp>
        <v>10</v>
        <stp/>
        <stp>VOLUME</stp>
        <stp>.SPXW251205C6630</stp>
        <tr r="I128" s="2"/>
        <tr r="I128" s="2"/>
      </tp>
      <tp>
        <v>21</v>
        <stp/>
        <stp>VOLUME</stp>
        <stp>.SPXW251212C6740</stp>
        <tr r="J106" s="2"/>
        <tr r="J106" s="2"/>
      </tp>
      <tp>
        <v>5678</v>
        <stp/>
        <stp>VOLUME</stp>
        <stp>.SPXW251110C6760</stp>
        <tr r="B102" s="2"/>
        <tr r="B102" s="2"/>
        <tr r="P101" s="1"/>
        <tr r="P101" s="1"/>
      </tp>
      <tp>
        <v>400</v>
        <stp/>
        <stp>VOLUME</stp>
        <stp>.SPXW251111C6770</stp>
        <tr r="C100" s="2"/>
        <tr r="C100" s="2"/>
      </tp>
      <tp>
        <v>204</v>
        <stp/>
        <stp>VOLUME</stp>
        <stp>.SPXW251112C6740</stp>
        <tr r="D106" s="2"/>
        <tr r="D106" s="2"/>
      </tp>
      <tp>
        <v>425</v>
        <stp/>
        <stp>VOLUME</stp>
        <stp>.SPXW251113C6750</stp>
        <tr r="E104" s="2"/>
        <tr r="E104" s="2"/>
      </tp>
      <tp>
        <v>1268</v>
        <stp/>
        <stp>VOLUME</stp>
        <stp>.SPXW251114C6720</stp>
        <tr r="R109" s="1"/>
        <tr r="R109" s="1"/>
      </tp>
      <tp t="s">
        <v>N/A</v>
        <stp/>
        <stp>VOLUME</stp>
        <stp>.SPXW260206P6635</stp>
        <tr r="N127" s="2"/>
      </tp>
      <tp t="s">
        <v>N/A</v>
        <stp/>
        <stp>VOLUME</stp>
        <stp>.SPXW260501P6645</stp>
        <tr r="R125" s="2"/>
      </tp>
      <tp>
        <v>1</v>
        <stp/>
        <stp>VOLUME</stp>
        <stp>.SPXW251205P6635</stp>
        <tr r="I127" s="2"/>
        <tr r="I127" s="2"/>
      </tp>
      <tp t="s">
        <v>N/A</v>
        <stp/>
        <stp>VOLUME</stp>
        <stp>.SPXW251212P6745</stp>
        <tr r="J105" s="2"/>
      </tp>
      <tp>
        <v>383</v>
        <stp/>
        <stp>VOLUME</stp>
        <stp>.SPXW251110P6765</stp>
        <tr r="B101" s="2"/>
        <tr r="B101" s="2"/>
        <tr r="Q100" s="1"/>
        <tr r="Q100" s="1"/>
      </tp>
      <tp>
        <v>76</v>
        <stp/>
        <stp>VOLUME</stp>
        <stp>.SPXW251111P6775</stp>
        <tr r="C99" s="2"/>
        <tr r="C99" s="2"/>
      </tp>
      <tp>
        <v>56</v>
        <stp/>
        <stp>VOLUME</stp>
        <stp>.SPXW251112P6745</stp>
        <tr r="D105" s="2"/>
        <tr r="D105" s="2"/>
      </tp>
      <tp>
        <v>34</v>
        <stp/>
        <stp>VOLUME</stp>
        <stp>.SPXW251113P6755</stp>
        <tr r="E103" s="2"/>
        <tr r="E103" s="2"/>
      </tp>
      <tp>
        <v>253</v>
        <stp/>
        <stp>VOLUME</stp>
        <stp>.SPXW251114P6725</stp>
        <tr r="S108" s="1"/>
        <tr r="S108" s="1"/>
      </tp>
      <tp>
        <v>21</v>
        <stp/>
        <stp>VOLUME</stp>
        <stp>.SPXW251205P6630</stp>
        <tr r="I128" s="2"/>
        <tr r="I128" s="2"/>
      </tp>
      <tp>
        <v>55</v>
        <stp/>
        <stp>VOLUME</stp>
        <stp>.SPXW251212P6740</stp>
        <tr r="J106" s="2"/>
        <tr r="J106" s="2"/>
      </tp>
      <tp>
        <v>1308</v>
        <stp/>
        <stp>VOLUME</stp>
        <stp>.SPXW251110P6760</stp>
        <tr r="B102" s="2"/>
        <tr r="B102" s="2"/>
        <tr r="Q101" s="1"/>
        <tr r="Q101" s="1"/>
      </tp>
      <tp>
        <v>54</v>
        <stp/>
        <stp>VOLUME</stp>
        <stp>.SPXW251111P6770</stp>
        <tr r="C100" s="2"/>
        <tr r="C100" s="2"/>
      </tp>
      <tp>
        <v>141</v>
        <stp/>
        <stp>VOLUME</stp>
        <stp>.SPXW251112P6740</stp>
        <tr r="D106" s="2"/>
        <tr r="D106" s="2"/>
      </tp>
      <tp>
        <v>262</v>
        <stp/>
        <stp>VOLUME</stp>
        <stp>.SPXW251113P6750</stp>
        <tr r="E104" s="2"/>
        <tr r="E104" s="2"/>
      </tp>
      <tp>
        <v>518</v>
        <stp/>
        <stp>VOLUME</stp>
        <stp>.SPXW251114P6720</stp>
        <tr r="S109" s="1"/>
        <tr r="S109" s="1"/>
      </tp>
      <tp t="s">
        <v>N/A</v>
        <stp/>
        <stp>VOLUME</stp>
        <stp>.SPXW260206P6630</stp>
        <tr r="N128" s="2"/>
      </tp>
      <tp t="s">
        <v>N/A</v>
        <stp/>
        <stp>VOLUME</stp>
        <stp>.SPXW260501P6640</stp>
        <tr r="R126" s="2"/>
      </tp>
      <tp t="s">
        <v>N/A</v>
        <stp/>
        <stp>VOLUME</stp>
        <stp>.NDXP261030P24825</stp>
        <tr r="X169" s="2"/>
      </tp>
      <tp t="s">
        <v>N/A</v>
        <stp/>
        <stp>VOLUME</stp>
        <stp>.NDXP251112P24925</stp>
        <tr r="D165" s="2"/>
      </tp>
      <tp t="s">
        <v>N/A</v>
        <stp/>
        <stp>VOLUME</stp>
        <stp>.NDXP251113P24825</stp>
        <tr r="E169" s="2"/>
      </tp>
      <tp t="s">
        <v>N/A</v>
        <stp/>
        <stp>VOLUME</stp>
        <stp>.NDXP251212P24925</stp>
        <tr r="J165" s="2"/>
      </tp>
      <tp>
        <v>23</v>
        <stp/>
        <stp>VOLUME</stp>
        <stp>.SPXW251205C6625</stp>
        <tr r="I129" s="2"/>
        <tr r="I129" s="2"/>
      </tp>
      <tp t="s">
        <v>N/A</v>
        <stp/>
        <stp>VOLUME</stp>
        <stp>.SPXW251212C6755</stp>
        <tr r="J103" s="2"/>
      </tp>
      <tp>
        <v>3752</v>
        <stp/>
        <stp>VOLUME</stp>
        <stp>.SPXW251110C6775</stp>
        <tr r="B99" s="2"/>
        <tr r="B99" s="2"/>
        <tr r="P98" s="1"/>
        <tr r="P98" s="1"/>
      </tp>
      <tp>
        <v>426</v>
        <stp/>
        <stp>VOLUME</stp>
        <stp>.SPXW251111C6765</stp>
        <tr r="C101" s="2"/>
        <tr r="C101" s="2"/>
      </tp>
      <tp>
        <v>245</v>
        <stp/>
        <stp>VOLUME</stp>
        <stp>.SPXW251112C6755</stp>
        <tr r="D103" s="2"/>
        <tr r="D103" s="2"/>
      </tp>
      <tp>
        <v>55</v>
        <stp/>
        <stp>VOLUME</stp>
        <stp>.SPXW251113C6745</stp>
        <tr r="E105" s="2"/>
        <tr r="E105" s="2"/>
      </tp>
      <tp>
        <v>252</v>
        <stp/>
        <stp>VOLUME</stp>
        <stp>.SPXW251114C6735</stp>
        <tr r="R106" s="1"/>
        <tr r="R106" s="1"/>
      </tp>
      <tp t="s">
        <v>N/A</v>
        <stp/>
        <stp>VOLUME</stp>
        <stp>.SPXW260206C6625</stp>
        <tr r="N129" s="2"/>
      </tp>
      <tp t="s">
        <v>N/A</v>
        <stp/>
        <stp>VOLUME</stp>
        <stp>.SPXW260501C6655</stp>
        <tr r="R123" s="2"/>
      </tp>
      <tp t="s">
        <v>N/A</v>
        <stp/>
        <stp>VOLUME</stp>
        <stp>.SPXW260206C6620</stp>
        <tr r="N130" s="2"/>
      </tp>
      <tp t="s">
        <v>N/A</v>
        <stp/>
        <stp>VOLUME</stp>
        <stp>.SPXW260501C6650</stp>
        <tr r="R124" s="2"/>
      </tp>
      <tp>
        <v>2</v>
        <stp/>
        <stp>VOLUME</stp>
        <stp>.SPXW251205C6620</stp>
        <tr r="I130" s="2"/>
        <tr r="I130" s="2"/>
      </tp>
      <tp>
        <v>27</v>
        <stp/>
        <stp>VOLUME</stp>
        <stp>.SPXW251212C6750</stp>
        <tr r="J104" s="2"/>
        <tr r="J104" s="2"/>
      </tp>
      <tp>
        <v>2963</v>
        <stp/>
        <stp>VOLUME</stp>
        <stp>.SPXW251110C6770</stp>
        <tr r="B100" s="2"/>
        <tr r="B100" s="2"/>
        <tr r="P99" s="1"/>
        <tr r="P99" s="1"/>
      </tp>
      <tp>
        <v>939</v>
        <stp/>
        <stp>VOLUME</stp>
        <stp>.SPXW251111C6760</stp>
        <tr r="C102" s="2"/>
        <tr r="C102" s="2"/>
      </tp>
      <tp>
        <v>1015</v>
        <stp/>
        <stp>VOLUME</stp>
        <stp>.SPXW251112C6750</stp>
        <tr r="D104" s="2"/>
        <tr r="D104" s="2"/>
      </tp>
      <tp>
        <v>158</v>
        <stp/>
        <stp>VOLUME</stp>
        <stp>.SPXW251113C6740</stp>
        <tr r="E106" s="2"/>
        <tr r="E106" s="2"/>
      </tp>
      <tp>
        <v>569</v>
        <stp/>
        <stp>VOLUME</stp>
        <stp>.SPXW251114C6730</stp>
        <tr r="R107" s="1"/>
        <tr r="R107" s="1"/>
      </tp>
      <tp t="s">
        <v>N/A</v>
        <stp/>
        <stp>VOLUME</stp>
        <stp>.SPXW260206P6625</stp>
        <tr r="N129" s="2"/>
      </tp>
      <tp t="s">
        <v>N/A</v>
        <stp/>
        <stp>VOLUME</stp>
        <stp>.SPXW260501P6655</stp>
        <tr r="R123" s="2"/>
      </tp>
      <tp>
        <v>162</v>
        <stp/>
        <stp>VOLUME</stp>
        <stp>.SPXW251205P6625</stp>
        <tr r="I129" s="2"/>
        <tr r="I129" s="2"/>
      </tp>
      <tp t="s">
        <v>N/A</v>
        <stp/>
        <stp>VOLUME</stp>
        <stp>.SPXW251212P6755</stp>
        <tr r="J103" s="2"/>
      </tp>
      <tp>
        <v>336</v>
        <stp/>
        <stp>VOLUME</stp>
        <stp>.SPXW251110P6775</stp>
        <tr r="B99" s="2"/>
        <tr r="B99" s="2"/>
        <tr r="Q98" s="1"/>
        <tr r="Q98" s="1"/>
      </tp>
      <tp>
        <v>106</v>
        <stp/>
        <stp>VOLUME</stp>
        <stp>.SPXW251111P6765</stp>
        <tr r="C101" s="2"/>
        <tr r="C101" s="2"/>
      </tp>
      <tp>
        <v>43</v>
        <stp/>
        <stp>VOLUME</stp>
        <stp>.SPXW251112P6755</stp>
        <tr r="D103" s="2"/>
        <tr r="D103" s="2"/>
      </tp>
      <tp>
        <v>58</v>
        <stp/>
        <stp>VOLUME</stp>
        <stp>.SPXW251113P6745</stp>
        <tr r="E105" s="2"/>
        <tr r="E105" s="2"/>
      </tp>
      <tp>
        <v>175</v>
        <stp/>
        <stp>VOLUME</stp>
        <stp>.SPXW251114P6735</stp>
        <tr r="S106" s="1"/>
        <tr r="S106" s="1"/>
      </tp>
      <tp>
        <v>57</v>
        <stp/>
        <stp>VOLUME</stp>
        <stp>.SPXW251205P6620</stp>
        <tr r="I130" s="2"/>
        <tr r="I130" s="2"/>
      </tp>
      <tp>
        <v>1266</v>
        <stp/>
        <stp>VOLUME</stp>
        <stp>.SPXW251212P6750</stp>
        <tr r="J104" s="2"/>
        <tr r="J104" s="2"/>
      </tp>
      <tp>
        <v>318</v>
        <stp/>
        <stp>VOLUME</stp>
        <stp>.SPXW251110P6770</stp>
        <tr r="B100" s="2"/>
        <tr r="B100" s="2"/>
        <tr r="Q99" s="1"/>
        <tr r="Q99" s="1"/>
      </tp>
      <tp>
        <v>64</v>
        <stp/>
        <stp>VOLUME</stp>
        <stp>.SPXW251111P6760</stp>
        <tr r="C102" s="2"/>
        <tr r="C102" s="2"/>
      </tp>
      <tp>
        <v>199</v>
        <stp/>
        <stp>VOLUME</stp>
        <stp>.SPXW251112P6750</stp>
        <tr r="D104" s="2"/>
        <tr r="D104" s="2"/>
      </tp>
      <tp>
        <v>33</v>
        <stp/>
        <stp>VOLUME</stp>
        <stp>.SPXW251113P6740</stp>
        <tr r="E106" s="2"/>
        <tr r="E106" s="2"/>
      </tp>
      <tp>
        <v>179</v>
        <stp/>
        <stp>VOLUME</stp>
        <stp>.SPXW251114P6730</stp>
        <tr r="S107" s="1"/>
        <tr r="S107" s="1"/>
      </tp>
      <tp t="s">
        <v>N/A</v>
        <stp/>
        <stp>VOLUME</stp>
        <stp>.SPXW260206P6620</stp>
        <tr r="N130" s="2"/>
      </tp>
      <tp t="s">
        <v>N/A</v>
        <stp/>
        <stp>VOLUME</stp>
        <stp>.SPXW260501P6650</stp>
        <tr r="R124" s="2"/>
      </tp>
      <tp>
        <v>8</v>
        <stp/>
        <stp>OPEN_INT</stp>
        <stp>.NDXP251114C24900</stp>
        <tr r="J165" s="1"/>
        <tr r="J165" s="1"/>
      </tp>
      <tp>
        <v>0</v>
        <stp/>
        <stp>OPEN_INT</stp>
        <stp>.NDXP251114C24925</stp>
        <tr r="J164" s="1"/>
        <tr r="J164" s="1"/>
      </tp>
      <tp>
        <v>2</v>
        <stp/>
        <stp>OPEN_INT</stp>
        <stp>.NDXP251114C24950</stp>
        <tr r="J163" s="1"/>
        <tr r="J163" s="1"/>
      </tp>
      <tp>
        <v>4</v>
        <stp/>
        <stp>OPEN_INT</stp>
        <stp>.NDXP251114C24975</stp>
        <tr r="J162" s="1"/>
        <tr r="J162" s="1"/>
      </tp>
      <tp>
        <v>3</v>
        <stp/>
        <stp>OPEN_INT</stp>
        <stp>.NDXP251114P24925</stp>
        <tr r="K164" s="1"/>
        <tr r="K164" s="1"/>
      </tp>
      <tp>
        <v>208</v>
        <stp/>
        <stp>OPEN_INT</stp>
        <stp>.NDXP251114P24900</stp>
        <tr r="K165" s="1"/>
        <tr r="K165" s="1"/>
      </tp>
      <tp>
        <v>2</v>
        <stp/>
        <stp>OPEN_INT</stp>
        <stp>.NDXP251114P24975</stp>
        <tr r="K162" s="1"/>
        <tr r="K162" s="1"/>
      </tp>
      <tp>
        <v>11</v>
        <stp/>
        <stp>OPEN_INT</stp>
        <stp>.NDXP251114P24950</stp>
        <tr r="K163" s="1"/>
        <tr r="K163" s="1"/>
      </tp>
      <tp t="s">
        <v>N/A</v>
        <stp/>
        <stp>VOLUME</stp>
        <stp>.NDXP260501C24675</stp>
        <tr r="R175" s="2"/>
      </tp>
      <tp t="s">
        <v>N/A</v>
        <stp/>
        <stp>VOLUME</stp>
        <stp>.NDXP260626C25175</stp>
        <tr r="T155" s="2"/>
      </tp>
      <tp t="s">
        <v>N/A</v>
        <stp/>
        <stp>VOLUME</stp>
        <stp>.NDXP260206C25175</stp>
        <tr r="N155" s="2"/>
      </tp>
      <tp t="s">
        <v>N/A</v>
        <stp/>
        <stp>VOLUME</stp>
        <stp>.NDXP260227C25075</stp>
        <tr r="P159" s="2"/>
      </tp>
      <tp t="s">
        <v>N/A</v>
        <stp/>
        <stp>VOLUME</stp>
        <stp>.NDXP261030C24775</stp>
        <tr r="X171" s="2"/>
      </tp>
      <tp t="s">
        <v>N/A</v>
        <stp/>
        <stp>VOLUME</stp>
        <stp>.NDXP251110C25475</stp>
        <tr r="B143" s="2"/>
        <tr r="P142" s="1"/>
      </tp>
      <tp t="s">
        <v>N/A</v>
        <stp/>
        <stp>VOLUME</stp>
        <stp>.NDXP251111C25575</stp>
        <tr r="C139" s="2"/>
      </tp>
      <tp t="s">
        <v>N/A</v>
        <stp/>
        <stp>VOLUME</stp>
        <stp>.NDXP251114C25075</stp>
        <tr r="R158" s="1"/>
      </tp>
      <tp t="s">
        <v>N/A</v>
        <stp/>
        <stp>VOLUME</stp>
        <stp>.NDXP251110C24475</stp>
        <tr r="B183" s="2"/>
        <tr r="P182" s="1"/>
      </tp>
      <tp t="s">
        <v>N/A</v>
        <stp/>
        <stp>VOLUME</stp>
        <stp>.NDXP251111C24575</stp>
        <tr r="C179" s="2"/>
      </tp>
      <tp t="s">
        <v>N/A</v>
        <stp/>
        <stp>VOLUME</stp>
        <stp>.NDXP251112C24675</stp>
        <tr r="D175" s="2"/>
      </tp>
      <tp t="s">
        <v>N/A</v>
        <stp/>
        <stp>VOLUME</stp>
        <stp>.NDXP251113C24775</stp>
        <tr r="E171" s="2"/>
      </tp>
      <tp>
        <v>3</v>
        <stp/>
        <stp>VOLUME</stp>
        <stp>.NDXP251205C25175</stp>
        <tr r="I155" s="2"/>
        <tr r="I155" s="2"/>
      </tp>
      <tp t="s">
        <v>N/A</v>
        <stp/>
        <stp>VOLUME</stp>
        <stp>.NDXP251212C24675</stp>
        <tr r="J175" s="2"/>
      </tp>
      <tp t="s">
        <v>N/A</v>
        <stp/>
        <stp>VOLUME</stp>
        <stp>.NDXP260206C25150</stp>
        <tr r="N156" s="2"/>
      </tp>
      <tp t="s">
        <v>N/A</v>
        <stp/>
        <stp>VOLUME</stp>
        <stp>.NDXP260227C25050</stp>
        <tr r="P160" s="2"/>
      </tp>
      <tp t="s">
        <v>N/A</v>
        <stp/>
        <stp>VOLUME</stp>
        <stp>.NDXP260501C24650</stp>
        <tr r="R176" s="2"/>
      </tp>
      <tp t="s">
        <v>N/A</v>
        <stp/>
        <stp>VOLUME</stp>
        <stp>.NDXP260626C25150</stp>
        <tr r="T156" s="2"/>
      </tp>
      <tp>
        <v>29</v>
        <stp/>
        <stp>VOLUME</stp>
        <stp>.NDXP251110C25450</stp>
        <tr r="B144" s="2"/>
        <tr r="B144" s="2"/>
        <tr r="P143" s="1"/>
        <tr r="P143" s="1"/>
      </tp>
      <tp>
        <v>7</v>
        <stp/>
        <stp>VOLUME</stp>
        <stp>.NDXP251111C25550</stp>
        <tr r="C140" s="2"/>
        <tr r="C140" s="2"/>
      </tp>
      <tp>
        <v>51</v>
        <stp/>
        <stp>VOLUME</stp>
        <stp>.NDXP251114C25050</stp>
        <tr r="R159" s="1"/>
        <tr r="R159" s="1"/>
      </tp>
      <tp t="s">
        <v>N/A</v>
        <stp/>
        <stp>VOLUME</stp>
        <stp>.NDXP251110C24450</stp>
        <tr r="B184" s="2"/>
        <tr r="P183" s="1"/>
      </tp>
      <tp t="s">
        <v>N/A</v>
        <stp/>
        <stp>VOLUME</stp>
        <stp>.NDXP251111C24550</stp>
        <tr r="C180" s="2"/>
      </tp>
      <tp t="s">
        <v>N/A</v>
        <stp/>
        <stp>VOLUME</stp>
        <stp>.NDXP251112C24650</stp>
        <tr r="D176" s="2"/>
      </tp>
      <tp>
        <v>2</v>
        <stp/>
        <stp>VOLUME</stp>
        <stp>.NDXP251113C24750</stp>
        <tr r="E172" s="2"/>
        <tr r="E172" s="2"/>
      </tp>
      <tp t="s">
        <v>N/A</v>
        <stp/>
        <stp>VOLUME</stp>
        <stp>.NDXP261030C24750</stp>
        <tr r="X172" s="2"/>
      </tp>
      <tp>
        <v>2</v>
        <stp/>
        <stp>VOLUME</stp>
        <stp>.NDXP251205C25150</stp>
        <tr r="I156" s="2"/>
        <tr r="I156" s="2"/>
      </tp>
      <tp t="s">
        <v>N/A</v>
        <stp/>
        <stp>VOLUME</stp>
        <stp>.NDXP251212C24650</stp>
        <tr r="J176" s="2"/>
      </tp>
      <tp t="s">
        <v>N/A</v>
        <stp/>
        <stp>VOLUME</stp>
        <stp>.NDXP261030C24725</stp>
        <tr r="X173" s="2"/>
      </tp>
      <tp t="s">
        <v>N/A</v>
        <stp/>
        <stp>VOLUME</stp>
        <stp>.NDXP251110C25425</stp>
        <tr r="B145" s="2"/>
        <tr r="P144" s="1"/>
      </tp>
      <tp t="s">
        <v>N/A</v>
        <stp/>
        <stp>VOLUME</stp>
        <stp>.NDXP251111C25525</stp>
        <tr r="C141" s="2"/>
      </tp>
      <tp>
        <v>1</v>
        <stp/>
        <stp>VOLUME</stp>
        <stp>.NDXP251114C25025</stp>
        <tr r="R160" s="1"/>
        <tr r="R160" s="1"/>
      </tp>
      <tp t="s">
        <v>N/A</v>
        <stp/>
        <stp>VOLUME</stp>
        <stp>.NDXP251110C24425</stp>
        <tr r="B185" s="2"/>
        <tr r="P184" s="1"/>
      </tp>
      <tp t="s">
        <v>N/A</v>
        <stp/>
        <stp>VOLUME</stp>
        <stp>.NDXP251111C24525</stp>
        <tr r="C181" s="2"/>
      </tp>
      <tp t="s">
        <v>N/A</v>
        <stp/>
        <stp>VOLUME</stp>
        <stp>.NDXP251112C24625</stp>
        <tr r="D177" s="2"/>
      </tp>
      <tp t="s">
        <v>N/A</v>
        <stp/>
        <stp>VOLUME</stp>
        <stp>.NDXP251113C24725</stp>
        <tr r="E173" s="2"/>
      </tp>
      <tp t="s">
        <v>N/A</v>
        <stp/>
        <stp>VOLUME</stp>
        <stp>.NDXP251205C25125</stp>
        <tr r="I157" s="2"/>
      </tp>
      <tp t="s">
        <v>N/A</v>
        <stp/>
        <stp>VOLUME</stp>
        <stp>.NDXP251212C24625</stp>
        <tr r="J177" s="2"/>
      </tp>
      <tp t="s">
        <v>N/A</v>
        <stp/>
        <stp>VOLUME</stp>
        <stp>.NDXP260501C24625</stp>
        <tr r="R177" s="2"/>
      </tp>
      <tp t="s">
        <v>N/A</v>
        <stp/>
        <stp>VOLUME</stp>
        <stp>.NDXP260626C25125</stp>
        <tr r="T157" s="2"/>
      </tp>
      <tp t="s">
        <v>N/A</v>
        <stp/>
        <stp>VOLUME</stp>
        <stp>.NDXP260206C25125</stp>
        <tr r="N157" s="2"/>
      </tp>
      <tp t="s">
        <v>N/A</v>
        <stp/>
        <stp>VOLUME</stp>
        <stp>.NDXP260227C25025</stp>
        <tr r="P161" s="2"/>
      </tp>
      <tp>
        <v>81</v>
        <stp/>
        <stp>VOLUME</stp>
        <stp>.NDXP251110C25400</stp>
        <tr r="B146" s="2"/>
        <tr r="B146" s="2"/>
        <tr r="P145" s="1"/>
        <tr r="P145" s="1"/>
      </tp>
      <tp>
        <v>54</v>
        <stp/>
        <stp>VOLUME</stp>
        <stp>.NDXP251111C25500</stp>
        <tr r="C142" s="2"/>
        <tr r="C142" s="2"/>
      </tp>
      <tp>
        <v>429</v>
        <stp/>
        <stp>VOLUME</stp>
        <stp>.NDXP251112C25600</stp>
        <tr r="D138" s="2"/>
        <tr r="D138" s="2"/>
      </tp>
      <tp>
        <v>15</v>
        <stp/>
        <stp>VOLUME</stp>
        <stp>.NDXP251114C25000</stp>
        <tr r="R161" s="1"/>
        <tr r="R161" s="1"/>
      </tp>
      <tp>
        <v>2</v>
        <stp/>
        <stp>VOLUME</stp>
        <stp>.NDXP251110C24400</stp>
        <tr r="B186" s="2"/>
        <tr r="B186" s="2"/>
        <tr r="P185" s="1"/>
        <tr r="P185" s="1"/>
      </tp>
      <tp t="s">
        <v>N/A</v>
        <stp/>
        <stp>VOLUME</stp>
        <stp>.NDXP251111C24500</stp>
        <tr r="C182" s="2"/>
      </tp>
      <tp t="s">
        <v>N/A</v>
        <stp/>
        <stp>VOLUME</stp>
        <stp>.NDXP251112C24600</stp>
        <tr r="D178" s="2"/>
      </tp>
      <tp t="s">
        <v>N/A</v>
        <stp/>
        <stp>VOLUME</stp>
        <stp>.NDXP251113C24700</stp>
        <tr r="E174" s="2"/>
      </tp>
      <tp t="s">
        <v>N/A</v>
        <stp/>
        <stp>VOLUME</stp>
        <stp>.NDXP261030C24700</stp>
        <tr r="X174" s="2"/>
      </tp>
      <tp t="s">
        <v>N/A</v>
        <stp/>
        <stp>VOLUME</stp>
        <stp>.NDXP251212C25600</stp>
        <tr r="J138" s="2"/>
      </tp>
      <tp t="s">
        <v>N/A</v>
        <stp/>
        <stp>VOLUME</stp>
        <stp>.NDXP251205C25100</stp>
        <tr r="I158" s="2"/>
      </tp>
      <tp t="s">
        <v>N/A</v>
        <stp/>
        <stp>VOLUME</stp>
        <stp>.NDXP251212C24600</stp>
        <tr r="J178" s="2"/>
      </tp>
      <tp t="s">
        <v>N/A</v>
        <stp/>
        <stp>VOLUME</stp>
        <stp>.NDXP260206C25100</stp>
        <tr r="N158" s="2"/>
      </tp>
      <tp t="s">
        <v>N/A</v>
        <stp/>
        <stp>VOLUME</stp>
        <stp>.NDXP260227C25000</stp>
        <tr r="P162" s="2"/>
      </tp>
      <tp t="s">
        <v>N/A</v>
        <stp/>
        <stp>VOLUME</stp>
        <stp>.NDXP260501C24600</stp>
        <tr r="R178" s="2"/>
      </tp>
      <tp t="s">
        <v>N/A</v>
        <stp/>
        <stp>VOLUME</stp>
        <stp>.NDXP260501C25600</stp>
        <tr r="R138" s="2"/>
      </tp>
      <tp t="s">
        <v>N/A</v>
        <stp/>
        <stp>VOLUME</stp>
        <stp>.NDXP260626C25100</stp>
        <tr r="T158" s="2"/>
      </tp>
      <tp>
        <v>3</v>
        <stp/>
        <stp>VOLUME</stp>
        <stp>.SPXW251219C6815</stp>
        <tr r="K91" s="2"/>
        <tr r="K91" s="2"/>
      </tp>
      <tp>
        <v>9</v>
        <stp/>
        <stp>VOLUME</stp>
        <stp>.SPXW251219C6810</stp>
        <tr r="K92" s="2"/>
        <tr r="K92" s="2"/>
      </tp>
      <tp t="s">
        <v>N/A</v>
        <stp/>
        <stp>VOLUME</stp>
        <stp>.SPXW251219P6815</stp>
        <tr r="K91" s="2"/>
      </tp>
      <tp>
        <v>11</v>
        <stp/>
        <stp>VOLUME</stp>
        <stp>.SPXW251219P6810</stp>
        <tr r="K92" s="2"/>
        <tr r="K92" s="2"/>
      </tp>
      <tp>
        <v>7</v>
        <stp/>
        <stp>VOLUME</stp>
        <stp>.SPXW251219C6805</stp>
        <tr r="K93" s="2"/>
        <tr r="K93" s="2"/>
      </tp>
      <tp>
        <v>81</v>
        <stp/>
        <stp>VOLUME</stp>
        <stp>.SPXW251219C6800</stp>
        <tr r="K94" s="2"/>
        <tr r="K94" s="2"/>
      </tp>
      <tp t="s">
        <v>N/A</v>
        <stp/>
        <stp>VOLUME</stp>
        <stp>.SPXW251219P6805</stp>
        <tr r="K93" s="2"/>
      </tp>
      <tp>
        <v>43</v>
        <stp/>
        <stp>VOLUME</stp>
        <stp>.SPXW251219P6800</stp>
        <tr r="K94" s="2"/>
        <tr r="K94" s="2"/>
      </tp>
      <tp>
        <v>13</v>
        <stp/>
        <stp>VOLUME</stp>
        <stp>.SPXW251219C6835</stp>
        <tr r="K87" s="2"/>
        <tr r="K87" s="2"/>
      </tp>
      <tp>
        <v>73</v>
        <stp/>
        <stp>VOLUME</stp>
        <stp>.SPXW251219C6830</stp>
        <tr r="K88" s="2"/>
        <tr r="K88" s="2"/>
      </tp>
      <tp>
        <v>9</v>
        <stp/>
        <stp>VOLUME</stp>
        <stp>.SPXW251219P6835</stp>
        <tr r="K87" s="2"/>
        <tr r="K87" s="2"/>
      </tp>
      <tp>
        <v>1</v>
        <stp/>
        <stp>VOLUME</stp>
        <stp>.SPXW251219P6830</stp>
        <tr r="K88" s="2"/>
        <tr r="K88" s="2"/>
      </tp>
      <tp>
        <v>42</v>
        <stp/>
        <stp>VOLUME</stp>
        <stp>.SPXW251219C6825</stp>
        <tr r="K89" s="2"/>
        <tr r="K89" s="2"/>
      </tp>
      <tp>
        <v>9</v>
        <stp/>
        <stp>VOLUME</stp>
        <stp>.SPXW251219C6820</stp>
        <tr r="K90" s="2"/>
        <tr r="K90" s="2"/>
      </tp>
      <tp>
        <v>17</v>
        <stp/>
        <stp>VOLUME</stp>
        <stp>.SPXW251219P6825</stp>
        <tr r="K89" s="2"/>
        <tr r="K89" s="2"/>
      </tp>
      <tp>
        <v>5</v>
        <stp/>
        <stp>VOLUME</stp>
        <stp>.SPXW251219P6820</stp>
        <tr r="K90" s="2"/>
        <tr r="K90" s="2"/>
      </tp>
      <tp>
        <v>13</v>
        <stp/>
        <stp>VOLUME</stp>
        <stp>.SPXW251219C6840</stp>
        <tr r="K86" s="2"/>
        <tr r="K86" s="2"/>
      </tp>
      <tp>
        <v>5</v>
        <stp/>
        <stp>VOLUME</stp>
        <stp>.SPXW251219P6840</stp>
        <tr r="K86" s="2"/>
        <tr r="K86" s="2"/>
      </tp>
      <tp>
        <v>13</v>
        <stp/>
        <stp>VOLUME</stp>
        <stp>.NDXP251110P25450</stp>
        <tr r="B144" s="2"/>
        <tr r="B144" s="2"/>
        <tr r="Q143" s="1"/>
        <tr r="Q143" s="1"/>
      </tp>
      <tp t="s">
        <v>N/A</v>
        <stp/>
        <stp>VOLUME</stp>
        <stp>.NDXP251111P25550</stp>
        <tr r="C140" s="2"/>
      </tp>
      <tp t="s">
        <v>N/A</v>
        <stp/>
        <stp>VOLUME</stp>
        <stp>.NDXP251114P25050</stp>
        <tr r="S159" s="1"/>
      </tp>
      <tp>
        <v>16</v>
        <stp/>
        <stp>VOLUME</stp>
        <stp>.NDXP251110P24450</stp>
        <tr r="B184" s="2"/>
        <tr r="B184" s="2"/>
        <tr r="Q183" s="1"/>
        <tr r="Q183" s="1"/>
      </tp>
      <tp>
        <v>3</v>
        <stp/>
        <stp>VOLUME</stp>
        <stp>.NDXP251111P24550</stp>
        <tr r="C180" s="2"/>
        <tr r="C180" s="2"/>
      </tp>
      <tp>
        <v>4</v>
        <stp/>
        <stp>VOLUME</stp>
        <stp>.NDXP251112P24650</stp>
        <tr r="D176" s="2"/>
        <tr r="D176" s="2"/>
      </tp>
      <tp t="s">
        <v>N/A</v>
        <stp/>
        <stp>VOLUME</stp>
        <stp>.NDXP251113P24750</stp>
        <tr r="E172" s="2"/>
      </tp>
      <tp t="s">
        <v>N/A</v>
        <stp/>
        <stp>VOLUME</stp>
        <stp>.NDXP261030P24750</stp>
        <tr r="X172" s="2"/>
      </tp>
      <tp t="s">
        <v>N/A</v>
        <stp/>
        <stp>VOLUME</stp>
        <stp>.NDXP251205P25150</stp>
        <tr r="I156" s="2"/>
      </tp>
      <tp t="s">
        <v>N/A</v>
        <stp/>
        <stp>VOLUME</stp>
        <stp>.NDXP251212P24650</stp>
        <tr r="J176" s="2"/>
      </tp>
      <tp>
        <v>18</v>
        <stp/>
        <stp>VOLUME</stp>
        <stp>.SPXW251212C6825</stp>
        <tr r="J89" s="2"/>
        <tr r="J89" s="2"/>
      </tp>
      <tp>
        <v>2808</v>
        <stp/>
        <stp>VOLUME</stp>
        <stp>.SPXW251110C6805</stp>
        <tr r="B93" s="2"/>
        <tr r="B93" s="2"/>
        <tr r="P92" s="1"/>
        <tr r="P92" s="1"/>
      </tp>
      <tp>
        <v>309</v>
        <stp/>
        <stp>VOLUME</stp>
        <stp>.SPXW251111C6815</stp>
        <tr r="C91" s="2"/>
        <tr r="C91" s="2"/>
      </tp>
      <tp>
        <v>259</v>
        <stp/>
        <stp>VOLUME</stp>
        <stp>.SPXW251112C6825</stp>
        <tr r="D89" s="2"/>
        <tr r="D89" s="2"/>
      </tp>
      <tp>
        <v>388</v>
        <stp/>
        <stp>VOLUME</stp>
        <stp>.SPXW251113C6835</stp>
        <tr r="E87" s="2"/>
        <tr r="E87" s="2"/>
      </tp>
      <tp>
        <v>8</v>
        <stp/>
        <stp>VOLUME</stp>
        <stp>.SPXW251212C6820</stp>
        <tr r="J90" s="2"/>
        <tr r="J90" s="2"/>
      </tp>
      <tp>
        <v>10257</v>
        <stp/>
        <stp>VOLUME</stp>
        <stp>.SPXW251110C6800</stp>
        <tr r="B94" s="2"/>
        <tr r="B94" s="2"/>
        <tr r="P93" s="1"/>
        <tr r="P93" s="1"/>
      </tp>
      <tp>
        <v>622</v>
        <stp/>
        <stp>VOLUME</stp>
        <stp>.SPXW251111C6810</stp>
        <tr r="C92" s="2"/>
        <tr r="C92" s="2"/>
      </tp>
      <tp>
        <v>302</v>
        <stp/>
        <stp>VOLUME</stp>
        <stp>.SPXW251112C6820</stp>
        <tr r="D90" s="2"/>
        <tr r="D90" s="2"/>
      </tp>
      <tp>
        <v>1001</v>
        <stp/>
        <stp>VOLUME</stp>
        <stp>.SPXW251113C6830</stp>
        <tr r="E88" s="2"/>
        <tr r="E88" s="2"/>
      </tp>
      <tp>
        <v>649</v>
        <stp/>
        <stp>VOLUME</stp>
        <stp>.SPXW251114C6840</stp>
        <tr r="R85" s="1"/>
        <tr r="R85" s="1"/>
      </tp>
      <tp>
        <v>12</v>
        <stp/>
        <stp>VOLUME</stp>
        <stp>.SPXW251212P6825</stp>
        <tr r="J89" s="2"/>
        <tr r="J89" s="2"/>
      </tp>
      <tp>
        <v>73</v>
        <stp/>
        <stp>VOLUME</stp>
        <stp>.SPXW251110P6805</stp>
        <tr r="B93" s="2"/>
        <tr r="B93" s="2"/>
        <tr r="Q92" s="1"/>
        <tr r="Q92" s="1"/>
      </tp>
      <tp>
        <v>77</v>
        <stp/>
        <stp>VOLUME</stp>
        <stp>.SPXW251111P6815</stp>
        <tr r="C91" s="2"/>
        <tr r="C91" s="2"/>
      </tp>
      <tp>
        <v>218</v>
        <stp/>
        <stp>VOLUME</stp>
        <stp>.SPXW251112P6825</stp>
        <tr r="D89" s="2"/>
        <tr r="D89" s="2"/>
      </tp>
      <tp>
        <v>5</v>
        <stp/>
        <stp>VOLUME</stp>
        <stp>.SPXW251113P6835</stp>
        <tr r="E87" s="2"/>
        <tr r="E87" s="2"/>
      </tp>
      <tp>
        <v>2</v>
        <stp/>
        <stp>VOLUME</stp>
        <stp>.SPXW251212P6820</stp>
        <tr r="J90" s="2"/>
        <tr r="J90" s="2"/>
      </tp>
      <tp>
        <v>312</v>
        <stp/>
        <stp>VOLUME</stp>
        <stp>.SPXW251110P6800</stp>
        <tr r="B94" s="2"/>
        <tr r="B94" s="2"/>
        <tr r="Q93" s="1"/>
        <tr r="Q93" s="1"/>
      </tp>
      <tp>
        <v>16</v>
        <stp/>
        <stp>VOLUME</stp>
        <stp>.SPXW251111P6810</stp>
        <tr r="C92" s="2"/>
        <tr r="C92" s="2"/>
      </tp>
      <tp>
        <v>13</v>
        <stp/>
        <stp>VOLUME</stp>
        <stp>.SPXW251112P6820</stp>
        <tr r="D90" s="2"/>
        <tr r="D90" s="2"/>
      </tp>
      <tp>
        <v>90</v>
        <stp/>
        <stp>VOLUME</stp>
        <stp>.SPXW251113P6830</stp>
        <tr r="E88" s="2"/>
        <tr r="E88" s="2"/>
      </tp>
      <tp>
        <v>15</v>
        <stp/>
        <stp>VOLUME</stp>
        <stp>.SPXW251114P6840</stp>
        <tr r="S85" s="1"/>
        <tr r="S85" s="1"/>
      </tp>
      <tp t="s">
        <v>N/A</v>
        <stp/>
        <stp>VOLUME</stp>
        <stp>.NDXP260206P25150</stp>
        <tr r="N156" s="2"/>
      </tp>
      <tp t="s">
        <v>N/A</v>
        <stp/>
        <stp>VOLUME</stp>
        <stp>.NDXP260227P25050</stp>
        <tr r="P160" s="2"/>
      </tp>
      <tp t="s">
        <v>N/A</v>
        <stp/>
        <stp>VOLUME</stp>
        <stp>.NDXP260501P24650</stp>
        <tr r="R176" s="2"/>
      </tp>
      <tp t="s">
        <v>N/A</v>
        <stp/>
        <stp>VOLUME</stp>
        <stp>.NDXP260626P25150</stp>
        <tr r="T156" s="2"/>
      </tp>
      <tp t="s">
        <v>N/A</v>
        <stp/>
        <stp>VOLUME</stp>
        <stp>.SPXW251212C6835</stp>
        <tr r="J87" s="2"/>
      </tp>
      <tp>
        <v>4830</v>
        <stp/>
        <stp>VOLUME</stp>
        <stp>.SPXW251110C6815</stp>
        <tr r="B91" s="2"/>
        <tr r="B91" s="2"/>
        <tr r="P90" s="1"/>
        <tr r="P90" s="1"/>
      </tp>
      <tp>
        <v>642</v>
        <stp/>
        <stp>VOLUME</stp>
        <stp>.SPXW251111C6805</stp>
        <tr r="C93" s="2"/>
        <tr r="C93" s="2"/>
      </tp>
      <tp>
        <v>322</v>
        <stp/>
        <stp>VOLUME</stp>
        <stp>.SPXW251112C6835</stp>
        <tr r="D87" s="2"/>
        <tr r="D87" s="2"/>
      </tp>
      <tp>
        <v>274</v>
        <stp/>
        <stp>VOLUME</stp>
        <stp>.SPXW251113C6825</stp>
        <tr r="E89" s="2"/>
        <tr r="E89" s="2"/>
      </tp>
      <tp>
        <v>32</v>
        <stp/>
        <stp>VOLUME</stp>
        <stp>.SPXW251212C6830</stp>
        <tr r="J88" s="2"/>
        <tr r="J88" s="2"/>
      </tp>
      <tp>
        <v>2630</v>
        <stp/>
        <stp>VOLUME</stp>
        <stp>.SPXW251110C6810</stp>
        <tr r="B92" s="2"/>
        <tr r="B92" s="2"/>
        <tr r="P91" s="1"/>
        <tr r="P91" s="1"/>
      </tp>
      <tp>
        <v>2131</v>
        <stp/>
        <stp>VOLUME</stp>
        <stp>.SPXW251111C6800</stp>
        <tr r="C94" s="2"/>
        <tr r="C94" s="2"/>
      </tp>
      <tp>
        <v>608</v>
        <stp/>
        <stp>VOLUME</stp>
        <stp>.SPXW251112C6830</stp>
        <tr r="D88" s="2"/>
        <tr r="D88" s="2"/>
      </tp>
      <tp>
        <v>929</v>
        <stp/>
        <stp>VOLUME</stp>
        <stp>.SPXW251113C6820</stp>
        <tr r="E90" s="2"/>
        <tr r="E90" s="2"/>
      </tp>
      <tp t="s">
        <v>N/A</v>
        <stp/>
        <stp>VOLUME</stp>
        <stp>.SPXW251212P6835</stp>
        <tr r="J87" s="2"/>
      </tp>
      <tp>
        <v>80</v>
        <stp/>
        <stp>VOLUME</stp>
        <stp>.SPXW251110P6815</stp>
        <tr r="B91" s="2"/>
        <tr r="B91" s="2"/>
        <tr r="Q90" s="1"/>
        <tr r="Q90" s="1"/>
      </tp>
      <tp>
        <v>4</v>
        <stp/>
        <stp>VOLUME</stp>
        <stp>.SPXW251111P6805</stp>
        <tr r="C93" s="2"/>
        <tr r="C93" s="2"/>
      </tp>
      <tp>
        <v>11</v>
        <stp/>
        <stp>VOLUME</stp>
        <stp>.SPXW251112P6835</stp>
        <tr r="D87" s="2"/>
        <tr r="D87" s="2"/>
      </tp>
      <tp>
        <v>800</v>
        <stp/>
        <stp>VOLUME</stp>
        <stp>.SPXW251113P6825</stp>
        <tr r="E89" s="2"/>
        <tr r="E89" s="2"/>
      </tp>
      <tp>
        <v>14</v>
        <stp/>
        <stp>VOLUME</stp>
        <stp>.SPXW251212P6830</stp>
        <tr r="J88" s="2"/>
        <tr r="J88" s="2"/>
      </tp>
      <tp>
        <v>577</v>
        <stp/>
        <stp>VOLUME</stp>
        <stp>.SPXW251110P6810</stp>
        <tr r="B92" s="2"/>
        <tr r="B92" s="2"/>
        <tr r="Q91" s="1"/>
        <tr r="Q91" s="1"/>
      </tp>
      <tp>
        <v>42</v>
        <stp/>
        <stp>VOLUME</stp>
        <stp>.SPXW251111P6800</stp>
        <tr r="C94" s="2"/>
        <tr r="C94" s="2"/>
      </tp>
      <tp>
        <v>7</v>
        <stp/>
        <stp>VOLUME</stp>
        <stp>.SPXW251112P6830</stp>
        <tr r="D88" s="2"/>
        <tr r="D88" s="2"/>
      </tp>
      <tp>
        <v>22</v>
        <stp/>
        <stp>VOLUME</stp>
        <stp>.SPXW251113P6820</stp>
        <tr r="E90" s="2"/>
        <tr r="E90" s="2"/>
      </tp>
      <tp t="s">
        <v>N/A</v>
        <stp/>
        <stp>VOLUME</stp>
        <stp>.NDXP261030P24775</stp>
        <tr r="X171" s="2"/>
      </tp>
      <tp t="s">
        <v>N/A</v>
        <stp/>
        <stp>VOLUME</stp>
        <stp>.NDXP251110P25475</stp>
        <tr r="B143" s="2"/>
        <tr r="Q142" s="1"/>
      </tp>
      <tp t="s">
        <v>N/A</v>
        <stp/>
        <stp>VOLUME</stp>
        <stp>.NDXP251111P25575</stp>
        <tr r="C139" s="2"/>
      </tp>
      <tp t="s">
        <v>N/A</v>
        <stp/>
        <stp>VOLUME</stp>
        <stp>.NDXP251114P25075</stp>
        <tr r="S158" s="1"/>
      </tp>
      <tp t="s">
        <v>N/A</v>
        <stp/>
        <stp>VOLUME</stp>
        <stp>.NDXP251110P24475</stp>
        <tr r="B183" s="2"/>
        <tr r="Q182" s="1"/>
      </tp>
      <tp t="s">
        <v>N/A</v>
        <stp/>
        <stp>VOLUME</stp>
        <stp>.NDXP251111P24575</stp>
        <tr r="C179" s="2"/>
      </tp>
      <tp t="s">
        <v>N/A</v>
        <stp/>
        <stp>VOLUME</stp>
        <stp>.NDXP251112P24675</stp>
        <tr r="D175" s="2"/>
      </tp>
      <tp t="s">
        <v>N/A</v>
        <stp/>
        <stp>VOLUME</stp>
        <stp>.NDXP251113P24775</stp>
        <tr r="E171" s="2"/>
      </tp>
      <tp t="s">
        <v>N/A</v>
        <stp/>
        <stp>VOLUME</stp>
        <stp>.NDXP251205P25175</stp>
        <tr r="I155" s="2"/>
      </tp>
      <tp t="s">
        <v>N/A</v>
        <stp/>
        <stp>VOLUME</stp>
        <stp>.NDXP251212P24675</stp>
        <tr r="J175" s="2"/>
      </tp>
      <tp t="s">
        <v>N/A</v>
        <stp/>
        <stp>VOLUME</stp>
        <stp>.SPXW251212C6805</stp>
        <tr r="J93" s="2"/>
      </tp>
      <tp>
        <v>3422</v>
        <stp/>
        <stp>VOLUME</stp>
        <stp>.SPXW251110C6825</stp>
        <tr r="B89" s="2"/>
        <tr r="B89" s="2"/>
        <tr r="P88" s="1"/>
        <tr r="P88" s="1"/>
      </tp>
      <tp>
        <v>446</v>
        <stp/>
        <stp>VOLUME</stp>
        <stp>.SPXW251111C6835</stp>
        <tr r="C87" s="2"/>
        <tr r="C87" s="2"/>
      </tp>
      <tp>
        <v>1238</v>
        <stp/>
        <stp>VOLUME</stp>
        <stp>.SPXW251112C6805</stp>
        <tr r="D93" s="2"/>
        <tr r="D93" s="2"/>
      </tp>
      <tp>
        <v>565</v>
        <stp/>
        <stp>VOLUME</stp>
        <stp>.SPXW251113C6815</stp>
        <tr r="E91" s="2"/>
        <tr r="E91" s="2"/>
      </tp>
      <tp>
        <v>110</v>
        <stp/>
        <stp>VOLUME</stp>
        <stp>.SPXW251212C6800</stp>
        <tr r="J94" s="2"/>
        <tr r="J94" s="2"/>
      </tp>
      <tp>
        <v>3690</v>
        <stp/>
        <stp>VOLUME</stp>
        <stp>.SPXW251110C6820</stp>
        <tr r="B90" s="2"/>
        <tr r="B90" s="2"/>
        <tr r="P89" s="1"/>
        <tr r="P89" s="1"/>
      </tp>
      <tp>
        <v>307</v>
        <stp/>
        <stp>VOLUME</stp>
        <stp>.SPXW251111C6830</stp>
        <tr r="C88" s="2"/>
        <tr r="C88" s="2"/>
      </tp>
      <tp>
        <v>6016</v>
        <stp/>
        <stp>VOLUME</stp>
        <stp>.SPXW251112C6800</stp>
        <tr r="D94" s="2"/>
        <tr r="D94" s="2"/>
      </tp>
      <tp>
        <v>334</v>
        <stp/>
        <stp>VOLUME</stp>
        <stp>.SPXW251113C6810</stp>
        <tr r="E92" s="2"/>
        <tr r="E92" s="2"/>
      </tp>
      <tp t="s">
        <v>N/A</v>
        <stp/>
        <stp>VOLUME</stp>
        <stp>.SPXW251212P6805</stp>
        <tr r="J93" s="2"/>
      </tp>
      <tp>
        <v>61</v>
        <stp/>
        <stp>VOLUME</stp>
        <stp>.SPXW251110P6825</stp>
        <tr r="B89" s="2"/>
        <tr r="B89" s="2"/>
        <tr r="Q88" s="1"/>
        <tr r="Q88" s="1"/>
      </tp>
      <tp>
        <v>19</v>
        <stp/>
        <stp>VOLUME</stp>
        <stp>.SPXW251111P6835</stp>
        <tr r="C87" s="2"/>
        <tr r="C87" s="2"/>
      </tp>
      <tp>
        <v>25</v>
        <stp/>
        <stp>VOLUME</stp>
        <stp>.SPXW251112P6805</stp>
        <tr r="D93" s="2"/>
        <tr r="D93" s="2"/>
      </tp>
      <tp>
        <v>601</v>
        <stp/>
        <stp>VOLUME</stp>
        <stp>.SPXW251113P6815</stp>
        <tr r="E91" s="2"/>
        <tr r="E91" s="2"/>
      </tp>
      <tp>
        <v>57</v>
        <stp/>
        <stp>VOLUME</stp>
        <stp>.SPXW251212P6800</stp>
        <tr r="J94" s="2"/>
        <tr r="J94" s="2"/>
      </tp>
      <tp>
        <v>156</v>
        <stp/>
        <stp>VOLUME</stp>
        <stp>.SPXW251110P6820</stp>
        <tr r="B90" s="2"/>
        <tr r="B90" s="2"/>
        <tr r="Q89" s="1"/>
        <tr r="Q89" s="1"/>
      </tp>
      <tp>
        <v>24</v>
        <stp/>
        <stp>VOLUME</stp>
        <stp>.SPXW251111P6830</stp>
        <tr r="C88" s="2"/>
        <tr r="C88" s="2"/>
      </tp>
      <tp>
        <v>45</v>
        <stp/>
        <stp>VOLUME</stp>
        <stp>.SPXW251112P6800</stp>
        <tr r="D94" s="2"/>
        <tr r="D94" s="2"/>
      </tp>
      <tp>
        <v>7</v>
        <stp/>
        <stp>VOLUME</stp>
        <stp>.SPXW251113P6810</stp>
        <tr r="E92" s="2"/>
        <tr r="E92" s="2"/>
      </tp>
      <tp t="s">
        <v>N/A</v>
        <stp/>
        <stp>VOLUME</stp>
        <stp>.NDXP260501P24675</stp>
        <tr r="R175" s="2"/>
      </tp>
      <tp t="s">
        <v>N/A</v>
        <stp/>
        <stp>VOLUME</stp>
        <stp>.NDXP260626P25175</stp>
        <tr r="T155" s="2"/>
      </tp>
      <tp t="s">
        <v>N/A</v>
        <stp/>
        <stp>VOLUME</stp>
        <stp>.NDXP260206P25175</stp>
        <tr r="N155" s="2"/>
      </tp>
      <tp t="s">
        <v>N/A</v>
        <stp/>
        <stp>VOLUME</stp>
        <stp>.NDXP260227P25075</stp>
        <tr r="P159" s="2"/>
      </tp>
      <tp t="s">
        <v>N/A</v>
        <stp/>
        <stp>VOLUME</stp>
        <stp>.SPXW251212C6815</stp>
        <tr r="J91" s="2"/>
      </tp>
      <tp>
        <v>1712</v>
        <stp/>
        <stp>VOLUME</stp>
        <stp>.SPXW251110C6835</stp>
        <tr r="B87" s="2"/>
        <tr r="B87" s="2"/>
        <tr r="P86" s="1"/>
        <tr r="P86" s="1"/>
      </tp>
      <tp>
        <v>982</v>
        <stp/>
        <stp>VOLUME</stp>
        <stp>.SPXW251111C6825</stp>
        <tr r="C89" s="2"/>
        <tr r="C89" s="2"/>
      </tp>
      <tp>
        <v>660</v>
        <stp/>
        <stp>VOLUME</stp>
        <stp>.SPXW251112C6815</stp>
        <tr r="D91" s="2"/>
        <tr r="D91" s="2"/>
      </tp>
      <tp>
        <v>43</v>
        <stp/>
        <stp>VOLUME</stp>
        <stp>.SPXW251113C6805</stp>
        <tr r="E93" s="2"/>
        <tr r="E93" s="2"/>
      </tp>
      <tp>
        <v>17</v>
        <stp/>
        <stp>VOLUME</stp>
        <stp>.SPXW251212C6810</stp>
        <tr r="J92" s="2"/>
        <tr r="J92" s="2"/>
      </tp>
      <tp>
        <v>3098</v>
        <stp/>
        <stp>VOLUME</stp>
        <stp>.SPXW251110C6830</stp>
        <tr r="B88" s="2"/>
        <tr r="B88" s="2"/>
        <tr r="P87" s="1"/>
        <tr r="P87" s="1"/>
      </tp>
      <tp>
        <v>642</v>
        <stp/>
        <stp>VOLUME</stp>
        <stp>.SPXW251111C6820</stp>
        <tr r="C90" s="2"/>
        <tr r="C90" s="2"/>
      </tp>
      <tp>
        <v>482</v>
        <stp/>
        <stp>VOLUME</stp>
        <stp>.SPXW251112C6810</stp>
        <tr r="D92" s="2"/>
        <tr r="D92" s="2"/>
      </tp>
      <tp>
        <v>273</v>
        <stp/>
        <stp>VOLUME</stp>
        <stp>.SPXW251113C6800</stp>
        <tr r="E94" s="2"/>
        <tr r="E94" s="2"/>
      </tp>
      <tp t="s">
        <v>N/A</v>
        <stp/>
        <stp>VOLUME</stp>
        <stp>.SPXW251212P6815</stp>
        <tr r="J91" s="2"/>
      </tp>
      <tp>
        <v>63</v>
        <stp/>
        <stp>VOLUME</stp>
        <stp>.SPXW251110P6835</stp>
        <tr r="B87" s="2"/>
        <tr r="B87" s="2"/>
        <tr r="Q86" s="1"/>
        <tr r="Q86" s="1"/>
      </tp>
      <tp>
        <v>92</v>
        <stp/>
        <stp>VOLUME</stp>
        <stp>.SPXW251111P6825</stp>
        <tr r="C89" s="2"/>
        <tr r="C89" s="2"/>
      </tp>
      <tp>
        <v>3</v>
        <stp/>
        <stp>VOLUME</stp>
        <stp>.SPXW251112P6815</stp>
        <tr r="D91" s="2"/>
        <tr r="D91" s="2"/>
      </tp>
      <tp>
        <v>4</v>
        <stp/>
        <stp>VOLUME</stp>
        <stp>.SPXW251113P6805</stp>
        <tr r="E93" s="2"/>
        <tr r="E93" s="2"/>
      </tp>
      <tp>
        <v>15</v>
        <stp/>
        <stp>VOLUME</stp>
        <stp>.SPXW251212P6810</stp>
        <tr r="J92" s="2"/>
        <tr r="J92" s="2"/>
      </tp>
      <tp>
        <v>171</v>
        <stp/>
        <stp>VOLUME</stp>
        <stp>.SPXW251110P6830</stp>
        <tr r="B88" s="2"/>
        <tr r="B88" s="2"/>
        <tr r="Q87" s="1"/>
        <tr r="Q87" s="1"/>
      </tp>
      <tp>
        <v>25</v>
        <stp/>
        <stp>VOLUME</stp>
        <stp>.SPXW251111P6820</stp>
        <tr r="C90" s="2"/>
        <tr r="C90" s="2"/>
      </tp>
      <tp>
        <v>42</v>
        <stp/>
        <stp>VOLUME</stp>
        <stp>.SPXW251112P6810</stp>
        <tr r="D92" s="2"/>
        <tr r="D92" s="2"/>
      </tp>
      <tp>
        <v>25</v>
        <stp/>
        <stp>VOLUME</stp>
        <stp>.SPXW251113P6800</stp>
        <tr r="E94" s="2"/>
        <tr r="E94" s="2"/>
      </tp>
      <tp t="s">
        <v>N/A</v>
        <stp/>
        <stp>VOLUME</stp>
        <stp>.NDXP260206P25100</stp>
        <tr r="N158" s="2"/>
      </tp>
      <tp t="s">
        <v>N/A</v>
        <stp/>
        <stp>VOLUME</stp>
        <stp>.NDXP260227P25000</stp>
        <tr r="P162" s="2"/>
      </tp>
      <tp t="s">
        <v>N/A</v>
        <stp/>
        <stp>VOLUME</stp>
        <stp>.NDXP260501P24600</stp>
        <tr r="R178" s="2"/>
      </tp>
      <tp t="s">
        <v>N/A</v>
        <stp/>
        <stp>VOLUME</stp>
        <stp>.NDXP260501P25600</stp>
        <tr r="R138" s="2"/>
      </tp>
      <tp t="s">
        <v>N/A</v>
        <stp/>
        <stp>VOLUME</stp>
        <stp>.NDXP260626P25100</stp>
        <tr r="T158" s="2"/>
      </tp>
      <tp>
        <v>1074</v>
        <stp/>
        <stp>VOLUME</stp>
        <stp>.SPXW251114C6805</stp>
        <tr r="R92" s="1"/>
        <tr r="R92" s="1"/>
      </tp>
      <tp>
        <v>982</v>
        <stp/>
        <stp>VOLUME</stp>
        <stp>.SPXW251110C6840</stp>
        <tr r="B86" s="2"/>
        <tr r="B86" s="2"/>
        <tr r="P85" s="1"/>
        <tr r="P85" s="1"/>
      </tp>
      <tp>
        <v>5273</v>
        <stp/>
        <stp>VOLUME</stp>
        <stp>.SPXW251114C6800</stp>
        <tr r="R93" s="1"/>
        <tr r="R93" s="1"/>
      </tp>
      <tp>
        <v>156</v>
        <stp/>
        <stp>VOLUME</stp>
        <stp>.SPXW251114P6805</stp>
        <tr r="S92" s="1"/>
        <tr r="S92" s="1"/>
      </tp>
      <tp>
        <v>170</v>
        <stp/>
        <stp>VOLUME</stp>
        <stp>.SPXW251110P6840</stp>
        <tr r="B86" s="2"/>
        <tr r="B86" s="2"/>
        <tr r="Q85" s="1"/>
        <tr r="Q85" s="1"/>
      </tp>
      <tp>
        <v>2698</v>
        <stp/>
        <stp>VOLUME</stp>
        <stp>.SPXW251114P6800</stp>
        <tr r="S93" s="1"/>
        <tr r="S93" s="1"/>
      </tp>
      <tp>
        <v>21</v>
        <stp/>
        <stp>VOLUME</stp>
        <stp>.NDXP251110P25400</stp>
        <tr r="B146" s="2"/>
        <tr r="B146" s="2"/>
        <tr r="Q145" s="1"/>
        <tr r="Q145" s="1"/>
      </tp>
      <tp>
        <v>2</v>
        <stp/>
        <stp>VOLUME</stp>
        <stp>.NDXP251111P25500</stp>
        <tr r="C142" s="2"/>
        <tr r="C142" s="2"/>
      </tp>
      <tp t="s">
        <v>N/A</v>
        <stp/>
        <stp>VOLUME</stp>
        <stp>.NDXP251112P25600</stp>
        <tr r="D138" s="2"/>
      </tp>
      <tp>
        <v>39</v>
        <stp/>
        <stp>VOLUME</stp>
        <stp>.NDXP251114P25000</stp>
        <tr r="S161" s="1"/>
        <tr r="S161" s="1"/>
      </tp>
      <tp>
        <v>152</v>
        <stp/>
        <stp>VOLUME</stp>
        <stp>.NDXP251110P24400</stp>
        <tr r="B186" s="2"/>
        <tr r="B186" s="2"/>
        <tr r="Q185" s="1"/>
        <tr r="Q185" s="1"/>
      </tp>
      <tp>
        <v>15</v>
        <stp/>
        <stp>VOLUME</stp>
        <stp>.NDXP251111P24500</stp>
        <tr r="C182" s="2"/>
        <tr r="C182" s="2"/>
      </tp>
      <tp>
        <v>7</v>
        <stp/>
        <stp>VOLUME</stp>
        <stp>.NDXP251112P24600</stp>
        <tr r="D178" s="2"/>
        <tr r="D178" s="2"/>
      </tp>
      <tp>
        <v>2</v>
        <stp/>
        <stp>VOLUME</stp>
        <stp>.NDXP251113P24700</stp>
        <tr r="E174" s="2"/>
        <tr r="E174" s="2"/>
      </tp>
      <tp t="s">
        <v>N/A</v>
        <stp/>
        <stp>VOLUME</stp>
        <stp>.NDXP261030P24700</stp>
        <tr r="X174" s="2"/>
      </tp>
      <tp t="s">
        <v>N/A</v>
        <stp/>
        <stp>VOLUME</stp>
        <stp>.NDXP251212P25600</stp>
        <tr r="J138" s="2"/>
      </tp>
      <tp t="s">
        <v>N/A</v>
        <stp/>
        <stp>VOLUME</stp>
        <stp>.NDXP251205P25100</stp>
        <tr r="I158" s="2"/>
      </tp>
      <tp>
        <v>1</v>
        <stp/>
        <stp>VOLUME</stp>
        <stp>.NDXP251212P24600</stp>
        <tr r="J178" s="2"/>
        <tr r="J178" s="2"/>
      </tp>
      <tp>
        <v>1136</v>
        <stp/>
        <stp>VOLUME</stp>
        <stp>.SPXW251114C6815</stp>
        <tr r="R90" s="1"/>
        <tr r="R90" s="1"/>
      </tp>
      <tp>
        <v>435</v>
        <stp/>
        <stp>VOLUME</stp>
        <stp>.SPXW251111C6840</stp>
        <tr r="C86" s="2"/>
        <tr r="C86" s="2"/>
      </tp>
      <tp>
        <v>1455</v>
        <stp/>
        <stp>VOLUME</stp>
        <stp>.SPXW251114C6810</stp>
        <tr r="R91" s="1"/>
        <tr r="R91" s="1"/>
      </tp>
      <tp>
        <v>26</v>
        <stp/>
        <stp>VOLUME</stp>
        <stp>.SPXW251114P6815</stp>
        <tr r="S90" s="1"/>
        <tr r="S90" s="1"/>
      </tp>
      <tp>
        <v>52</v>
        <stp/>
        <stp>VOLUME</stp>
        <stp>.SPXW251111P6840</stp>
        <tr r="C86" s="2"/>
        <tr r="C86" s="2"/>
      </tp>
      <tp>
        <v>28</v>
        <stp/>
        <stp>VOLUME</stp>
        <stp>.SPXW251114P6810</stp>
        <tr r="S91" s="1"/>
        <tr r="S91" s="1"/>
      </tp>
      <tp t="s">
        <v>N/A</v>
        <stp/>
        <stp>VOLUME</stp>
        <stp>.NDXP260501P24625</stp>
        <tr r="R177" s="2"/>
      </tp>
      <tp t="s">
        <v>N/A</v>
        <stp/>
        <stp>VOLUME</stp>
        <stp>.NDXP260626P25125</stp>
        <tr r="T157" s="2"/>
      </tp>
      <tp t="s">
        <v>N/A</v>
        <stp/>
        <stp>VOLUME</stp>
        <stp>.NDXP260206P25125</stp>
        <tr r="N157" s="2"/>
      </tp>
      <tp t="s">
        <v>N/A</v>
        <stp/>
        <stp>VOLUME</stp>
        <stp>.NDXP260227P25025</stp>
        <tr r="P161" s="2"/>
      </tp>
      <tp>
        <v>858</v>
        <stp/>
        <stp>VOLUME</stp>
        <stp>.SPXW251114C6825</stp>
        <tr r="R88" s="1"/>
        <tr r="R88" s="1"/>
      </tp>
      <tp>
        <v>11</v>
        <stp/>
        <stp>VOLUME</stp>
        <stp>.SPXW251212C6840</stp>
        <tr r="J86" s="2"/>
        <tr r="J86" s="2"/>
      </tp>
      <tp>
        <v>1122</v>
        <stp/>
        <stp>VOLUME</stp>
        <stp>.SPXW251112C6840</stp>
        <tr r="D86" s="2"/>
        <tr r="D86" s="2"/>
      </tp>
      <tp>
        <v>6995</v>
        <stp/>
        <stp>VOLUME</stp>
        <stp>.SPXW251114C6820</stp>
        <tr r="R89" s="1"/>
        <tr r="R89" s="1"/>
      </tp>
      <tp>
        <v>34</v>
        <stp/>
        <stp>VOLUME</stp>
        <stp>.SPXW251114P6825</stp>
        <tr r="S88" s="1"/>
        <tr r="S88" s="1"/>
      </tp>
      <tp>
        <v>11</v>
        <stp/>
        <stp>VOLUME</stp>
        <stp>.SPXW251212P6840</stp>
        <tr r="J86" s="2"/>
        <tr r="J86" s="2"/>
      </tp>
      <tp>
        <v>12</v>
        <stp/>
        <stp>VOLUME</stp>
        <stp>.SPXW251112P6840</stp>
        <tr r="D86" s="2"/>
        <tr r="D86" s="2"/>
      </tp>
      <tp>
        <v>10</v>
        <stp/>
        <stp>VOLUME</stp>
        <stp>.SPXW251114P6820</stp>
        <tr r="S89" s="1"/>
        <tr r="S89" s="1"/>
      </tp>
      <tp t="s">
        <v>N/A</v>
        <stp/>
        <stp>VOLUME</stp>
        <stp>.NDXP261030P24725</stp>
        <tr r="X173" s="2"/>
      </tp>
      <tp t="s">
        <v>N/A</v>
        <stp/>
        <stp>VOLUME</stp>
        <stp>.NDXP251110P25425</stp>
        <tr r="B145" s="2"/>
        <tr r="Q144" s="1"/>
      </tp>
      <tp t="s">
        <v>N/A</v>
        <stp/>
        <stp>VOLUME</stp>
        <stp>.NDXP251111P25525</stp>
        <tr r="C141" s="2"/>
      </tp>
      <tp>
        <v>3</v>
        <stp/>
        <stp>VOLUME</stp>
        <stp>.NDXP251114P25025</stp>
        <tr r="S160" s="1"/>
        <tr r="S160" s="1"/>
      </tp>
      <tp t="s">
        <v>N/A</v>
        <stp/>
        <stp>VOLUME</stp>
        <stp>.NDXP251110P24425</stp>
        <tr r="B185" s="2"/>
        <tr r="Q184" s="1"/>
      </tp>
      <tp t="s">
        <v>N/A</v>
        <stp/>
        <stp>VOLUME</stp>
        <stp>.NDXP251111P24525</stp>
        <tr r="C181" s="2"/>
      </tp>
      <tp t="s">
        <v>N/A</v>
        <stp/>
        <stp>VOLUME</stp>
        <stp>.NDXP251112P24625</stp>
        <tr r="D177" s="2"/>
      </tp>
      <tp t="s">
        <v>N/A</v>
        <stp/>
        <stp>VOLUME</stp>
        <stp>.NDXP251113P24725</stp>
        <tr r="E173" s="2"/>
      </tp>
      <tp t="s">
        <v>N/A</v>
        <stp/>
        <stp>VOLUME</stp>
        <stp>.NDXP251205P25125</stp>
        <tr r="I157" s="2"/>
      </tp>
      <tp t="s">
        <v>N/A</v>
        <stp/>
        <stp>VOLUME</stp>
        <stp>.NDXP251212P24625</stp>
        <tr r="J177" s="2"/>
      </tp>
      <tp>
        <v>683</v>
        <stp/>
        <stp>VOLUME</stp>
        <stp>.SPXW251114C6835</stp>
        <tr r="R86" s="1"/>
        <tr r="R86" s="1"/>
      </tp>
      <tp>
        <v>93</v>
        <stp/>
        <stp>VOLUME</stp>
        <stp>.SPXW251113C6840</stp>
        <tr r="E86" s="2"/>
        <tr r="E86" s="2"/>
      </tp>
      <tp>
        <v>5375</v>
        <stp/>
        <stp>VOLUME</stp>
        <stp>.SPXW251114C6830</stp>
        <tr r="R87" s="1"/>
        <tr r="R87" s="1"/>
      </tp>
      <tp>
        <v>23</v>
        <stp/>
        <stp>VOLUME</stp>
        <stp>.SPXW251114P6835</stp>
        <tr r="S86" s="1"/>
        <tr r="S86" s="1"/>
      </tp>
      <tp>
        <v>6</v>
        <stp/>
        <stp>VOLUME</stp>
        <stp>.SPXW251113P6840</stp>
        <tr r="E86" s="2"/>
        <tr r="E86" s="2"/>
      </tp>
      <tp>
        <v>71</v>
        <stp/>
        <stp>VOLUME</stp>
        <stp>.SPXW251114P6830</stp>
        <tr r="S87" s="1"/>
        <tr r="S87" s="1"/>
      </tp>
      <tp>
        <v>3</v>
        <stp/>
        <stp>OPEN_INT</stp>
        <stp>.NDXP251114C24800</stp>
        <tr r="J169" s="1"/>
        <tr r="J169" s="1"/>
      </tp>
      <tp>
        <v>2</v>
        <stp/>
        <stp>OPEN_INT</stp>
        <stp>.NDXP251114C24825</stp>
        <tr r="J168" s="1"/>
        <tr r="J168" s="1"/>
      </tp>
      <tp>
        <v>11</v>
        <stp/>
        <stp>OPEN_INT</stp>
        <stp>.NDXP251114C24850</stp>
        <tr r="J167" s="1"/>
        <tr r="J167" s="1"/>
      </tp>
      <tp>
        <v>10</v>
        <stp/>
        <stp>OPEN_INT</stp>
        <stp>.NDXP251114C24875</stp>
        <tr r="J166" s="1"/>
        <tr r="J166" s="1"/>
      </tp>
      <tp>
        <v>3</v>
        <stp/>
        <stp>OPEN_INT</stp>
        <stp>.NDXP251114P24825</stp>
        <tr r="K168" s="1"/>
        <tr r="K168" s="1"/>
      </tp>
      <tp>
        <v>28</v>
        <stp/>
        <stp>OPEN_INT</stp>
        <stp>.NDXP251114P24800</stp>
        <tr r="K169" s="1"/>
        <tr r="K169" s="1"/>
      </tp>
      <tp>
        <v>15</v>
        <stp/>
        <stp>OPEN_INT</stp>
        <stp>.NDXP251114P24875</stp>
        <tr r="K166" s="1"/>
        <tr r="K166" s="1"/>
      </tp>
      <tp>
        <v>28</v>
        <stp/>
        <stp>OPEN_INT</stp>
        <stp>.NDXP251114P24850</stp>
        <tr r="K167" s="1"/>
        <tr r="K167" s="1"/>
      </tp>
      <tp t="s">
        <v>N/A</v>
        <stp/>
        <stp>VOLUME</stp>
        <stp>.NDXP260501C24775</stp>
        <tr r="R171" s="2"/>
      </tp>
      <tp t="s">
        <v>N/A</v>
        <stp/>
        <stp>VOLUME</stp>
        <stp>.NDXP260626C25075</stp>
        <tr r="T159" s="2"/>
      </tp>
      <tp t="s">
        <v>N/A</v>
        <stp/>
        <stp>VOLUME</stp>
        <stp>.NDXP260206C25075</stp>
        <tr r="N159" s="2"/>
      </tp>
      <tp t="s">
        <v>N/A</v>
        <stp/>
        <stp>VOLUME</stp>
        <stp>.NDXP260227C25175</stp>
        <tr r="P155" s="2"/>
      </tp>
      <tp t="s">
        <v>N/A</v>
        <stp/>
        <stp>VOLUME</stp>
        <stp>.NDXP261030C24675</stp>
        <tr r="X175" s="2"/>
      </tp>
      <tp t="s">
        <v>N/A</v>
        <stp/>
        <stp>VOLUME</stp>
        <stp>.NDXP251110C25575</stp>
        <tr r="B139" s="2"/>
        <tr r="P138" s="1"/>
      </tp>
      <tp t="s">
        <v>N/A</v>
        <stp/>
        <stp>VOLUME</stp>
        <stp>.NDXP251111C25475</stp>
        <tr r="C143" s="2"/>
      </tp>
      <tp>
        <v>10</v>
        <stp/>
        <stp>VOLUME</stp>
        <stp>.NDXP251114C25175</stp>
        <tr r="R154" s="1"/>
        <tr r="R154" s="1"/>
      </tp>
      <tp t="s">
        <v>N/A</v>
        <stp/>
        <stp>VOLUME</stp>
        <stp>.NDXP251110C24575</stp>
        <tr r="B179" s="2"/>
        <tr r="P178" s="1"/>
      </tp>
      <tp t="s">
        <v>N/A</v>
        <stp/>
        <stp>VOLUME</stp>
        <stp>.NDXP251111C24475</stp>
        <tr r="C183" s="2"/>
      </tp>
      <tp t="s">
        <v>N/A</v>
        <stp/>
        <stp>VOLUME</stp>
        <stp>.NDXP251112C24775</stp>
        <tr r="D171" s="2"/>
      </tp>
      <tp t="s">
        <v>N/A</v>
        <stp/>
        <stp>VOLUME</stp>
        <stp>.NDXP251113C24675</stp>
        <tr r="E175" s="2"/>
      </tp>
      <tp t="s">
        <v>N/A</v>
        <stp/>
        <stp>VOLUME</stp>
        <stp>.NDXP251205C25075</stp>
        <tr r="I159" s="2"/>
      </tp>
      <tp t="s">
        <v>N/A</v>
        <stp/>
        <stp>VOLUME</stp>
        <stp>.NDXP251212C24775</stp>
        <tr r="J171" s="2"/>
      </tp>
      <tp t="s">
        <v>N/A</v>
        <stp/>
        <stp>VOLUME</stp>
        <stp>.NDXP260206C25050</stp>
        <tr r="N160" s="2"/>
      </tp>
      <tp t="s">
        <v>N/A</v>
        <stp/>
        <stp>VOLUME</stp>
        <stp>.NDXP260227C25150</stp>
        <tr r="P156" s="2"/>
      </tp>
      <tp t="s">
        <v>N/A</v>
        <stp/>
        <stp>VOLUME</stp>
        <stp>.NDXP260501C24750</stp>
        <tr r="R172" s="2"/>
      </tp>
      <tp t="s">
        <v>N/A</v>
        <stp/>
        <stp>VOLUME</stp>
        <stp>.NDXP260626C25050</stp>
        <tr r="T160" s="2"/>
      </tp>
      <tp>
        <v>184</v>
        <stp/>
        <stp>VOLUME</stp>
        <stp>.NDXP251110C25550</stp>
        <tr r="B140" s="2"/>
        <tr r="B140" s="2"/>
        <tr r="P139" s="1"/>
        <tr r="P139" s="1"/>
      </tp>
      <tp>
        <v>11</v>
        <stp/>
        <stp>VOLUME</stp>
        <stp>.NDXP251111C25450</stp>
        <tr r="C144" s="2"/>
        <tr r="C144" s="2"/>
      </tp>
      <tp>
        <v>4</v>
        <stp/>
        <stp>VOLUME</stp>
        <stp>.NDXP251114C25150</stp>
        <tr r="R155" s="1"/>
        <tr r="R155" s="1"/>
      </tp>
      <tp>
        <v>8</v>
        <stp/>
        <stp>VOLUME</stp>
        <stp>.NDXP251110C24550</stp>
        <tr r="B180" s="2"/>
        <tr r="B180" s="2"/>
        <tr r="P179" s="1"/>
        <tr r="P179" s="1"/>
      </tp>
      <tp t="s">
        <v>N/A</v>
        <stp/>
        <stp>VOLUME</stp>
        <stp>.NDXP251111C24450</stp>
        <tr r="C184" s="2"/>
      </tp>
      <tp>
        <v>1</v>
        <stp/>
        <stp>VOLUME</stp>
        <stp>.NDXP251112C24750</stp>
        <tr r="D172" s="2"/>
        <tr r="D172" s="2"/>
      </tp>
      <tp t="s">
        <v>N/A</v>
        <stp/>
        <stp>VOLUME</stp>
        <stp>.NDXP251113C24650</stp>
        <tr r="E176" s="2"/>
      </tp>
      <tp t="s">
        <v>N/A</v>
        <stp/>
        <stp>VOLUME</stp>
        <stp>.NDXP261030C24650</stp>
        <tr r="X176" s="2"/>
      </tp>
      <tp>
        <v>2</v>
        <stp/>
        <stp>VOLUME</stp>
        <stp>.NDXP251205C25050</stp>
        <tr r="I160" s="2"/>
        <tr r="I160" s="2"/>
      </tp>
      <tp t="s">
        <v>N/A</v>
        <stp/>
        <stp>VOLUME</stp>
        <stp>.NDXP251212C24750</stp>
        <tr r="J172" s="2"/>
      </tp>
      <tp t="s">
        <v>N/A</v>
        <stp/>
        <stp>VOLUME</stp>
        <stp>.NDXP261030C24625</stp>
        <tr r="X177" s="2"/>
      </tp>
      <tp t="s">
        <v>N/A</v>
        <stp/>
        <stp>VOLUME</stp>
        <stp>.NDXP251110C25525</stp>
        <tr r="B141" s="2"/>
        <tr r="P140" s="1"/>
      </tp>
      <tp t="s">
        <v>N/A</v>
        <stp/>
        <stp>VOLUME</stp>
        <stp>.NDXP251111C25425</stp>
        <tr r="C145" s="2"/>
      </tp>
      <tp>
        <v>37</v>
        <stp/>
        <stp>VOLUME</stp>
        <stp>.NDXP251114C25125</stp>
        <tr r="R156" s="1"/>
        <tr r="R156" s="1"/>
      </tp>
      <tp t="s">
        <v>N/A</v>
        <stp/>
        <stp>VOLUME</stp>
        <stp>.NDXP251110C24525</stp>
        <tr r="B181" s="2"/>
        <tr r="P180" s="1"/>
      </tp>
      <tp t="s">
        <v>N/A</v>
        <stp/>
        <stp>VOLUME</stp>
        <stp>.NDXP251111C24425</stp>
        <tr r="C185" s="2"/>
      </tp>
      <tp t="s">
        <v>N/A</v>
        <stp/>
        <stp>VOLUME</stp>
        <stp>.NDXP251112C24725</stp>
        <tr r="D173" s="2"/>
      </tp>
      <tp t="s">
        <v>N/A</v>
        <stp/>
        <stp>VOLUME</stp>
        <stp>.NDXP251113C24625</stp>
        <tr r="E177" s="2"/>
      </tp>
      <tp t="s">
        <v>N/A</v>
        <stp/>
        <stp>VOLUME</stp>
        <stp>.NDXP251205C25025</stp>
        <tr r="I161" s="2"/>
      </tp>
      <tp t="s">
        <v>N/A</v>
        <stp/>
        <stp>VOLUME</stp>
        <stp>.NDXP251212C24725</stp>
        <tr r="J173" s="2"/>
      </tp>
      <tp t="s">
        <v>N/A</v>
        <stp/>
        <stp>VOLUME</stp>
        <stp>.NDXP260501C24725</stp>
        <tr r="R173" s="2"/>
      </tp>
      <tp t="s">
        <v>N/A</v>
        <stp/>
        <stp>VOLUME</stp>
        <stp>.NDXP260626C25025</stp>
        <tr r="T161" s="2"/>
      </tp>
      <tp t="s">
        <v>N/A</v>
        <stp/>
        <stp>VOLUME</stp>
        <stp>.NDXP260206C25025</stp>
        <tr r="N161" s="2"/>
      </tp>
      <tp t="s">
        <v>N/A</v>
        <stp/>
        <stp>VOLUME</stp>
        <stp>.NDXP260227C25125</stp>
        <tr r="P157" s="2"/>
      </tp>
      <tp>
        <v>52</v>
        <stp/>
        <stp>VOLUME</stp>
        <stp>.NDXP251110C25500</stp>
        <tr r="B142" s="2"/>
        <tr r="B142" s="2"/>
        <tr r="P141" s="1"/>
        <tr r="P141" s="1"/>
      </tp>
      <tp>
        <v>13</v>
        <stp/>
        <stp>VOLUME</stp>
        <stp>.NDXP251111C25400</stp>
        <tr r="C146" s="2"/>
        <tr r="C146" s="2"/>
      </tp>
      <tp>
        <v>1</v>
        <stp/>
        <stp>VOLUME</stp>
        <stp>.NDXP251113C25600</stp>
        <tr r="E138" s="2"/>
        <tr r="E138" s="2"/>
      </tp>
      <tp>
        <v>24</v>
        <stp/>
        <stp>VOLUME</stp>
        <stp>.NDXP251114C25100</stp>
        <tr r="R157" s="1"/>
        <tr r="R157" s="1"/>
      </tp>
      <tp>
        <v>8</v>
        <stp/>
        <stp>VOLUME</stp>
        <stp>.NDXP251110C24500</stp>
        <tr r="B182" s="2"/>
        <tr r="B182" s="2"/>
        <tr r="P181" s="1"/>
        <tr r="P181" s="1"/>
      </tp>
      <tp t="s">
        <v>N/A</v>
        <stp/>
        <stp>VOLUME</stp>
        <stp>.NDXP251111C24400</stp>
        <tr r="C186" s="2"/>
      </tp>
      <tp>
        <v>2</v>
        <stp/>
        <stp>VOLUME</stp>
        <stp>.NDXP251112C24700</stp>
        <tr r="D174" s="2"/>
        <tr r="D174" s="2"/>
      </tp>
      <tp>
        <v>4</v>
        <stp/>
        <stp>VOLUME</stp>
        <stp>.NDXP251113C24600</stp>
        <tr r="E178" s="2"/>
        <tr r="E178" s="2"/>
      </tp>
      <tp t="s">
        <v>N/A</v>
        <stp/>
        <stp>VOLUME</stp>
        <stp>.NDXP261030C25600</stp>
        <tr r="X138" s="2"/>
      </tp>
      <tp t="s">
        <v>N/A</v>
        <stp/>
        <stp>VOLUME</stp>
        <stp>.NDXP261030C24600</stp>
        <tr r="X178" s="2"/>
      </tp>
      <tp>
        <v>2</v>
        <stp/>
        <stp>VOLUME</stp>
        <stp>.NDXP251205C25000</stp>
        <tr r="I162" s="2"/>
        <tr r="I162" s="2"/>
      </tp>
      <tp t="s">
        <v>N/A</v>
        <stp/>
        <stp>VOLUME</stp>
        <stp>.NDXP251212C24700</stp>
        <tr r="J174" s="2"/>
      </tp>
      <tp t="s">
        <v>N/A</v>
        <stp/>
        <stp>VOLUME</stp>
        <stp>.NDXP260206C25000</stp>
        <tr r="N162" s="2"/>
      </tp>
      <tp t="s">
        <v>N/A</v>
        <stp/>
        <stp>VOLUME</stp>
        <stp>.NDXP260227C25100</stp>
        <tr r="P158" s="2"/>
      </tp>
      <tp t="s">
        <v>N/A</v>
        <stp/>
        <stp>VOLUME</stp>
        <stp>.NDXP260501C24700</stp>
        <tr r="R174" s="2"/>
      </tp>
      <tp t="s">
        <v>N/A</v>
        <stp/>
        <stp>VOLUME</stp>
        <stp>.NDXP260626C25000</stp>
        <tr r="T162" s="2"/>
      </tp>
      <tp t="s">
        <v>N/A</v>
        <stp/>
        <stp>VOLUME</stp>
        <stp>.SPXW260109C6825</stp>
        <tr r="L89" s="2"/>
      </tp>
      <tp t="s">
        <v>N/A</v>
        <stp/>
        <stp>VOLUME</stp>
        <stp>.SPXW260109C6820</stp>
        <tr r="L90" s="2"/>
      </tp>
      <tp t="s">
        <v>N/A</v>
        <stp/>
        <stp>VOLUME</stp>
        <stp>.SPXW260109P6825</stp>
        <tr r="L89" s="2"/>
      </tp>
      <tp t="s">
        <v>N/A</v>
        <stp/>
        <stp>VOLUME</stp>
        <stp>.SPXW260109P6820</stp>
        <tr r="L90" s="2"/>
      </tp>
      <tp t="s">
        <v>N/A</v>
        <stp/>
        <stp>VOLUME</stp>
        <stp>.SPXW260109C6835</stp>
        <tr r="L87" s="2"/>
      </tp>
      <tp t="s">
        <v>N/A</v>
        <stp/>
        <stp>VOLUME</stp>
        <stp>.SPXW260109C6830</stp>
        <tr r="L88" s="2"/>
      </tp>
      <tp t="s">
        <v>N/A</v>
        <stp/>
        <stp>VOLUME</stp>
        <stp>.SPXW260109P6835</stp>
        <tr r="L87" s="2"/>
      </tp>
      <tp t="s">
        <v>N/A</v>
        <stp/>
        <stp>VOLUME</stp>
        <stp>.SPXW260109P6830</stp>
        <tr r="L88" s="2"/>
      </tp>
      <tp t="s">
        <v>N/A</v>
        <stp/>
        <stp>VOLUME</stp>
        <stp>.SPXW260109C6805</stp>
        <tr r="L93" s="2"/>
      </tp>
      <tp t="s">
        <v>N/A</v>
        <stp/>
        <stp>VOLUME</stp>
        <stp>.SPXW260109C6800</stp>
        <tr r="L94" s="2"/>
      </tp>
      <tp t="s">
        <v>N/A</v>
        <stp/>
        <stp>VOLUME</stp>
        <stp>.SPXW260109P6805</stp>
        <tr r="L93" s="2"/>
      </tp>
      <tp t="s">
        <v>N/A</v>
        <stp/>
        <stp>VOLUME</stp>
        <stp>.SPXW260109P6800</stp>
        <tr r="L94" s="2"/>
      </tp>
      <tp t="s">
        <v>N/A</v>
        <stp/>
        <stp>VOLUME</stp>
        <stp>.SPXW260109C6815</stp>
        <tr r="L91" s="2"/>
      </tp>
      <tp t="s">
        <v>N/A</v>
        <stp/>
        <stp>VOLUME</stp>
        <stp>.SPXW260109C6810</stp>
        <tr r="L92" s="2"/>
      </tp>
      <tp t="s">
        <v>N/A</v>
        <stp/>
        <stp>VOLUME</stp>
        <stp>.SPXW260109P6815</stp>
        <tr r="L91" s="2"/>
      </tp>
      <tp t="s">
        <v>N/A</v>
        <stp/>
        <stp>VOLUME</stp>
        <stp>.SPXW260109P6810</stp>
        <tr r="L92" s="2"/>
      </tp>
      <tp t="s">
        <v>N/A</v>
        <stp/>
        <stp>VOLUME</stp>
        <stp>.SPXW260109C6840</stp>
        <tr r="L86" s="2"/>
      </tp>
      <tp t="s">
        <v>N/A</v>
        <stp/>
        <stp>VOLUME</stp>
        <stp>.SPXW260109P6840</stp>
        <tr r="L86" s="2"/>
      </tp>
      <tp>
        <v>15</v>
        <stp/>
        <stp>VOLUME</stp>
        <stp>.NDXP251110P25550</stp>
        <tr r="B140" s="2"/>
        <tr r="B140" s="2"/>
        <tr r="Q139" s="1"/>
        <tr r="Q139" s="1"/>
      </tp>
      <tp>
        <v>20</v>
        <stp/>
        <stp>VOLUME</stp>
        <stp>.NDXP251111P25450</stp>
        <tr r="C144" s="2"/>
        <tr r="C144" s="2"/>
      </tp>
      <tp>
        <v>10</v>
        <stp/>
        <stp>VOLUME</stp>
        <stp>.NDXP251114P25150</stp>
        <tr r="S155" s="1"/>
        <tr r="S155" s="1"/>
      </tp>
      <tp>
        <v>47</v>
        <stp/>
        <stp>VOLUME</stp>
        <stp>.NDXP251110P24550</stp>
        <tr r="B180" s="2"/>
        <tr r="B180" s="2"/>
        <tr r="Q179" s="1"/>
        <tr r="Q179" s="1"/>
      </tp>
      <tp t="s">
        <v>N/A</v>
        <stp/>
        <stp>VOLUME</stp>
        <stp>.NDXP251111P24450</stp>
        <tr r="C184" s="2"/>
      </tp>
      <tp>
        <v>7</v>
        <stp/>
        <stp>VOLUME</stp>
        <stp>.NDXP251112P24750</stp>
        <tr r="D172" s="2"/>
        <tr r="D172" s="2"/>
      </tp>
      <tp t="s">
        <v>N/A</v>
        <stp/>
        <stp>VOLUME</stp>
        <stp>.NDXP251113P24650</stp>
        <tr r="E176" s="2"/>
      </tp>
      <tp t="s">
        <v>N/A</v>
        <stp/>
        <stp>VOLUME</stp>
        <stp>.NDXP261030P24650</stp>
        <tr r="X176" s="2"/>
      </tp>
      <tp t="s">
        <v>N/A</v>
        <stp/>
        <stp>VOLUME</stp>
        <stp>.NDXP251205P25050</stp>
        <tr r="I160" s="2"/>
      </tp>
      <tp t="s">
        <v>N/A</v>
        <stp/>
        <stp>VOLUME</stp>
        <stp>.NDXP251212P24750</stp>
        <tr r="J172" s="2"/>
      </tp>
      <tp t="s">
        <v>N/A</v>
        <stp/>
        <stp>VOLUME</stp>
        <stp>.SPXW260501C6825</stp>
        <tr r="R89" s="2"/>
      </tp>
      <tp t="s">
        <v>N/A</v>
        <stp/>
        <stp>VOLUME</stp>
        <stp>.SPXW260501C6820</stp>
        <tr r="R90" s="2"/>
      </tp>
      <tp t="s">
        <v>N/A</v>
        <stp/>
        <stp>VOLUME</stp>
        <stp>.SPXW260501P6825</stp>
        <tr r="R89" s="2"/>
      </tp>
      <tp t="s">
        <v>N/A</v>
        <stp/>
        <stp>VOLUME</stp>
        <stp>.SPXW260501P6820</stp>
        <tr r="R90" s="2"/>
      </tp>
      <tp t="s">
        <v>N/A</v>
        <stp/>
        <stp>VOLUME</stp>
        <stp>.NDXP260206P25050</stp>
        <tr r="N160" s="2"/>
      </tp>
      <tp t="s">
        <v>N/A</v>
        <stp/>
        <stp>VOLUME</stp>
        <stp>.NDXP260227P25150</stp>
        <tr r="P156" s="2"/>
      </tp>
      <tp t="s">
        <v>N/A</v>
        <stp/>
        <stp>VOLUME</stp>
        <stp>.NDXP260501P24750</stp>
        <tr r="R172" s="2"/>
      </tp>
      <tp t="s">
        <v>N/A</v>
        <stp/>
        <stp>VOLUME</stp>
        <stp>.NDXP260626P25050</stp>
        <tr r="T160" s="2"/>
      </tp>
      <tp t="s">
        <v>N/A</v>
        <stp/>
        <stp>VOLUME</stp>
        <stp>.SPXW260501C6835</stp>
        <tr r="R87" s="2"/>
      </tp>
      <tp t="s">
        <v>N/A</v>
        <stp/>
        <stp>VOLUME</stp>
        <stp>.SPXW260206C6840</stp>
        <tr r="N86" s="2"/>
      </tp>
      <tp t="s">
        <v>N/A</v>
        <stp/>
        <stp>VOLUME</stp>
        <stp>.SPXW260501C6830</stp>
        <tr r="R88" s="2"/>
      </tp>
      <tp>
        <v>378</v>
        <stp/>
        <stp>VOLUME</stp>
        <stp>.SPXW251205C6840</stp>
        <tr r="I86" s="2"/>
        <tr r="I86" s="2"/>
      </tp>
      <tp t="s">
        <v>N/A</v>
        <stp/>
        <stp>VOLUME</stp>
        <stp>.SPXW260501P6835</stp>
        <tr r="R87" s="2"/>
      </tp>
      <tp>
        <v>2</v>
        <stp/>
        <stp>VOLUME</stp>
        <stp>.SPXW251205P6840</stp>
        <tr r="I86" s="2"/>
        <tr r="I86" s="2"/>
      </tp>
      <tp t="s">
        <v>N/A</v>
        <stp/>
        <stp>VOLUME</stp>
        <stp>.SPXW260206P6840</stp>
        <tr r="N86" s="2"/>
      </tp>
      <tp t="s">
        <v>N/A</v>
        <stp/>
        <stp>VOLUME</stp>
        <stp>.SPXW260501P6830</stp>
        <tr r="R88" s="2"/>
      </tp>
      <tp t="s">
        <v>N/A</v>
        <stp/>
        <stp>VOLUME</stp>
        <stp>.NDXP261030P24675</stp>
        <tr r="X175" s="2"/>
      </tp>
      <tp t="s">
        <v>N/A</v>
        <stp/>
        <stp>VOLUME</stp>
        <stp>.NDXP251110P25575</stp>
        <tr r="B139" s="2"/>
        <tr r="Q138" s="1"/>
      </tp>
      <tp t="s">
        <v>N/A</v>
        <stp/>
        <stp>VOLUME</stp>
        <stp>.NDXP251111P25475</stp>
        <tr r="C143" s="2"/>
      </tp>
      <tp>
        <v>40</v>
        <stp/>
        <stp>VOLUME</stp>
        <stp>.NDXP251114P25175</stp>
        <tr r="S154" s="1"/>
        <tr r="S154" s="1"/>
      </tp>
      <tp t="s">
        <v>N/A</v>
        <stp/>
        <stp>VOLUME</stp>
        <stp>.NDXP251110P24575</stp>
        <tr r="B179" s="2"/>
        <tr r="Q178" s="1"/>
      </tp>
      <tp t="s">
        <v>N/A</v>
        <stp/>
        <stp>VOLUME</stp>
        <stp>.NDXP251111P24475</stp>
        <tr r="C183" s="2"/>
      </tp>
      <tp t="s">
        <v>N/A</v>
        <stp/>
        <stp>VOLUME</stp>
        <stp>.NDXP251112P24775</stp>
        <tr r="D171" s="2"/>
      </tp>
      <tp t="s">
        <v>N/A</v>
        <stp/>
        <stp>VOLUME</stp>
        <stp>.NDXP251113P24675</stp>
        <tr r="E175" s="2"/>
      </tp>
      <tp t="s">
        <v>N/A</v>
        <stp/>
        <stp>VOLUME</stp>
        <stp>.NDXP251205P25075</stp>
        <tr r="I159" s="2"/>
      </tp>
      <tp t="s">
        <v>N/A</v>
        <stp/>
        <stp>VOLUME</stp>
        <stp>.NDXP251212P24775</stp>
        <tr r="J171" s="2"/>
      </tp>
      <tp t="s">
        <v>N/A</v>
        <stp/>
        <stp>VOLUME</stp>
        <stp>.SPXW260501C6805</stp>
        <tr r="R93" s="2"/>
      </tp>
      <tp t="s">
        <v>N/A</v>
        <stp/>
        <stp>VOLUME</stp>
        <stp>.SPXW260501C6800</stp>
        <tr r="R94" s="2"/>
      </tp>
      <tp t="s">
        <v>N/A</v>
        <stp/>
        <stp>VOLUME</stp>
        <stp>.SPXW260501P6805</stp>
        <tr r="R93" s="2"/>
      </tp>
      <tp t="s">
        <v>N/A</v>
        <stp/>
        <stp>VOLUME</stp>
        <stp>.SPXW260501P6800</stp>
        <tr r="R94" s="2"/>
      </tp>
      <tp t="s">
        <v>N/A</v>
        <stp/>
        <stp>VOLUME</stp>
        <stp>.NDXP260501P24775</stp>
        <tr r="R171" s="2"/>
      </tp>
      <tp t="s">
        <v>N/A</v>
        <stp/>
        <stp>VOLUME</stp>
        <stp>.NDXP260626P25075</stp>
        <tr r="T159" s="2"/>
      </tp>
      <tp t="s">
        <v>N/A</v>
        <stp/>
        <stp>VOLUME</stp>
        <stp>.NDXP260206P25075</stp>
        <tr r="N159" s="2"/>
      </tp>
      <tp t="s">
        <v>N/A</v>
        <stp/>
        <stp>VOLUME</stp>
        <stp>.NDXP260227P25175</stp>
        <tr r="P155" s="2"/>
      </tp>
      <tp t="s">
        <v>N/A</v>
        <stp/>
        <stp>VOLUME</stp>
        <stp>.SPXW260501C6815</stp>
        <tr r="R91" s="2"/>
      </tp>
      <tp t="s">
        <v>N/A</v>
        <stp/>
        <stp>VOLUME</stp>
        <stp>.SPXW260501C6810</stp>
        <tr r="R92" s="2"/>
      </tp>
      <tp t="s">
        <v>N/A</v>
        <stp/>
        <stp>VOLUME</stp>
        <stp>.SPXW260501P6815</stp>
        <tr r="R91" s="2"/>
      </tp>
      <tp t="s">
        <v>N/A</v>
        <stp/>
        <stp>VOLUME</stp>
        <stp>.SPXW260501P6810</stp>
        <tr r="R92" s="2"/>
      </tp>
      <tp t="s">
        <v>N/A</v>
        <stp/>
        <stp>VOLUME</stp>
        <stp>.NDXP260206P25000</stp>
        <tr r="N162" s="2"/>
      </tp>
      <tp t="s">
        <v>N/A</v>
        <stp/>
        <stp>VOLUME</stp>
        <stp>.NDXP260227P25100</stp>
        <tr r="P158" s="2"/>
      </tp>
      <tp t="s">
        <v>N/A</v>
        <stp/>
        <stp>VOLUME</stp>
        <stp>.NDXP260501P24700</stp>
        <tr r="R174" s="2"/>
      </tp>
      <tp t="s">
        <v>N/A</v>
        <stp/>
        <stp>VOLUME</stp>
        <stp>.NDXP260626P25000</stp>
        <tr r="T162" s="2"/>
      </tp>
      <tp>
        <v>67</v>
        <stp/>
        <stp>VOLUME</stp>
        <stp>.SPXW251205C6815</stp>
        <tr r="I91" s="2"/>
        <tr r="I91" s="2"/>
      </tp>
      <tp t="s">
        <v>N/A</v>
        <stp/>
        <stp>VOLUME</stp>
        <stp>.SPXW260206C6815</stp>
        <tr r="N91" s="2"/>
      </tp>
      <tp t="s">
        <v>N/A</v>
        <stp/>
        <stp>VOLUME</stp>
        <stp>.SPXW260206C6810</stp>
        <tr r="N92" s="2"/>
      </tp>
      <tp>
        <v>32</v>
        <stp/>
        <stp>VOLUME</stp>
        <stp>.SPXW251205C6810</stp>
        <tr r="I92" s="2"/>
        <tr r="I92" s="2"/>
      </tp>
      <tp t="s">
        <v>N/A</v>
        <stp/>
        <stp>VOLUME</stp>
        <stp>.SPXW260206P6815</stp>
        <tr r="N91" s="2"/>
      </tp>
      <tp t="s">
        <v>N/A</v>
        <stp/>
        <stp>VOLUME</stp>
        <stp>.SPXW251205P6815</stp>
        <tr r="I91" s="2"/>
      </tp>
      <tp t="s">
        <v>N/A</v>
        <stp/>
        <stp>VOLUME</stp>
        <stp>.SPXW251205P6810</stp>
        <tr r="I92" s="2"/>
      </tp>
      <tp t="s">
        <v>N/A</v>
        <stp/>
        <stp>VOLUME</stp>
        <stp>.SPXW260206P6810</stp>
        <tr r="N92" s="2"/>
      </tp>
      <tp>
        <v>8</v>
        <stp/>
        <stp>VOLUME</stp>
        <stp>.NDXP251110P25500</stp>
        <tr r="B142" s="2"/>
        <tr r="B142" s="2"/>
        <tr r="Q141" s="1"/>
        <tr r="Q141" s="1"/>
      </tp>
      <tp>
        <v>2</v>
        <stp/>
        <stp>VOLUME</stp>
        <stp>.NDXP251111P25400</stp>
        <tr r="C146" s="2"/>
        <tr r="C146" s="2"/>
      </tp>
      <tp t="s">
        <v>N/A</v>
        <stp/>
        <stp>VOLUME</stp>
        <stp>.NDXP251113P25600</stp>
        <tr r="E138" s="2"/>
      </tp>
      <tp>
        <v>7</v>
        <stp/>
        <stp>VOLUME</stp>
        <stp>.NDXP251114P25100</stp>
        <tr r="S157" s="1"/>
        <tr r="S157" s="1"/>
      </tp>
      <tp>
        <v>79</v>
        <stp/>
        <stp>VOLUME</stp>
        <stp>.NDXP251110P24500</stp>
        <tr r="B182" s="2"/>
        <tr r="B182" s="2"/>
        <tr r="Q181" s="1"/>
        <tr r="Q181" s="1"/>
      </tp>
      <tp>
        <v>11</v>
        <stp/>
        <stp>VOLUME</stp>
        <stp>.NDXP251111P24400</stp>
        <tr r="C186" s="2"/>
        <tr r="C186" s="2"/>
      </tp>
      <tp>
        <v>3</v>
        <stp/>
        <stp>VOLUME</stp>
        <stp>.NDXP251112P24700</stp>
        <tr r="D174" s="2"/>
        <tr r="D174" s="2"/>
      </tp>
      <tp>
        <v>11</v>
        <stp/>
        <stp>VOLUME</stp>
        <stp>.NDXP251113P24600</stp>
        <tr r="E178" s="2"/>
        <tr r="E178" s="2"/>
      </tp>
      <tp t="s">
        <v>N/A</v>
        <stp/>
        <stp>VOLUME</stp>
        <stp>.NDXP261030P25600</stp>
        <tr r="X138" s="2"/>
      </tp>
      <tp t="s">
        <v>N/A</v>
        <stp/>
        <stp>VOLUME</stp>
        <stp>.NDXP261030P24600</stp>
        <tr r="X178" s="2"/>
      </tp>
      <tp>
        <v>1</v>
        <stp/>
        <stp>VOLUME</stp>
        <stp>.NDXP251205P25000</stp>
        <tr r="I162" s="2"/>
        <tr r="I162" s="2"/>
      </tp>
      <tp t="s">
        <v>N/A</v>
        <stp/>
        <stp>VOLUME</stp>
        <stp>.NDXP251212P24700</stp>
        <tr r="J174" s="2"/>
      </tp>
      <tp>
        <v>20</v>
        <stp/>
        <stp>VOLUME</stp>
        <stp>.SPXW251205C6805</stp>
        <tr r="I93" s="2"/>
        <tr r="I93" s="2"/>
      </tp>
      <tp t="s">
        <v>N/A</v>
        <stp/>
        <stp>VOLUME</stp>
        <stp>.SPXW260206C6805</stp>
        <tr r="N93" s="2"/>
      </tp>
      <tp t="s">
        <v>N/A</v>
        <stp/>
        <stp>VOLUME</stp>
        <stp>.SPXW260206C6800</stp>
        <tr r="N94" s="2"/>
      </tp>
      <tp>
        <v>164</v>
        <stp/>
        <stp>VOLUME</stp>
        <stp>.SPXW251205C6800</stp>
        <tr r="I94" s="2"/>
        <tr r="I94" s="2"/>
      </tp>
      <tp t="s">
        <v>N/A</v>
        <stp/>
        <stp>VOLUME</stp>
        <stp>.SPXW260206P6805</stp>
        <tr r="N93" s="2"/>
      </tp>
      <tp t="s">
        <v>N/A</v>
        <stp/>
        <stp>VOLUME</stp>
        <stp>.SPXW251205P6805</stp>
        <tr r="I93" s="2"/>
      </tp>
      <tp>
        <v>36</v>
        <stp/>
        <stp>VOLUME</stp>
        <stp>.SPXW251205P6800</stp>
        <tr r="I94" s="2"/>
        <tr r="I94" s="2"/>
      </tp>
      <tp t="s">
        <v>N/A</v>
        <stp/>
        <stp>VOLUME</stp>
        <stp>.SPXW260206P6800</stp>
        <tr r="N94" s="2"/>
      </tp>
      <tp t="s">
        <v>N/A</v>
        <stp/>
        <stp>VOLUME</stp>
        <stp>.NDXP260501P24725</stp>
        <tr r="R173" s="2"/>
      </tp>
      <tp t="s">
        <v>N/A</v>
        <stp/>
        <stp>VOLUME</stp>
        <stp>.NDXP260626P25025</stp>
        <tr r="T161" s="2"/>
      </tp>
      <tp t="s">
        <v>N/A</v>
        <stp/>
        <stp>VOLUME</stp>
        <stp>.NDXP260206P25025</stp>
        <tr r="N161" s="2"/>
      </tp>
      <tp t="s">
        <v>N/A</v>
        <stp/>
        <stp>VOLUME</stp>
        <stp>.NDXP260227P25125</stp>
        <tr r="P157" s="2"/>
      </tp>
      <tp>
        <v>28</v>
        <stp/>
        <stp>VOLUME</stp>
        <stp>.SPXW251205C6835</stp>
        <tr r="I87" s="2"/>
        <tr r="I87" s="2"/>
      </tp>
      <tp t="s">
        <v>N/A</v>
        <stp/>
        <stp>VOLUME</stp>
        <stp>.SPXW260206C6835</stp>
        <tr r="N87" s="2"/>
      </tp>
      <tp t="s">
        <v>N/A</v>
        <stp/>
        <stp>VOLUME</stp>
        <stp>.SPXW260206C6830</stp>
        <tr r="N88" s="2"/>
      </tp>
      <tp t="s">
        <v>N/A</v>
        <stp/>
        <stp>VOLUME</stp>
        <stp>.SPXW260501C6840</stp>
        <tr r="R86" s="2"/>
      </tp>
      <tp>
        <v>44</v>
        <stp/>
        <stp>VOLUME</stp>
        <stp>.SPXW251205C6830</stp>
        <tr r="I88" s="2"/>
        <tr r="I88" s="2"/>
      </tp>
      <tp t="s">
        <v>N/A</v>
        <stp/>
        <stp>VOLUME</stp>
        <stp>.SPXW260206P6835</stp>
        <tr r="N87" s="2"/>
      </tp>
      <tp t="s">
        <v>N/A</v>
        <stp/>
        <stp>VOLUME</stp>
        <stp>.SPXW251205P6835</stp>
        <tr r="I87" s="2"/>
      </tp>
      <tp>
        <v>10</v>
        <stp/>
        <stp>VOLUME</stp>
        <stp>.SPXW251205P6830</stp>
        <tr r="I88" s="2"/>
        <tr r="I88" s="2"/>
      </tp>
      <tp t="s">
        <v>N/A</v>
        <stp/>
        <stp>VOLUME</stp>
        <stp>.SPXW260206P6830</stp>
        <tr r="N88" s="2"/>
      </tp>
      <tp t="s">
        <v>N/A</v>
        <stp/>
        <stp>VOLUME</stp>
        <stp>.SPXW260501P6840</stp>
        <tr r="R86" s="2"/>
      </tp>
      <tp t="s">
        <v>N/A</v>
        <stp/>
        <stp>VOLUME</stp>
        <stp>.NDXP261030P24625</stp>
        <tr r="X177" s="2"/>
      </tp>
      <tp t="s">
        <v>N/A</v>
        <stp/>
        <stp>VOLUME</stp>
        <stp>.NDXP251110P25525</stp>
        <tr r="B141" s="2"/>
        <tr r="Q140" s="1"/>
      </tp>
      <tp t="s">
        <v>N/A</v>
        <stp/>
        <stp>VOLUME</stp>
        <stp>.NDXP251111P25425</stp>
        <tr r="C145" s="2"/>
      </tp>
      <tp>
        <v>10</v>
        <stp/>
        <stp>VOLUME</stp>
        <stp>.NDXP251114P25125</stp>
        <tr r="S156" s="1"/>
        <tr r="S156" s="1"/>
      </tp>
      <tp t="s">
        <v>N/A</v>
        <stp/>
        <stp>VOLUME</stp>
        <stp>.NDXP251110P24525</stp>
        <tr r="B181" s="2"/>
        <tr r="Q180" s="1"/>
      </tp>
      <tp t="s">
        <v>N/A</v>
        <stp/>
        <stp>VOLUME</stp>
        <stp>.NDXP251111P24425</stp>
        <tr r="C185" s="2"/>
      </tp>
      <tp t="s">
        <v>N/A</v>
        <stp/>
        <stp>VOLUME</stp>
        <stp>.NDXP251112P24725</stp>
        <tr r="D173" s="2"/>
      </tp>
      <tp t="s">
        <v>N/A</v>
        <stp/>
        <stp>VOLUME</stp>
        <stp>.NDXP251113P24625</stp>
        <tr r="E177" s="2"/>
      </tp>
      <tp t="s">
        <v>N/A</v>
        <stp/>
        <stp>VOLUME</stp>
        <stp>.NDXP251205P25025</stp>
        <tr r="I161" s="2"/>
      </tp>
      <tp t="s">
        <v>N/A</v>
        <stp/>
        <stp>VOLUME</stp>
        <stp>.NDXP251212P24725</stp>
        <tr r="J173" s="2"/>
      </tp>
      <tp>
        <v>266</v>
        <stp/>
        <stp>VOLUME</stp>
        <stp>.SPXW251205C6825</stp>
        <tr r="I89" s="2"/>
        <tr r="I89" s="2"/>
      </tp>
      <tp t="s">
        <v>N/A</v>
        <stp/>
        <stp>VOLUME</stp>
        <stp>.SPXW260206C6825</stp>
        <tr r="N89" s="2"/>
      </tp>
      <tp t="s">
        <v>N/A</v>
        <stp/>
        <stp>VOLUME</stp>
        <stp>.SPXW260206C6820</stp>
        <tr r="N90" s="2"/>
      </tp>
      <tp>
        <v>35</v>
        <stp/>
        <stp>VOLUME</stp>
        <stp>.SPXW251205C6820</stp>
        <tr r="I90" s="2"/>
        <tr r="I90" s="2"/>
      </tp>
      <tp t="s">
        <v>N/A</v>
        <stp/>
        <stp>VOLUME</stp>
        <stp>.SPXW260206P6825</stp>
        <tr r="N89" s="2"/>
      </tp>
      <tp>
        <v>14</v>
        <stp/>
        <stp>VOLUME</stp>
        <stp>.SPXW251205P6825</stp>
        <tr r="I89" s="2"/>
        <tr r="I89" s="2"/>
      </tp>
      <tp>
        <v>9</v>
        <stp/>
        <stp>VOLUME</stp>
        <stp>.SPXW251205P6820</stp>
        <tr r="I90" s="2"/>
        <tr r="I90" s="2"/>
      </tp>
      <tp t="s">
        <v>N/A</v>
        <stp/>
        <stp>VOLUME</stp>
        <stp>.SPXW260206P6820</stp>
        <tr r="N90" s="2"/>
      </tp>
      <tp t="s">
        <v>N/A</v>
        <stp/>
        <stp>VOLUME</stp>
        <stp>.NDXP260501C24475</stp>
        <tr r="R183" s="2"/>
      </tp>
      <tp t="s">
        <v>N/A</v>
        <stp/>
        <stp>VOLUME</stp>
        <stp>.NDXP260501C25475</stp>
        <tr r="R143" s="2"/>
      </tp>
      <tp t="s">
        <v>N/A</v>
        <stp/>
        <stp>VOLUME</stp>
        <stp>.NDXP260626C24375</stp>
        <tr r="T187" s="2"/>
      </tp>
      <tp t="s">
        <v>N/A</v>
        <stp/>
        <stp>VOLUME</stp>
        <stp>.NDXP260626C25375</stp>
        <tr r="T147" s="2"/>
      </tp>
      <tp t="s">
        <v>N/A</v>
        <stp/>
        <stp>VOLUME</stp>
        <stp>.NDXP260206C24375</stp>
        <tr r="N187" s="2"/>
      </tp>
      <tp t="s">
        <v>N/A</v>
        <stp/>
        <stp>VOLUME</stp>
        <stp>.NDXP260206C25375</stp>
        <tr r="N147" s="2"/>
      </tp>
      <tp t="s">
        <v>N/A</v>
        <stp/>
        <stp>VOLUME</stp>
        <stp>.NDXP260227C25275</stp>
        <tr r="P151" s="2"/>
      </tp>
      <tp t="s">
        <v>N/A</v>
        <stp/>
        <stp>VOLUME</stp>
        <stp>.NDXP261030C25575</stp>
        <tr r="X139" s="2"/>
      </tp>
      <tp t="s">
        <v>N/A</v>
        <stp/>
        <stp>VOLUME</stp>
        <stp>.NDXP261030C24575</stp>
        <tr r="X179" s="2"/>
      </tp>
      <tp t="s">
        <v>N/A</v>
        <stp/>
        <stp>VOLUME</stp>
        <stp>.NDXP251112C25475</stp>
        <tr r="D143" s="2"/>
      </tp>
      <tp t="s">
        <v>N/A</v>
        <stp/>
        <stp>VOLUME</stp>
        <stp>.NDXP251113C25575</stp>
        <tr r="E139" s="2"/>
      </tp>
      <tp>
        <v>13</v>
        <stp/>
        <stp>VOLUME</stp>
        <stp>.NDXP251114C25275</stp>
        <tr r="R150" s="1"/>
        <tr r="R150" s="1"/>
      </tp>
      <tp t="s">
        <v>N/A</v>
        <stp/>
        <stp>VOLUME</stp>
        <stp>.NDXP251110C24675</stp>
        <tr r="B175" s="2"/>
        <tr r="P174" s="1"/>
      </tp>
      <tp t="s">
        <v>N/A</v>
        <stp/>
        <stp>VOLUME</stp>
        <stp>.NDXP251111C24775</stp>
        <tr r="C171" s="2"/>
      </tp>
      <tp t="s">
        <v>N/A</v>
        <stp/>
        <stp>VOLUME</stp>
        <stp>.NDXP251112C24475</stp>
        <tr r="D183" s="2"/>
      </tp>
      <tp t="s">
        <v>N/A</v>
        <stp/>
        <stp>VOLUME</stp>
        <stp>.NDXP251113C24575</stp>
        <tr r="E179" s="2"/>
      </tp>
      <tp t="s">
        <v>N/A</v>
        <stp/>
        <stp>VOLUME</stp>
        <stp>.NDXP251205C24375</stp>
        <tr r="I187" s="2"/>
      </tp>
      <tp t="s">
        <v>N/A</v>
        <stp/>
        <stp>VOLUME</stp>
        <stp>.NDXP251212C25475</stp>
        <tr r="J143" s="2"/>
      </tp>
      <tp>
        <v>1</v>
        <stp/>
        <stp>VOLUME</stp>
        <stp>.NDXP251205C25375</stp>
        <tr r="I147" s="2"/>
        <tr r="I147" s="2"/>
      </tp>
      <tp t="s">
        <v>N/A</v>
        <stp/>
        <stp>VOLUME</stp>
        <stp>.NDXP251212C24475</stp>
        <tr r="J183" s="2"/>
      </tp>
      <tp t="s">
        <v>N/A</v>
        <stp/>
        <stp>VOLUME</stp>
        <stp>.NDXP260206C24350</stp>
        <tr r="N188" s="2"/>
      </tp>
      <tp t="s">
        <v>N/A</v>
        <stp/>
        <stp>VOLUME</stp>
        <stp>.NDXP260206C25350</stp>
        <tr r="N148" s="2"/>
      </tp>
      <tp t="s">
        <v>N/A</v>
        <stp/>
        <stp>VOLUME</stp>
        <stp>.NDXP260227C25250</stp>
        <tr r="P152" s="2"/>
      </tp>
      <tp t="s">
        <v>N/A</v>
        <stp/>
        <stp>VOLUME</stp>
        <stp>.NDXP260501C24450</stp>
        <tr r="R184" s="2"/>
      </tp>
      <tp t="s">
        <v>N/A</v>
        <stp/>
        <stp>VOLUME</stp>
        <stp>.NDXP260501C25450</stp>
        <tr r="R144" s="2"/>
      </tp>
      <tp t="s">
        <v>N/A</v>
        <stp/>
        <stp>VOLUME</stp>
        <stp>.NDXP260626C24350</stp>
        <tr r="T188" s="2"/>
      </tp>
      <tp t="s">
        <v>N/A</v>
        <stp/>
        <stp>VOLUME</stp>
        <stp>.NDXP260626C25350</stp>
        <tr r="T148" s="2"/>
      </tp>
      <tp>
        <v>17</v>
        <stp/>
        <stp>VOLUME</stp>
        <stp>.NDXP251112C25450</stp>
        <tr r="D144" s="2"/>
        <tr r="D144" s="2"/>
      </tp>
      <tp>
        <v>2</v>
        <stp/>
        <stp>VOLUME</stp>
        <stp>.NDXP251113C25550</stp>
        <tr r="E140" s="2"/>
        <tr r="E140" s="2"/>
      </tp>
      <tp t="s">
        <v>N/A</v>
        <stp/>
        <stp>VOLUME</stp>
        <stp>.NDXP251114C25250</stp>
        <tr r="R151" s="1"/>
      </tp>
      <tp>
        <v>28</v>
        <stp/>
        <stp>VOLUME</stp>
        <stp>.NDXP251110C24650</stp>
        <tr r="B176" s="2"/>
        <tr r="B176" s="2"/>
        <tr r="P175" s="1"/>
        <tr r="P175" s="1"/>
      </tp>
      <tp t="s">
        <v>N/A</v>
        <stp/>
        <stp>VOLUME</stp>
        <stp>.NDXP251111C24750</stp>
        <tr r="C172" s="2"/>
      </tp>
      <tp t="s">
        <v>N/A</v>
        <stp/>
        <stp>VOLUME</stp>
        <stp>.NDXP251112C24450</stp>
        <tr r="D184" s="2"/>
      </tp>
      <tp t="s">
        <v>N/A</v>
        <stp/>
        <stp>VOLUME</stp>
        <stp>.NDXP251113C24550</stp>
        <tr r="E180" s="2"/>
      </tp>
      <tp t="s">
        <v>N/A</v>
        <stp/>
        <stp>VOLUME</stp>
        <stp>.NDXP261030C25550</stp>
        <tr r="X140" s="2"/>
      </tp>
      <tp t="s">
        <v>N/A</v>
        <stp/>
        <stp>VOLUME</stp>
        <stp>.NDXP261030C24550</stp>
        <tr r="X180" s="2"/>
      </tp>
      <tp t="s">
        <v>N/A</v>
        <stp/>
        <stp>VOLUME</stp>
        <stp>.NDXP251205C24350</stp>
        <tr r="I188" s="2"/>
      </tp>
      <tp t="s">
        <v>N/A</v>
        <stp/>
        <stp>VOLUME</stp>
        <stp>.NDXP251212C25450</stp>
        <tr r="J144" s="2"/>
      </tp>
      <tp>
        <v>21</v>
        <stp/>
        <stp>VOLUME</stp>
        <stp>.NDXP251205C25350</stp>
        <tr r="I148" s="2"/>
        <tr r="I148" s="2"/>
      </tp>
      <tp t="s">
        <v>N/A</v>
        <stp/>
        <stp>VOLUME</stp>
        <stp>.NDXP251212C24450</stp>
        <tr r="J184" s="2"/>
      </tp>
      <tp t="s">
        <v>N/A</v>
        <stp/>
        <stp>VOLUME</stp>
        <stp>.NDXP261030C25525</stp>
        <tr r="X141" s="2"/>
      </tp>
      <tp t="s">
        <v>N/A</v>
        <stp/>
        <stp>VOLUME</stp>
        <stp>.NDXP261030C24525</stp>
        <tr r="X181" s="2"/>
      </tp>
      <tp t="s">
        <v>N/A</v>
        <stp/>
        <stp>VOLUME</stp>
        <stp>.NDXP251112C25425</stp>
        <tr r="D145" s="2"/>
      </tp>
      <tp t="s">
        <v>N/A</v>
        <stp/>
        <stp>VOLUME</stp>
        <stp>.NDXP251113C25525</stp>
        <tr r="E141" s="2"/>
      </tp>
      <tp>
        <v>18</v>
        <stp/>
        <stp>VOLUME</stp>
        <stp>.NDXP251114C25225</stp>
        <tr r="R152" s="1"/>
        <tr r="R152" s="1"/>
      </tp>
      <tp t="s">
        <v>N/A</v>
        <stp/>
        <stp>VOLUME</stp>
        <stp>.NDXP251110C24625</stp>
        <tr r="B177" s="2"/>
        <tr r="P176" s="1"/>
      </tp>
      <tp t="s">
        <v>N/A</v>
        <stp/>
        <stp>VOLUME</stp>
        <stp>.NDXP251111C24725</stp>
        <tr r="C173" s="2"/>
      </tp>
      <tp t="s">
        <v>N/A</v>
        <stp/>
        <stp>VOLUME</stp>
        <stp>.NDXP251112C24425</stp>
        <tr r="D185" s="2"/>
      </tp>
      <tp t="s">
        <v>N/A</v>
        <stp/>
        <stp>VOLUME</stp>
        <stp>.NDXP251113C24525</stp>
        <tr r="E181" s="2"/>
      </tp>
      <tp t="s">
        <v>N/A</v>
        <stp/>
        <stp>VOLUME</stp>
        <stp>.NDXP251205C24325</stp>
        <tr r="I189" s="2"/>
      </tp>
      <tp t="s">
        <v>N/A</v>
        <stp/>
        <stp>VOLUME</stp>
        <stp>.NDXP251212C25425</stp>
        <tr r="J145" s="2"/>
      </tp>
      <tp t="s">
        <v>N/A</v>
        <stp/>
        <stp>VOLUME</stp>
        <stp>.NDXP251205C25325</stp>
        <tr r="I149" s="2"/>
      </tp>
      <tp t="s">
        <v>N/A</v>
        <stp/>
        <stp>VOLUME</stp>
        <stp>.NDXP251212C24425</stp>
        <tr r="J185" s="2"/>
      </tp>
      <tp t="s">
        <v>N/A</v>
        <stp/>
        <stp>VOLUME</stp>
        <stp>.NDXP260501C24425</stp>
        <tr r="R185" s="2"/>
      </tp>
      <tp t="s">
        <v>N/A</v>
        <stp/>
        <stp>VOLUME</stp>
        <stp>.NDXP260501C25425</stp>
        <tr r="R145" s="2"/>
      </tp>
      <tp t="s">
        <v>N/A</v>
        <stp/>
        <stp>VOLUME</stp>
        <stp>.NDXP260626C24325</stp>
        <tr r="T189" s="2"/>
      </tp>
      <tp t="s">
        <v>N/A</v>
        <stp/>
        <stp>VOLUME</stp>
        <stp>.NDXP260626C25325</stp>
        <tr r="T149" s="2"/>
      </tp>
      <tp t="s">
        <v>N/A</v>
        <stp/>
        <stp>VOLUME</stp>
        <stp>.NDXP260206C24325</stp>
        <tr r="N189" s="2"/>
      </tp>
      <tp t="s">
        <v>N/A</v>
        <stp/>
        <stp>VOLUME</stp>
        <stp>.NDXP260206C25325</stp>
        <tr r="N149" s="2"/>
      </tp>
      <tp t="s">
        <v>N/A</v>
        <stp/>
        <stp>VOLUME</stp>
        <stp>.NDXP260227C25225</stp>
        <tr r="P153" s="2"/>
      </tp>
      <tp>
        <v>113</v>
        <stp/>
        <stp>VOLUME</stp>
        <stp>.NDXP251110C25600</stp>
        <tr r="B138" s="2"/>
        <tr r="B138" s="2"/>
        <tr r="P137" s="1"/>
        <tr r="P137" s="1"/>
      </tp>
      <tp>
        <v>7</v>
        <stp/>
        <stp>VOLUME</stp>
        <stp>.NDXP251112C25400</stp>
        <tr r="D146" s="2"/>
        <tr r="D146" s="2"/>
      </tp>
      <tp>
        <v>40</v>
        <stp/>
        <stp>VOLUME</stp>
        <stp>.NDXP251113C25500</stp>
        <tr r="E142" s="2"/>
        <tr r="E142" s="2"/>
      </tp>
      <tp>
        <v>19</v>
        <stp/>
        <stp>VOLUME</stp>
        <stp>.NDXP251114C25200</stp>
        <tr r="R153" s="1"/>
        <tr r="R153" s="1"/>
      </tp>
      <tp>
        <v>21</v>
        <stp/>
        <stp>VOLUME</stp>
        <stp>.NDXP251110C24600</stp>
        <tr r="B178" s="2"/>
        <tr r="B178" s="2"/>
        <tr r="P177" s="1"/>
        <tr r="P177" s="1"/>
      </tp>
      <tp>
        <v>1</v>
        <stp/>
        <stp>VOLUME</stp>
        <stp>.NDXP251111C24700</stp>
        <tr r="C174" s="2"/>
        <tr r="C174" s="2"/>
      </tp>
      <tp t="s">
        <v>N/A</v>
        <stp/>
        <stp>VOLUME</stp>
        <stp>.NDXP251112C24400</stp>
        <tr r="D186" s="2"/>
      </tp>
      <tp>
        <v>4</v>
        <stp/>
        <stp>VOLUME</stp>
        <stp>.NDXP251113C24500</stp>
        <tr r="E182" s="2"/>
        <tr r="E182" s="2"/>
      </tp>
      <tp t="s">
        <v>N/A</v>
        <stp/>
        <stp>VOLUME</stp>
        <stp>.NDXP261030C25500</stp>
        <tr r="X142" s="2"/>
      </tp>
      <tp t="s">
        <v>N/A</v>
        <stp/>
        <stp>VOLUME</stp>
        <stp>.NDXP261030C24500</stp>
        <tr r="X182" s="2"/>
      </tp>
      <tp t="s">
        <v>N/A</v>
        <stp/>
        <stp>VOLUME</stp>
        <stp>.NDXP251205C24300</stp>
        <tr r="I190" s="2"/>
      </tp>
      <tp t="s">
        <v>N/A</v>
        <stp/>
        <stp>VOLUME</stp>
        <stp>.NDXP251212C25400</stp>
        <tr r="J146" s="2"/>
      </tp>
      <tp t="s">
        <v>N/A</v>
        <stp/>
        <stp>VOLUME</stp>
        <stp>.NDXP251205C25300</stp>
        <tr r="I150" s="2"/>
      </tp>
      <tp t="s">
        <v>N/A</v>
        <stp/>
        <stp>VOLUME</stp>
        <stp>.NDXP251212C24400</stp>
        <tr r="J186" s="2"/>
      </tp>
      <tp t="s">
        <v>N/A</v>
        <stp/>
        <stp>VOLUME</stp>
        <stp>.NDXP260206C24300</stp>
        <tr r="N190" s="2"/>
      </tp>
      <tp t="s">
        <v>N/A</v>
        <stp/>
        <stp>VOLUME</stp>
        <stp>.NDXP260206C25300</stp>
        <tr r="N150" s="2"/>
      </tp>
      <tp t="s">
        <v>N/A</v>
        <stp/>
        <stp>VOLUME</stp>
        <stp>.NDXP260227C25200</stp>
        <tr r="P154" s="2"/>
      </tp>
      <tp t="s">
        <v>N/A</v>
        <stp/>
        <stp>VOLUME</stp>
        <stp>.NDXP260501C24400</stp>
        <tr r="R186" s="2"/>
      </tp>
      <tp t="s">
        <v>N/A</v>
        <stp/>
        <stp>VOLUME</stp>
        <stp>.NDXP260501C25400</stp>
        <tr r="R146" s="2"/>
      </tp>
      <tp t="s">
        <v>N/A</v>
        <stp/>
        <stp>VOLUME</stp>
        <stp>.NDXP260626C24300</stp>
        <tr r="T190" s="2"/>
      </tp>
      <tp t="s">
        <v>N/A</v>
        <stp/>
        <stp>VOLUME</stp>
        <stp>.NDXP260626C25300</stp>
        <tr r="T150" s="2"/>
      </tp>
      <tp t="s">
        <v>N/A</v>
        <stp/>
        <stp>VOLUME</stp>
        <stp>.NDXP251112P25450</stp>
        <tr r="D144" s="2"/>
      </tp>
      <tp t="s">
        <v>N/A</v>
        <stp/>
        <stp>VOLUME</stp>
        <stp>.NDXP251113P25550</stp>
        <tr r="E140" s="2"/>
      </tp>
      <tp t="s">
        <v>N/A</v>
        <stp/>
        <stp>VOLUME</stp>
        <stp>.NDXP251114P25250</stp>
        <tr r="S151" s="1"/>
      </tp>
      <tp>
        <v>26</v>
        <stp/>
        <stp>VOLUME</stp>
        <stp>.NDXP251110P24650</stp>
        <tr r="B176" s="2"/>
        <tr r="B176" s="2"/>
        <tr r="Q175" s="1"/>
        <tr r="Q175" s="1"/>
      </tp>
      <tp>
        <v>13</v>
        <stp/>
        <stp>VOLUME</stp>
        <stp>.NDXP251111P24750</stp>
        <tr r="C172" s="2"/>
        <tr r="C172" s="2"/>
      </tp>
      <tp t="s">
        <v>N/A</v>
        <stp/>
        <stp>VOLUME</stp>
        <stp>.NDXP251112P24450</stp>
        <tr r="D184" s="2"/>
      </tp>
      <tp t="s">
        <v>N/A</v>
        <stp/>
        <stp>VOLUME</stp>
        <stp>.NDXP251113P24550</stp>
        <tr r="E180" s="2"/>
      </tp>
      <tp t="s">
        <v>N/A</v>
        <stp/>
        <stp>VOLUME</stp>
        <stp>.NDXP261030P25550</stp>
        <tr r="X140" s="2"/>
      </tp>
      <tp t="s">
        <v>N/A</v>
        <stp/>
        <stp>VOLUME</stp>
        <stp>.NDXP261030P24550</stp>
        <tr r="X180" s="2"/>
      </tp>
      <tp t="s">
        <v>N/A</v>
        <stp/>
        <stp>VOLUME</stp>
        <stp>.NDXP251205P24350</stp>
        <tr r="I188" s="2"/>
      </tp>
      <tp t="s">
        <v>N/A</v>
        <stp/>
        <stp>VOLUME</stp>
        <stp>.NDXP251212P25450</stp>
        <tr r="J144" s="2"/>
      </tp>
      <tp t="s">
        <v>N/A</v>
        <stp/>
        <stp>VOLUME</stp>
        <stp>.NDXP251205P25350</stp>
        <tr r="I148" s="2"/>
      </tp>
      <tp t="s">
        <v>N/A</v>
        <stp/>
        <stp>VOLUME</stp>
        <stp>.NDXP251212P24450</stp>
        <tr r="J184" s="2"/>
      </tp>
      <tp t="s">
        <v>N/A</v>
        <stp/>
        <stp>VOLUME</stp>
        <stp>.SPXW261030C6835</stp>
        <tr r="X87" s="2"/>
      </tp>
      <tp t="s">
        <v>N/A</v>
        <stp/>
        <stp>VOLUME</stp>
        <stp>.SPXW261030C6830</stp>
        <tr r="X88" s="2"/>
      </tp>
      <tp t="s">
        <v>N/A</v>
        <stp/>
        <stp>VOLUME</stp>
        <stp>.SPXW261030P6835</stp>
        <tr r="X87" s="2"/>
      </tp>
      <tp t="s">
        <v>N/A</v>
        <stp/>
        <stp>VOLUME</stp>
        <stp>.SPXW261030P6830</stp>
        <tr r="X88" s="2"/>
      </tp>
      <tp t="s">
        <v>N/A</v>
        <stp/>
        <stp>VOLUME</stp>
        <stp>.NDXP260206P24350</stp>
        <tr r="N188" s="2"/>
      </tp>
      <tp t="s">
        <v>N/A</v>
        <stp/>
        <stp>VOLUME</stp>
        <stp>.NDXP260206P25350</stp>
        <tr r="N148" s="2"/>
      </tp>
      <tp t="s">
        <v>N/A</v>
        <stp/>
        <stp>VOLUME</stp>
        <stp>.NDXP260227P25250</stp>
        <tr r="P152" s="2"/>
      </tp>
      <tp t="s">
        <v>N/A</v>
        <stp/>
        <stp>VOLUME</stp>
        <stp>.NDXP260501P24450</stp>
        <tr r="R184" s="2"/>
      </tp>
      <tp t="s">
        <v>N/A</v>
        <stp/>
        <stp>VOLUME</stp>
        <stp>.NDXP260501P25450</stp>
        <tr r="R144" s="2"/>
      </tp>
      <tp t="s">
        <v>N/A</v>
        <stp/>
        <stp>VOLUME</stp>
        <stp>.NDXP260626P24350</stp>
        <tr r="T188" s="2"/>
      </tp>
      <tp t="s">
        <v>N/A</v>
        <stp/>
        <stp>VOLUME</stp>
        <stp>.NDXP260626P25350</stp>
        <tr r="T148" s="2"/>
      </tp>
      <tp t="s">
        <v>N/A</v>
        <stp/>
        <stp>VOLUME</stp>
        <stp>.SPXW261030C6825</stp>
        <tr r="X89" s="2"/>
      </tp>
      <tp t="s">
        <v>N/A</v>
        <stp/>
        <stp>VOLUME</stp>
        <stp>.SPXW261030C6820</stp>
        <tr r="X90" s="2"/>
      </tp>
      <tp t="s">
        <v>N/A</v>
        <stp/>
        <stp>VOLUME</stp>
        <stp>.SPXW261030P6825</stp>
        <tr r="X89" s="2"/>
      </tp>
      <tp t="s">
        <v>N/A</v>
        <stp/>
        <stp>VOLUME</stp>
        <stp>.SPXW261030P6820</stp>
        <tr r="X90" s="2"/>
      </tp>
      <tp t="s">
        <v>N/A</v>
        <stp/>
        <stp>VOLUME</stp>
        <stp>.NDXP261030P25575</stp>
        <tr r="X139" s="2"/>
      </tp>
      <tp t="s">
        <v>N/A</v>
        <stp/>
        <stp>VOLUME</stp>
        <stp>.NDXP261030P24575</stp>
        <tr r="X179" s="2"/>
      </tp>
      <tp t="s">
        <v>N/A</v>
        <stp/>
        <stp>VOLUME</stp>
        <stp>.NDXP251112P25475</stp>
        <tr r="D143" s="2"/>
      </tp>
      <tp t="s">
        <v>N/A</v>
        <stp/>
        <stp>VOLUME</stp>
        <stp>.NDXP251113P25575</stp>
        <tr r="E139" s="2"/>
      </tp>
      <tp>
        <v>82</v>
        <stp/>
        <stp>VOLUME</stp>
        <stp>.NDXP251114P25275</stp>
        <tr r="S150" s="1"/>
        <tr r="S150" s="1"/>
      </tp>
      <tp t="s">
        <v>N/A</v>
        <stp/>
        <stp>VOLUME</stp>
        <stp>.NDXP251110P24675</stp>
        <tr r="B175" s="2"/>
        <tr r="Q174" s="1"/>
      </tp>
      <tp t="s">
        <v>N/A</v>
        <stp/>
        <stp>VOLUME</stp>
        <stp>.NDXP251111P24775</stp>
        <tr r="C171" s="2"/>
      </tp>
      <tp t="s">
        <v>N/A</v>
        <stp/>
        <stp>VOLUME</stp>
        <stp>.NDXP251112P24475</stp>
        <tr r="D183" s="2"/>
      </tp>
      <tp t="s">
        <v>N/A</v>
        <stp/>
        <stp>VOLUME</stp>
        <stp>.NDXP251113P24575</stp>
        <tr r="E179" s="2"/>
      </tp>
      <tp t="s">
        <v>N/A</v>
        <stp/>
        <stp>VOLUME</stp>
        <stp>.NDXP251205P24375</stp>
        <tr r="I187" s="2"/>
      </tp>
      <tp t="s">
        <v>N/A</v>
        <stp/>
        <stp>VOLUME</stp>
        <stp>.NDXP251212P25475</stp>
        <tr r="J143" s="2"/>
      </tp>
      <tp t="s">
        <v>N/A</v>
        <stp/>
        <stp>VOLUME</stp>
        <stp>.NDXP251205P25375</stp>
        <tr r="I147" s="2"/>
      </tp>
      <tp t="s">
        <v>N/A</v>
        <stp/>
        <stp>VOLUME</stp>
        <stp>.NDXP251212P24475</stp>
        <tr r="J183" s="2"/>
      </tp>
      <tp t="s">
        <v>N/A</v>
        <stp/>
        <stp>VOLUME</stp>
        <stp>.SPXW261030C6815</stp>
        <tr r="X91" s="2"/>
      </tp>
      <tp t="s">
        <v>N/A</v>
        <stp/>
        <stp>VOLUME</stp>
        <stp>.SPXW261030C6810</stp>
        <tr r="X92" s="2"/>
      </tp>
      <tp t="s">
        <v>N/A</v>
        <stp/>
        <stp>VOLUME</stp>
        <stp>.SPXW261030P6815</stp>
        <tr r="X91" s="2"/>
      </tp>
      <tp t="s">
        <v>N/A</v>
        <stp/>
        <stp>VOLUME</stp>
        <stp>.SPXW261030P6810</stp>
        <tr r="X92" s="2"/>
      </tp>
      <tp t="s">
        <v>N/A</v>
        <stp/>
        <stp>VOLUME</stp>
        <stp>.NDXP260501P24475</stp>
        <tr r="R183" s="2"/>
      </tp>
      <tp t="s">
        <v>N/A</v>
        <stp/>
        <stp>VOLUME</stp>
        <stp>.NDXP260501P25475</stp>
        <tr r="R143" s="2"/>
      </tp>
      <tp t="s">
        <v>N/A</v>
        <stp/>
        <stp>VOLUME</stp>
        <stp>.NDXP260626P24375</stp>
        <tr r="T187" s="2"/>
      </tp>
      <tp t="s">
        <v>N/A</v>
        <stp/>
        <stp>VOLUME</stp>
        <stp>.NDXP260626P25375</stp>
        <tr r="T147" s="2"/>
      </tp>
      <tp t="s">
        <v>N/A</v>
        <stp/>
        <stp>VOLUME</stp>
        <stp>.NDXP260206P24375</stp>
        <tr r="N187" s="2"/>
      </tp>
      <tp t="s">
        <v>N/A</v>
        <stp/>
        <stp>VOLUME</stp>
        <stp>.NDXP260206P25375</stp>
        <tr r="N147" s="2"/>
      </tp>
      <tp t="s">
        <v>N/A</v>
        <stp/>
        <stp>VOLUME</stp>
        <stp>.NDXP260227P25275</stp>
        <tr r="P151" s="2"/>
      </tp>
      <tp t="s">
        <v>N/A</v>
        <stp/>
        <stp>VOLUME</stp>
        <stp>.SPXW261030C6805</stp>
        <tr r="X93" s="2"/>
      </tp>
      <tp t="s">
        <v>N/A</v>
        <stp/>
        <stp>VOLUME</stp>
        <stp>.SPXW261030C6800</stp>
        <tr r="X94" s="2"/>
      </tp>
      <tp t="s">
        <v>N/A</v>
        <stp/>
        <stp>VOLUME</stp>
        <stp>.SPXW261030P6805</stp>
        <tr r="X93" s="2"/>
      </tp>
      <tp t="s">
        <v>N/A</v>
        <stp/>
        <stp>VOLUME</stp>
        <stp>.SPXW261030P6800</stp>
        <tr r="X94" s="2"/>
      </tp>
      <tp t="s">
        <v>N/A</v>
        <stp/>
        <stp>VOLUME</stp>
        <stp>.NDXP260206P24300</stp>
        <tr r="N190" s="2"/>
      </tp>
      <tp t="s">
        <v>N/A</v>
        <stp/>
        <stp>VOLUME</stp>
        <stp>.NDXP260206P25300</stp>
        <tr r="N150" s="2"/>
      </tp>
      <tp t="s">
        <v>N/A</v>
        <stp/>
        <stp>VOLUME</stp>
        <stp>.NDXP260227P25200</stp>
        <tr r="P154" s="2"/>
      </tp>
      <tp t="s">
        <v>N/A</v>
        <stp/>
        <stp>VOLUME</stp>
        <stp>.NDXP260501P24400</stp>
        <tr r="R186" s="2"/>
      </tp>
      <tp t="s">
        <v>N/A</v>
        <stp/>
        <stp>VOLUME</stp>
        <stp>.NDXP260501P25400</stp>
        <tr r="R146" s="2"/>
      </tp>
      <tp t="s">
        <v>N/A</v>
        <stp/>
        <stp>VOLUME</stp>
        <stp>.NDXP260626P24300</stp>
        <tr r="T190" s="2"/>
      </tp>
      <tp t="s">
        <v>N/A</v>
        <stp/>
        <stp>VOLUME</stp>
        <stp>.NDXP260626P25300</stp>
        <tr r="T150" s="2"/>
      </tp>
      <tp>
        <v>7</v>
        <stp/>
        <stp>VOLUME</stp>
        <stp>.NDXP251110P25600</stp>
        <tr r="B138" s="2"/>
        <tr r="B138" s="2"/>
        <tr r="Q137" s="1"/>
        <tr r="Q137" s="1"/>
      </tp>
      <tp t="s">
        <v>N/A</v>
        <stp/>
        <stp>VOLUME</stp>
        <stp>.NDXP251112P25400</stp>
        <tr r="D146" s="2"/>
      </tp>
      <tp>
        <v>5</v>
        <stp/>
        <stp>VOLUME</stp>
        <stp>.NDXP251113P25500</stp>
        <tr r="E142" s="2"/>
        <tr r="E142" s="2"/>
      </tp>
      <tp>
        <v>44</v>
        <stp/>
        <stp>VOLUME</stp>
        <stp>.NDXP251114P25200</stp>
        <tr r="S153" s="1"/>
        <tr r="S153" s="1"/>
      </tp>
      <tp>
        <v>262</v>
        <stp/>
        <stp>VOLUME</stp>
        <stp>.NDXP251110P24600</stp>
        <tr r="B178" s="2"/>
        <tr r="B178" s="2"/>
        <tr r="Q177" s="1"/>
        <tr r="Q177" s="1"/>
      </tp>
      <tp>
        <v>25</v>
        <stp/>
        <stp>VOLUME</stp>
        <stp>.NDXP251111P24700</stp>
        <tr r="C174" s="2"/>
        <tr r="C174" s="2"/>
      </tp>
      <tp>
        <v>18</v>
        <stp/>
        <stp>VOLUME</stp>
        <stp>.NDXP251112P24400</stp>
        <tr r="D186" s="2"/>
        <tr r="D186" s="2"/>
      </tp>
      <tp>
        <v>1</v>
        <stp/>
        <stp>VOLUME</stp>
        <stp>.NDXP251113P24500</stp>
        <tr r="E182" s="2"/>
        <tr r="E182" s="2"/>
      </tp>
      <tp t="s">
        <v>N/A</v>
        <stp/>
        <stp>VOLUME</stp>
        <stp>.NDXP261030P25500</stp>
        <tr r="X142" s="2"/>
      </tp>
      <tp t="s">
        <v>N/A</v>
        <stp/>
        <stp>VOLUME</stp>
        <stp>.NDXP261030P24500</stp>
        <tr r="X182" s="2"/>
      </tp>
      <tp>
        <v>1</v>
        <stp/>
        <stp>VOLUME</stp>
        <stp>.NDXP251205P24300</stp>
        <tr r="I190" s="2"/>
        <tr r="I190" s="2"/>
      </tp>
      <tp t="s">
        <v>N/A</v>
        <stp/>
        <stp>VOLUME</stp>
        <stp>.NDXP251212P25400</stp>
        <tr r="J146" s="2"/>
      </tp>
      <tp t="s">
        <v>N/A</v>
        <stp/>
        <stp>VOLUME</stp>
        <stp>.NDXP251205P25300</stp>
        <tr r="I150" s="2"/>
      </tp>
      <tp t="s">
        <v>N/A</v>
        <stp/>
        <stp>VOLUME</stp>
        <stp>.NDXP251212P24400</stp>
        <tr r="J186" s="2"/>
      </tp>
      <tp t="s">
        <v>N/A</v>
        <stp/>
        <stp>VOLUME</stp>
        <stp>.NDXP260501P24425</stp>
        <tr r="R185" s="2"/>
      </tp>
      <tp t="s">
        <v>N/A</v>
        <stp/>
        <stp>VOLUME</stp>
        <stp>.NDXP260501P25425</stp>
        <tr r="R145" s="2"/>
      </tp>
      <tp t="s">
        <v>N/A</v>
        <stp/>
        <stp>VOLUME</stp>
        <stp>.NDXP260626P24325</stp>
        <tr r="T189" s="2"/>
      </tp>
      <tp t="s">
        <v>N/A</v>
        <stp/>
        <stp>VOLUME</stp>
        <stp>.NDXP260626P25325</stp>
        <tr r="T149" s="2"/>
      </tp>
      <tp t="s">
        <v>N/A</v>
        <stp/>
        <stp>VOLUME</stp>
        <stp>.NDXP260206P24325</stp>
        <tr r="N189" s="2"/>
      </tp>
      <tp t="s">
        <v>N/A</v>
        <stp/>
        <stp>VOLUME</stp>
        <stp>.NDXP260206P25325</stp>
        <tr r="N149" s="2"/>
      </tp>
      <tp t="s">
        <v>N/A</v>
        <stp/>
        <stp>VOLUME</stp>
        <stp>.NDXP260227P25225</stp>
        <tr r="P153" s="2"/>
      </tp>
      <tp t="s">
        <v>N/A</v>
        <stp/>
        <stp>VOLUME</stp>
        <stp>.NDXP261030P25525</stp>
        <tr r="X141" s="2"/>
      </tp>
      <tp t="s">
        <v>N/A</v>
        <stp/>
        <stp>VOLUME</stp>
        <stp>.NDXP261030P24525</stp>
        <tr r="X181" s="2"/>
      </tp>
      <tp t="s">
        <v>N/A</v>
        <stp/>
        <stp>VOLUME</stp>
        <stp>.NDXP251112P25425</stp>
        <tr r="D145" s="2"/>
      </tp>
      <tp t="s">
        <v>N/A</v>
        <stp/>
        <stp>VOLUME</stp>
        <stp>.NDXP251113P25525</stp>
        <tr r="E141" s="2"/>
      </tp>
      <tp>
        <v>4</v>
        <stp/>
        <stp>VOLUME</stp>
        <stp>.NDXP251114P25225</stp>
        <tr r="S152" s="1"/>
        <tr r="S152" s="1"/>
      </tp>
      <tp t="s">
        <v>N/A</v>
        <stp/>
        <stp>VOLUME</stp>
        <stp>.NDXP251110P24625</stp>
        <tr r="B177" s="2"/>
        <tr r="Q176" s="1"/>
      </tp>
      <tp t="s">
        <v>N/A</v>
        <stp/>
        <stp>VOLUME</stp>
        <stp>.NDXP251111P24725</stp>
        <tr r="C173" s="2"/>
      </tp>
      <tp t="s">
        <v>N/A</v>
        <stp/>
        <stp>VOLUME</stp>
        <stp>.NDXP251112P24425</stp>
        <tr r="D185" s="2"/>
      </tp>
      <tp t="s">
        <v>N/A</v>
        <stp/>
        <stp>VOLUME</stp>
        <stp>.NDXP251113P24525</stp>
        <tr r="E181" s="2"/>
      </tp>
      <tp t="s">
        <v>N/A</v>
        <stp/>
        <stp>VOLUME</stp>
        <stp>.NDXP251205P24325</stp>
        <tr r="I189" s="2"/>
      </tp>
      <tp t="s">
        <v>N/A</v>
        <stp/>
        <stp>VOLUME</stp>
        <stp>.NDXP251212P25425</stp>
        <tr r="J145" s="2"/>
      </tp>
      <tp t="s">
        <v>N/A</v>
        <stp/>
        <stp>VOLUME</stp>
        <stp>.NDXP251205P25325</stp>
        <tr r="I149" s="2"/>
      </tp>
      <tp t="s">
        <v>N/A</v>
        <stp/>
        <stp>VOLUME</stp>
        <stp>.NDXP251212P24425</stp>
        <tr r="J185" s="2"/>
      </tp>
      <tp t="s">
        <v>N/A</v>
        <stp/>
        <stp>VOLUME</stp>
        <stp>.SPXW261030C6840</stp>
        <tr r="X86" s="2"/>
      </tp>
      <tp t="s">
        <v>N/A</v>
        <stp/>
        <stp>VOLUME</stp>
        <stp>.SPXW261030P6840</stp>
        <tr r="X86" s="2"/>
      </tp>
      <tp t="s">
        <v>N/A</v>
        <stp/>
        <stp>VOLUME</stp>
        <stp>.NDXP260501C24575</stp>
        <tr r="R179" s="2"/>
      </tp>
      <tp t="s">
        <v>N/A</v>
        <stp/>
        <stp>VOLUME</stp>
        <stp>.NDXP260501C25575</stp>
        <tr r="R139" s="2"/>
      </tp>
      <tp t="s">
        <v>N/A</v>
        <stp/>
        <stp>VOLUME</stp>
        <stp>.NDXP260626C25275</stp>
        <tr r="T151" s="2"/>
      </tp>
      <tp t="s">
        <v>N/A</v>
        <stp/>
        <stp>VOLUME</stp>
        <stp>.NDXP260206C25275</stp>
        <tr r="N151" s="2"/>
      </tp>
      <tp t="s">
        <v>N/A</v>
        <stp/>
        <stp>VOLUME</stp>
        <stp>.NDXP260227C24375</stp>
        <tr r="P187" s="2"/>
      </tp>
      <tp t="s">
        <v>N/A</v>
        <stp/>
        <stp>VOLUME</stp>
        <stp>.NDXP260227C25375</stp>
        <tr r="P147" s="2"/>
      </tp>
      <tp t="s">
        <v>N/A</v>
        <stp/>
        <stp>VOLUME</stp>
        <stp>.NDXP261030C25475</stp>
        <tr r="X143" s="2"/>
      </tp>
      <tp t="s">
        <v>N/A</v>
        <stp/>
        <stp>VOLUME</stp>
        <stp>.NDXP261030C24475</stp>
        <tr r="X183" s="2"/>
      </tp>
      <tp t="s">
        <v>N/A</v>
        <stp/>
        <stp>VOLUME</stp>
        <stp>.NDXP251112C25575</stp>
        <tr r="D139" s="2"/>
      </tp>
      <tp t="s">
        <v>N/A</v>
        <stp/>
        <stp>VOLUME</stp>
        <stp>.NDXP251113C25475</stp>
        <tr r="E143" s="2"/>
      </tp>
      <tp>
        <v>25</v>
        <stp/>
        <stp>VOLUME</stp>
        <stp>.NDXP251114C25375</stp>
        <tr r="R146" s="1"/>
        <tr r="R146" s="1"/>
      </tp>
      <tp t="s">
        <v>N/A</v>
        <stp/>
        <stp>VOLUME</stp>
        <stp>.NDXP251110C24775</stp>
        <tr r="B171" s="2"/>
        <tr r="P170" s="1"/>
      </tp>
      <tp t="s">
        <v>N/A</v>
        <stp/>
        <stp>VOLUME</stp>
        <stp>.NDXP251111C24675</stp>
        <tr r="C175" s="2"/>
      </tp>
      <tp t="s">
        <v>N/A</v>
        <stp/>
        <stp>VOLUME</stp>
        <stp>.NDXP251112C24575</stp>
        <tr r="D179" s="2"/>
      </tp>
      <tp t="s">
        <v>N/A</v>
        <stp/>
        <stp>VOLUME</stp>
        <stp>.NDXP251113C24475</stp>
        <tr r="E183" s="2"/>
      </tp>
      <tp t="s">
        <v>N/A</v>
        <stp/>
        <stp>VOLUME</stp>
        <stp>.NDXP251114C24375</stp>
        <tr r="R186" s="1"/>
      </tp>
      <tp t="s">
        <v>N/A</v>
        <stp/>
        <stp>VOLUME</stp>
        <stp>.NDXP251212C25575</stp>
        <tr r="J139" s="2"/>
      </tp>
      <tp t="s">
        <v>N/A</v>
        <stp/>
        <stp>VOLUME</stp>
        <stp>.NDXP251205C25275</stp>
        <tr r="I151" s="2"/>
      </tp>
      <tp t="s">
        <v>N/A</v>
        <stp/>
        <stp>VOLUME</stp>
        <stp>.NDXP251212C24575</stp>
        <tr r="J179" s="2"/>
      </tp>
      <tp t="s">
        <v>N/A</v>
        <stp/>
        <stp>VOLUME</stp>
        <stp>.NDXP260206C25250</stp>
        <tr r="N152" s="2"/>
      </tp>
      <tp t="s">
        <v>N/A</v>
        <stp/>
        <stp>VOLUME</stp>
        <stp>.NDXP260227C24350</stp>
        <tr r="P188" s="2"/>
      </tp>
      <tp t="s">
        <v>N/A</v>
        <stp/>
        <stp>VOLUME</stp>
        <stp>.NDXP260227C25350</stp>
        <tr r="P148" s="2"/>
      </tp>
      <tp t="s">
        <v>N/A</v>
        <stp/>
        <stp>VOLUME</stp>
        <stp>.NDXP260501C24550</stp>
        <tr r="R180" s="2"/>
      </tp>
      <tp t="s">
        <v>N/A</v>
        <stp/>
        <stp>VOLUME</stp>
        <stp>.NDXP260501C25550</stp>
        <tr r="R140" s="2"/>
      </tp>
      <tp t="s">
        <v>N/A</v>
        <stp/>
        <stp>VOLUME</stp>
        <stp>.NDXP260626C25250</stp>
        <tr r="T152" s="2"/>
      </tp>
      <tp>
        <v>2</v>
        <stp/>
        <stp>VOLUME</stp>
        <stp>.NDXP251112C25550</stp>
        <tr r="D140" s="2"/>
        <tr r="D140" s="2"/>
      </tp>
      <tp t="s">
        <v>N/A</v>
        <stp/>
        <stp>VOLUME</stp>
        <stp>.NDXP251113C25450</stp>
        <tr r="E144" s="2"/>
      </tp>
      <tp>
        <v>25</v>
        <stp/>
        <stp>VOLUME</stp>
        <stp>.NDXP251114C25350</stp>
        <tr r="R147" s="1"/>
        <tr r="R147" s="1"/>
      </tp>
      <tp>
        <v>61</v>
        <stp/>
        <stp>VOLUME</stp>
        <stp>.NDXP251110C24750</stp>
        <tr r="B172" s="2"/>
        <tr r="B172" s="2"/>
        <tr r="P171" s="1"/>
        <tr r="P171" s="1"/>
      </tp>
      <tp>
        <v>4</v>
        <stp/>
        <stp>VOLUME</stp>
        <stp>.NDXP251111C24650</stp>
        <tr r="C176" s="2"/>
        <tr r="C176" s="2"/>
      </tp>
      <tp t="s">
        <v>N/A</v>
        <stp/>
        <stp>VOLUME</stp>
        <stp>.NDXP251112C24550</stp>
        <tr r="D180" s="2"/>
      </tp>
      <tp t="s">
        <v>N/A</v>
        <stp/>
        <stp>VOLUME</stp>
        <stp>.NDXP251113C24450</stp>
        <tr r="E184" s="2"/>
      </tp>
      <tp t="s">
        <v>N/A</v>
        <stp/>
        <stp>VOLUME</stp>
        <stp>.NDXP251114C24350</stp>
        <tr r="R187" s="1"/>
      </tp>
      <tp t="s">
        <v>N/A</v>
        <stp/>
        <stp>VOLUME</stp>
        <stp>.NDXP261030C25450</stp>
        <tr r="X144" s="2"/>
      </tp>
      <tp t="s">
        <v>N/A</v>
        <stp/>
        <stp>VOLUME</stp>
        <stp>.NDXP261030C24450</stp>
        <tr r="X184" s="2"/>
      </tp>
      <tp t="s">
        <v>N/A</v>
        <stp/>
        <stp>VOLUME</stp>
        <stp>.NDXP251212C25550</stp>
        <tr r="J140" s="2"/>
      </tp>
      <tp>
        <v>1</v>
        <stp/>
        <stp>VOLUME</stp>
        <stp>.NDXP251205C25250</stp>
        <tr r="I152" s="2"/>
        <tr r="I152" s="2"/>
      </tp>
      <tp t="s">
        <v>N/A</v>
        <stp/>
        <stp>VOLUME</stp>
        <stp>.NDXP251212C24550</stp>
        <tr r="J180" s="2"/>
      </tp>
      <tp t="s">
        <v>N/A</v>
        <stp/>
        <stp>VOLUME</stp>
        <stp>.NDXP261030C25425</stp>
        <tr r="X145" s="2"/>
      </tp>
      <tp t="s">
        <v>N/A</v>
        <stp/>
        <stp>VOLUME</stp>
        <stp>.NDXP261030C24425</stp>
        <tr r="X185" s="2"/>
      </tp>
      <tp t="s">
        <v>N/A</v>
        <stp/>
        <stp>VOLUME</stp>
        <stp>.NDXP251112C25525</stp>
        <tr r="D141" s="2"/>
      </tp>
      <tp t="s">
        <v>N/A</v>
        <stp/>
        <stp>VOLUME</stp>
        <stp>.NDXP251113C25425</stp>
        <tr r="E145" s="2"/>
      </tp>
      <tp>
        <v>1</v>
        <stp/>
        <stp>VOLUME</stp>
        <stp>.NDXP251114C25325</stp>
        <tr r="R148" s="1"/>
        <tr r="R148" s="1"/>
      </tp>
      <tp t="s">
        <v>N/A</v>
        <stp/>
        <stp>VOLUME</stp>
        <stp>.NDXP251110C24725</stp>
        <tr r="B173" s="2"/>
        <tr r="P172" s="1"/>
      </tp>
      <tp t="s">
        <v>N/A</v>
        <stp/>
        <stp>VOLUME</stp>
        <stp>.NDXP251111C24625</stp>
        <tr r="C177" s="2"/>
      </tp>
      <tp t="s">
        <v>N/A</v>
        <stp/>
        <stp>VOLUME</stp>
        <stp>.NDXP251112C24525</stp>
        <tr r="D181" s="2"/>
      </tp>
      <tp t="s">
        <v>N/A</v>
        <stp/>
        <stp>VOLUME</stp>
        <stp>.NDXP251113C24425</stp>
        <tr r="E185" s="2"/>
      </tp>
      <tp t="s">
        <v>N/A</v>
        <stp/>
        <stp>VOLUME</stp>
        <stp>.NDXP251114C24325</stp>
        <tr r="R188" s="1"/>
      </tp>
      <tp t="s">
        <v>N/A</v>
        <stp/>
        <stp>VOLUME</stp>
        <stp>.NDXP251212C25525</stp>
        <tr r="J141" s="2"/>
      </tp>
      <tp t="s">
        <v>N/A</v>
        <stp/>
        <stp>VOLUME</stp>
        <stp>.NDXP251205C25225</stp>
        <tr r="I153" s="2"/>
      </tp>
      <tp t="s">
        <v>N/A</v>
        <stp/>
        <stp>VOLUME</stp>
        <stp>.NDXP251212C24525</stp>
        <tr r="J181" s="2"/>
      </tp>
      <tp t="s">
        <v>N/A</v>
        <stp/>
        <stp>VOLUME</stp>
        <stp>.NDXP260501C24525</stp>
        <tr r="R181" s="2"/>
      </tp>
      <tp t="s">
        <v>N/A</v>
        <stp/>
        <stp>VOLUME</stp>
        <stp>.NDXP260501C25525</stp>
        <tr r="R141" s="2"/>
      </tp>
      <tp t="s">
        <v>N/A</v>
        <stp/>
        <stp>VOLUME</stp>
        <stp>.NDXP260626C25225</stp>
        <tr r="T153" s="2"/>
      </tp>
      <tp t="s">
        <v>N/A</v>
        <stp/>
        <stp>VOLUME</stp>
        <stp>.NDXP260206C25225</stp>
        <tr r="N153" s="2"/>
      </tp>
      <tp t="s">
        <v>N/A</v>
        <stp/>
        <stp>VOLUME</stp>
        <stp>.NDXP260227C24325</stp>
        <tr r="P189" s="2"/>
      </tp>
      <tp t="s">
        <v>N/A</v>
        <stp/>
        <stp>VOLUME</stp>
        <stp>.NDXP260227C25325</stp>
        <tr r="P149" s="2"/>
      </tp>
      <tp>
        <v>64</v>
        <stp/>
        <stp>VOLUME</stp>
        <stp>.NDXP251111C25600</stp>
        <tr r="C138" s="2"/>
        <tr r="C138" s="2"/>
      </tp>
      <tp>
        <v>13</v>
        <stp/>
        <stp>VOLUME</stp>
        <stp>.NDXP251112C25500</stp>
        <tr r="D142" s="2"/>
        <tr r="D142" s="2"/>
      </tp>
      <tp>
        <v>4</v>
        <stp/>
        <stp>VOLUME</stp>
        <stp>.NDXP251113C25400</stp>
        <tr r="E146" s="2"/>
        <tr r="E146" s="2"/>
      </tp>
      <tp>
        <v>13</v>
        <stp/>
        <stp>VOLUME</stp>
        <stp>.NDXP251114C25300</stp>
        <tr r="R149" s="1"/>
        <tr r="R149" s="1"/>
      </tp>
      <tp>
        <v>88</v>
        <stp/>
        <stp>VOLUME</stp>
        <stp>.NDXP251110C24700</stp>
        <tr r="B174" s="2"/>
        <tr r="B174" s="2"/>
        <tr r="P173" s="1"/>
        <tr r="P173" s="1"/>
      </tp>
      <tp t="s">
        <v>N/A</v>
        <stp/>
        <stp>VOLUME</stp>
        <stp>.NDXP251111C24600</stp>
        <tr r="C178" s="2"/>
      </tp>
      <tp t="s">
        <v>N/A</v>
        <stp/>
        <stp>VOLUME</stp>
        <stp>.NDXP251112C24500</stp>
        <tr r="D182" s="2"/>
      </tp>
      <tp t="s">
        <v>N/A</v>
        <stp/>
        <stp>VOLUME</stp>
        <stp>.NDXP251113C24400</stp>
        <tr r="E186" s="2"/>
      </tp>
      <tp t="s">
        <v>N/A</v>
        <stp/>
        <stp>VOLUME</stp>
        <stp>.NDXP251114C24300</stp>
        <tr r="R189" s="1"/>
      </tp>
      <tp t="s">
        <v>N/A</v>
        <stp/>
        <stp>VOLUME</stp>
        <stp>.NDXP261030C25400</stp>
        <tr r="X146" s="2"/>
      </tp>
      <tp t="s">
        <v>N/A</v>
        <stp/>
        <stp>VOLUME</stp>
        <stp>.NDXP261030C24400</stp>
        <tr r="X186" s="2"/>
      </tp>
      <tp t="s">
        <v>N/A</v>
        <stp/>
        <stp>VOLUME</stp>
        <stp>.NDXP251212C25500</stp>
        <tr r="J142" s="2"/>
      </tp>
      <tp>
        <v>1</v>
        <stp/>
        <stp>VOLUME</stp>
        <stp>.NDXP251205C25200</stp>
        <tr r="I154" s="2"/>
        <tr r="I154" s="2"/>
      </tp>
      <tp t="s">
        <v>N/A</v>
        <stp/>
        <stp>VOLUME</stp>
        <stp>.NDXP251212C24500</stp>
        <tr r="J182" s="2"/>
      </tp>
      <tp t="s">
        <v>N/A</v>
        <stp/>
        <stp>VOLUME</stp>
        <stp>.NDXP260206C25200</stp>
        <tr r="N154" s="2"/>
      </tp>
      <tp t="s">
        <v>N/A</v>
        <stp/>
        <stp>VOLUME</stp>
        <stp>.NDXP260227C24300</stp>
        <tr r="P190" s="2"/>
      </tp>
      <tp t="s">
        <v>N/A</v>
        <stp/>
        <stp>VOLUME</stp>
        <stp>.NDXP260227C25300</stp>
        <tr r="P150" s="2"/>
      </tp>
      <tp t="s">
        <v>N/A</v>
        <stp/>
        <stp>VOLUME</stp>
        <stp>.NDXP260501C24500</stp>
        <tr r="R182" s="2"/>
      </tp>
      <tp t="s">
        <v>N/A</v>
        <stp/>
        <stp>VOLUME</stp>
        <stp>.NDXP260501C25500</stp>
        <tr r="R142" s="2"/>
      </tp>
      <tp t="s">
        <v>N/A</v>
        <stp/>
        <stp>VOLUME</stp>
        <stp>.NDXP260626C25200</stp>
        <tr r="T154" s="2"/>
      </tp>
      <tp>
        <v>56</v>
        <stp/>
        <stp>VOLUME</stp>
        <stp>.SPXW251128C6805</stp>
        <tr r="H93" s="2"/>
        <tr r="H93" s="2"/>
      </tp>
      <tp t="s">
        <v>N/A</v>
        <stp/>
        <stp>VOLUME</stp>
        <stp>.SPXW260828C6835</stp>
        <tr r="V87" s="2"/>
      </tp>
      <tp t="s">
        <v>N/A</v>
        <stp/>
        <stp>VOLUME</stp>
        <stp>.SPXW260828C6830</stp>
        <tr r="V88" s="2"/>
      </tp>
      <tp>
        <v>742</v>
        <stp/>
        <stp>VOLUME</stp>
        <stp>.SPXW251128C6800</stp>
        <tr r="H94" s="2"/>
        <tr r="H94" s="2"/>
      </tp>
      <tp t="s">
        <v>N/A</v>
        <stp/>
        <stp>VOLUME</stp>
        <stp>.SPXW260828P6835</stp>
        <tr r="V87" s="2"/>
      </tp>
      <tp>
        <v>3</v>
        <stp/>
        <stp>VOLUME</stp>
        <stp>.SPXW251128P6805</stp>
        <tr r="H93" s="2"/>
        <tr r="H93" s="2"/>
      </tp>
      <tp>
        <v>1570</v>
        <stp/>
        <stp>VOLUME</stp>
        <stp>.SPXW251128P6800</stp>
        <tr r="H94" s="2"/>
        <tr r="H94" s="2"/>
      </tp>
      <tp t="s">
        <v>N/A</v>
        <stp/>
        <stp>VOLUME</stp>
        <stp>.SPXW260828P6830</stp>
        <tr r="V88" s="2"/>
      </tp>
      <tp>
        <v>440</v>
        <stp/>
        <stp>VOLUME</stp>
        <stp>.SPXW251128C6815</stp>
        <tr r="H91" s="2"/>
        <tr r="H91" s="2"/>
      </tp>
      <tp t="s">
        <v>N/A</v>
        <stp/>
        <stp>VOLUME</stp>
        <stp>.SPXW260828C6825</stp>
        <tr r="V89" s="2"/>
      </tp>
      <tp t="s">
        <v>N/A</v>
        <stp/>
        <stp>VOLUME</stp>
        <stp>.SPXW260828C6820</stp>
        <tr r="V90" s="2"/>
      </tp>
      <tp>
        <v>167</v>
        <stp/>
        <stp>VOLUME</stp>
        <stp>.SPXW251128C6810</stp>
        <tr r="H92" s="2"/>
        <tr r="H92" s="2"/>
      </tp>
      <tp t="s">
        <v>N/A</v>
        <stp/>
        <stp>VOLUME</stp>
        <stp>.SPXW260828P6825</stp>
        <tr r="V89" s="2"/>
      </tp>
      <tp>
        <v>39</v>
        <stp/>
        <stp>VOLUME</stp>
        <stp>.SPXW251128P6815</stp>
        <tr r="H91" s="2"/>
        <tr r="H91" s="2"/>
      </tp>
      <tp>
        <v>8</v>
        <stp/>
        <stp>VOLUME</stp>
        <stp>.SPXW251128P6810</stp>
        <tr r="H92" s="2"/>
        <tr r="H92" s="2"/>
      </tp>
      <tp t="s">
        <v>N/A</v>
        <stp/>
        <stp>VOLUME</stp>
        <stp>.SPXW260828P6820</stp>
        <tr r="V90" s="2"/>
      </tp>
      <tp>
        <v>97</v>
        <stp/>
        <stp>VOLUME</stp>
        <stp>.SPXW251128C6825</stp>
        <tr r="H89" s="2"/>
        <tr r="H89" s="2"/>
      </tp>
      <tp t="s">
        <v>N/A</v>
        <stp/>
        <stp>VOLUME</stp>
        <stp>.SPXW260828C6815</stp>
        <tr r="V91" s="2"/>
      </tp>
      <tp t="s">
        <v>N/A</v>
        <stp/>
        <stp>VOLUME</stp>
        <stp>.SPXW260828C6810</stp>
        <tr r="V92" s="2"/>
      </tp>
      <tp>
        <v>193</v>
        <stp/>
        <stp>VOLUME</stp>
        <stp>.SPXW251128C6820</stp>
        <tr r="H90" s="2"/>
        <tr r="H90" s="2"/>
      </tp>
      <tp t="s">
        <v>N/A</v>
        <stp/>
        <stp>VOLUME</stp>
        <stp>.SPXW260828P6815</stp>
        <tr r="V91" s="2"/>
      </tp>
      <tp>
        <v>20</v>
        <stp/>
        <stp>VOLUME</stp>
        <stp>.SPXW251128P6825</stp>
        <tr r="H89" s="2"/>
        <tr r="H89" s="2"/>
      </tp>
      <tp>
        <v>19</v>
        <stp/>
        <stp>VOLUME</stp>
        <stp>.SPXW251128P6820</stp>
        <tr r="H90" s="2"/>
        <tr r="H90" s="2"/>
      </tp>
      <tp t="s">
        <v>N/A</v>
        <stp/>
        <stp>VOLUME</stp>
        <stp>.SPXW260828P6810</stp>
        <tr r="V92" s="2"/>
      </tp>
      <tp>
        <v>66</v>
        <stp/>
        <stp>VOLUME</stp>
        <stp>.SPXW251128C6835</stp>
        <tr r="H87" s="2"/>
        <tr r="H87" s="2"/>
      </tp>
      <tp t="s">
        <v>N/A</v>
        <stp/>
        <stp>VOLUME</stp>
        <stp>.SPXW260828C6805</stp>
        <tr r="V93" s="2"/>
      </tp>
      <tp t="s">
        <v>N/A</v>
        <stp/>
        <stp>VOLUME</stp>
        <stp>.SPXW260828C6800</stp>
        <tr r="V94" s="2"/>
      </tp>
      <tp>
        <v>168</v>
        <stp/>
        <stp>VOLUME</stp>
        <stp>.SPXW251128C6830</stp>
        <tr r="H88" s="2"/>
        <tr r="H88" s="2"/>
      </tp>
      <tp t="s">
        <v>N/A</v>
        <stp/>
        <stp>VOLUME</stp>
        <stp>.SPXW260828P6805</stp>
        <tr r="V93" s="2"/>
      </tp>
      <tp>
        <v>13</v>
        <stp/>
        <stp>VOLUME</stp>
        <stp>.SPXW251128P6835</stp>
        <tr r="H87" s="2"/>
        <tr r="H87" s="2"/>
      </tp>
      <tp t="s">
        <v>N/A</v>
        <stp/>
        <stp>VOLUME</stp>
        <stp>.SPXW251128P6830</stp>
        <tr r="H88" s="2"/>
      </tp>
      <tp t="s">
        <v>N/A</v>
        <stp/>
        <stp>VOLUME</stp>
        <stp>.SPXW260828P6800</stp>
        <tr r="V94" s="2"/>
      </tp>
      <tp>
        <v>49</v>
        <stp/>
        <stp>VOLUME</stp>
        <stp>.SPXW251128C6840</stp>
        <tr r="H86" s="2"/>
        <tr r="H86" s="2"/>
      </tp>
      <tp>
        <v>9</v>
        <stp/>
        <stp>VOLUME</stp>
        <stp>.SPXW251128P6840</stp>
        <tr r="H86" s="2"/>
        <tr r="H86" s="2"/>
      </tp>
      <tp t="s">
        <v>N/A</v>
        <stp/>
        <stp>VOLUME</stp>
        <stp>.SPXW260828C6840</stp>
        <tr r="V86" s="2"/>
      </tp>
      <tp t="s">
        <v>N/A</v>
        <stp/>
        <stp>VOLUME</stp>
        <stp>.SPXW260828P6840</stp>
        <tr r="V86" s="2"/>
      </tp>
      <tp t="s">
        <v>N/A</v>
        <stp/>
        <stp>VOLUME</stp>
        <stp>.NDXP251112P25550</stp>
        <tr r="D140" s="2"/>
      </tp>
      <tp t="s">
        <v>N/A</v>
        <stp/>
        <stp>VOLUME</stp>
        <stp>.NDXP251113P25450</stp>
        <tr r="E144" s="2"/>
      </tp>
      <tp>
        <v>1</v>
        <stp/>
        <stp>VOLUME</stp>
        <stp>.NDXP251114P25350</stp>
        <tr r="S147" s="1"/>
        <tr r="S147" s="1"/>
      </tp>
      <tp>
        <v>100</v>
        <stp/>
        <stp>VOLUME</stp>
        <stp>.NDXP251110P24750</stp>
        <tr r="B172" s="2"/>
        <tr r="B172" s="2"/>
        <tr r="Q171" s="1"/>
        <tr r="Q171" s="1"/>
      </tp>
      <tp>
        <v>5</v>
        <stp/>
        <stp>VOLUME</stp>
        <stp>.NDXP251111P24650</stp>
        <tr r="C176" s="2"/>
        <tr r="C176" s="2"/>
      </tp>
      <tp t="s">
        <v>N/A</v>
        <stp/>
        <stp>VOLUME</stp>
        <stp>.NDXP251112P24550</stp>
        <tr r="D180" s="2"/>
      </tp>
      <tp t="s">
        <v>N/A</v>
        <stp/>
        <stp>VOLUME</stp>
        <stp>.NDXP251113P24450</stp>
        <tr r="E184" s="2"/>
      </tp>
      <tp>
        <v>34</v>
        <stp/>
        <stp>VOLUME</stp>
        <stp>.NDXP251114P24350</stp>
        <tr r="S187" s="1"/>
        <tr r="S187" s="1"/>
      </tp>
      <tp t="s">
        <v>N/A</v>
        <stp/>
        <stp>VOLUME</stp>
        <stp>.NDXP261030P25450</stp>
        <tr r="X144" s="2"/>
      </tp>
      <tp t="s">
        <v>N/A</v>
        <stp/>
        <stp>VOLUME</stp>
        <stp>.NDXP261030P24450</stp>
        <tr r="X184" s="2"/>
      </tp>
      <tp t="s">
        <v>N/A</v>
        <stp/>
        <stp>VOLUME</stp>
        <stp>.NDXP251212P25550</stp>
        <tr r="J140" s="2"/>
      </tp>
      <tp t="s">
        <v>N/A</v>
        <stp/>
        <stp>VOLUME</stp>
        <stp>.NDXP251205P25250</stp>
        <tr r="I152" s="2"/>
      </tp>
      <tp t="s">
        <v>N/A</v>
        <stp/>
        <stp>VOLUME</stp>
        <stp>.NDXP251212P24550</stp>
        <tr r="J180" s="2"/>
      </tp>
      <tp t="s">
        <v>N/A</v>
        <stp/>
        <stp>VOLUME</stp>
        <stp>.SPXW260227C6840</stp>
        <tr r="P86" s="2"/>
      </tp>
      <tp t="s">
        <v>N/A</v>
        <stp/>
        <stp>VOLUME</stp>
        <stp>.SPXW260227P6840</stp>
        <tr r="P86" s="2"/>
      </tp>
      <tp t="s">
        <v>N/A</v>
        <stp/>
        <stp>VOLUME</stp>
        <stp>.NDXP260206P25250</stp>
        <tr r="N152" s="2"/>
      </tp>
      <tp t="s">
        <v>N/A</v>
        <stp/>
        <stp>VOLUME</stp>
        <stp>.NDXP260227P24350</stp>
        <tr r="P188" s="2"/>
      </tp>
      <tp t="s">
        <v>N/A</v>
        <stp/>
        <stp>VOLUME</stp>
        <stp>.NDXP260227P25350</stp>
        <tr r="P148" s="2"/>
      </tp>
      <tp t="s">
        <v>N/A</v>
        <stp/>
        <stp>VOLUME</stp>
        <stp>.NDXP260501P24550</stp>
        <tr r="R180" s="2"/>
      </tp>
      <tp t="s">
        <v>N/A</v>
        <stp/>
        <stp>VOLUME</stp>
        <stp>.NDXP260501P25550</stp>
        <tr r="R140" s="2"/>
      </tp>
      <tp t="s">
        <v>N/A</v>
        <stp/>
        <stp>VOLUME</stp>
        <stp>.NDXP260626P25250</stp>
        <tr r="T152" s="2"/>
      </tp>
      <tp t="s">
        <v>N/A</v>
        <stp/>
        <stp>VOLUME</stp>
        <stp>.SPXW260626C6840</stp>
        <tr r="T86" s="2"/>
      </tp>
      <tp t="s">
        <v>N/A</v>
        <stp/>
        <stp>VOLUME</stp>
        <stp>.SPXW260626P6840</stp>
        <tr r="T86" s="2"/>
      </tp>
      <tp t="s">
        <v>N/A</v>
        <stp/>
        <stp>VOLUME</stp>
        <stp>.NDXP261030P25475</stp>
        <tr r="X143" s="2"/>
      </tp>
      <tp t="s">
        <v>N/A</v>
        <stp/>
        <stp>VOLUME</stp>
        <stp>.NDXP261030P24475</stp>
        <tr r="X183" s="2"/>
      </tp>
      <tp t="s">
        <v>N/A</v>
        <stp/>
        <stp>VOLUME</stp>
        <stp>.NDXP251112P25575</stp>
        <tr r="D139" s="2"/>
      </tp>
      <tp t="s">
        <v>N/A</v>
        <stp/>
        <stp>VOLUME</stp>
        <stp>.NDXP251113P25475</stp>
        <tr r="E143" s="2"/>
      </tp>
      <tp t="s">
        <v>N/A</v>
        <stp/>
        <stp>VOLUME</stp>
        <stp>.NDXP251114P25375</stp>
        <tr r="S146" s="1"/>
      </tp>
      <tp t="s">
        <v>N/A</v>
        <stp/>
        <stp>VOLUME</stp>
        <stp>.NDXP251110P24775</stp>
        <tr r="B171" s="2"/>
        <tr r="Q170" s="1"/>
      </tp>
      <tp t="s">
        <v>N/A</v>
        <stp/>
        <stp>VOLUME</stp>
        <stp>.NDXP251111P24675</stp>
        <tr r="C175" s="2"/>
      </tp>
      <tp t="s">
        <v>N/A</v>
        <stp/>
        <stp>VOLUME</stp>
        <stp>.NDXP251112P24575</stp>
        <tr r="D179" s="2"/>
      </tp>
      <tp t="s">
        <v>N/A</v>
        <stp/>
        <stp>VOLUME</stp>
        <stp>.NDXP251113P24475</stp>
        <tr r="E183" s="2"/>
      </tp>
      <tp>
        <v>4</v>
        <stp/>
        <stp>VOLUME</stp>
        <stp>.NDXP251114P24375</stp>
        <tr r="S186" s="1"/>
        <tr r="S186" s="1"/>
      </tp>
      <tp t="s">
        <v>N/A</v>
        <stp/>
        <stp>VOLUME</stp>
        <stp>.NDXP251212P25575</stp>
        <tr r="J139" s="2"/>
      </tp>
      <tp t="s">
        <v>N/A</v>
        <stp/>
        <stp>VOLUME</stp>
        <stp>.NDXP251205P25275</stp>
        <tr r="I151" s="2"/>
      </tp>
      <tp t="s">
        <v>N/A</v>
        <stp/>
        <stp>VOLUME</stp>
        <stp>.NDXP251212P24575</stp>
        <tr r="J179" s="2"/>
      </tp>
      <tp t="s">
        <v>N/A</v>
        <stp/>
        <stp>VOLUME</stp>
        <stp>.NDXP260501P24575</stp>
        <tr r="R179" s="2"/>
      </tp>
      <tp t="s">
        <v>N/A</v>
        <stp/>
        <stp>VOLUME</stp>
        <stp>.NDXP260501P25575</stp>
        <tr r="R139" s="2"/>
      </tp>
      <tp t="s">
        <v>N/A</v>
        <stp/>
        <stp>VOLUME</stp>
        <stp>.NDXP260626P25275</stp>
        <tr r="T151" s="2"/>
      </tp>
      <tp t="s">
        <v>N/A</v>
        <stp/>
        <stp>VOLUME</stp>
        <stp>.NDXP260206P25275</stp>
        <tr r="N151" s="2"/>
      </tp>
      <tp t="s">
        <v>N/A</v>
        <stp/>
        <stp>VOLUME</stp>
        <stp>.NDXP260227P24375</stp>
        <tr r="P187" s="2"/>
      </tp>
      <tp t="s">
        <v>N/A</v>
        <stp/>
        <stp>VOLUME</stp>
        <stp>.NDXP260227P25375</stp>
        <tr r="P147" s="2"/>
      </tp>
      <tp t="s">
        <v>N/A</v>
        <stp/>
        <stp>VOLUME</stp>
        <stp>.NDXP260206P25200</stp>
        <tr r="N154" s="2"/>
      </tp>
      <tp t="s">
        <v>N/A</v>
        <stp/>
        <stp>VOLUME</stp>
        <stp>.NDXP260227P24300</stp>
        <tr r="P190" s="2"/>
      </tp>
      <tp t="s">
        <v>N/A</v>
        <stp/>
        <stp>VOLUME</stp>
        <stp>.NDXP260227P25300</stp>
        <tr r="P150" s="2"/>
      </tp>
      <tp t="s">
        <v>N/A</v>
        <stp/>
        <stp>VOLUME</stp>
        <stp>.NDXP260501P24500</stp>
        <tr r="R182" s="2"/>
      </tp>
      <tp t="s">
        <v>N/A</v>
        <stp/>
        <stp>VOLUME</stp>
        <stp>.NDXP260501P25500</stp>
        <tr r="R142" s="2"/>
      </tp>
      <tp t="s">
        <v>N/A</v>
        <stp/>
        <stp>VOLUME</stp>
        <stp>.NDXP260626P25200</stp>
        <tr r="T154" s="2"/>
      </tp>
      <tp t="s">
        <v>N/A</v>
        <stp/>
        <stp>VOLUME</stp>
        <stp>.SPXW260227C6805</stp>
        <tr r="P93" s="2"/>
      </tp>
      <tp t="s">
        <v>N/A</v>
        <stp/>
        <stp>VOLUME</stp>
        <stp>.SPXW260626C6815</stp>
        <tr r="T91" s="2"/>
      </tp>
      <tp>
        <v>7</v>
        <stp/>
        <stp>VOLUME</stp>
        <stp>.SPXW260227C6800</stp>
        <tr r="P94" s="2"/>
        <tr r="P94" s="2"/>
      </tp>
      <tp t="s">
        <v>N/A</v>
        <stp/>
        <stp>VOLUME</stp>
        <stp>.SPXW260626C6810</stp>
        <tr r="T92" s="2"/>
      </tp>
      <tp t="s">
        <v>N/A</v>
        <stp/>
        <stp>VOLUME</stp>
        <stp>.SPXW260227P6805</stp>
        <tr r="P93" s="2"/>
      </tp>
      <tp t="s">
        <v>N/A</v>
        <stp/>
        <stp>VOLUME</stp>
        <stp>.SPXW260626P6815</stp>
        <tr r="T91" s="2"/>
      </tp>
      <tp>
        <v>2</v>
        <stp/>
        <stp>VOLUME</stp>
        <stp>.SPXW260227P6800</stp>
        <tr r="P94" s="2"/>
        <tr r="P94" s="2"/>
      </tp>
      <tp t="s">
        <v>N/A</v>
        <stp/>
        <stp>VOLUME</stp>
        <stp>.SPXW260626P6810</stp>
        <tr r="T92" s="2"/>
      </tp>
      <tp>
        <v>4</v>
        <stp/>
        <stp>VOLUME</stp>
        <stp>.NDXP251111P25600</stp>
        <tr r="C138" s="2"/>
        <tr r="C138" s="2"/>
      </tp>
      <tp t="s">
        <v>N/A</v>
        <stp/>
        <stp>VOLUME</stp>
        <stp>.NDXP251112P25500</stp>
        <tr r="D142" s="2"/>
      </tp>
      <tp t="s">
        <v>N/A</v>
        <stp/>
        <stp>VOLUME</stp>
        <stp>.NDXP251113P25400</stp>
        <tr r="E146" s="2"/>
      </tp>
      <tp>
        <v>80</v>
        <stp/>
        <stp>VOLUME</stp>
        <stp>.NDXP251114P25300</stp>
        <tr r="S149" s="1"/>
        <tr r="S149" s="1"/>
      </tp>
      <tp>
        <v>98</v>
        <stp/>
        <stp>VOLUME</stp>
        <stp>.NDXP251110P24700</stp>
        <tr r="B174" s="2"/>
        <tr r="B174" s="2"/>
        <tr r="Q173" s="1"/>
        <tr r="Q173" s="1"/>
      </tp>
      <tp>
        <v>17</v>
        <stp/>
        <stp>VOLUME</stp>
        <stp>.NDXP251111P24600</stp>
        <tr r="C178" s="2"/>
        <tr r="C178" s="2"/>
      </tp>
      <tp>
        <v>6</v>
        <stp/>
        <stp>VOLUME</stp>
        <stp>.NDXP251112P24500</stp>
        <tr r="D182" s="2"/>
        <tr r="D182" s="2"/>
      </tp>
      <tp>
        <v>3</v>
        <stp/>
        <stp>VOLUME</stp>
        <stp>.NDXP251113P24400</stp>
        <tr r="E186" s="2"/>
        <tr r="E186" s="2"/>
      </tp>
      <tp>
        <v>4</v>
        <stp/>
        <stp>VOLUME</stp>
        <stp>.NDXP251114P24300</stp>
        <tr r="S189" s="1"/>
        <tr r="S189" s="1"/>
      </tp>
      <tp t="s">
        <v>N/A</v>
        <stp/>
        <stp>VOLUME</stp>
        <stp>.NDXP261030P25400</stp>
        <tr r="X146" s="2"/>
      </tp>
      <tp t="s">
        <v>N/A</v>
        <stp/>
        <stp>VOLUME</stp>
        <stp>.NDXP261030P24400</stp>
        <tr r="X186" s="2"/>
      </tp>
      <tp t="s">
        <v>N/A</v>
        <stp/>
        <stp>VOLUME</stp>
        <stp>.NDXP251212P25500</stp>
        <tr r="J142" s="2"/>
      </tp>
      <tp t="s">
        <v>N/A</v>
        <stp/>
        <stp>VOLUME</stp>
        <stp>.NDXP251205P25200</stp>
        <tr r="I154" s="2"/>
      </tp>
      <tp>
        <v>1</v>
        <stp/>
        <stp>VOLUME</stp>
        <stp>.NDXP251212P24500</stp>
        <tr r="J182" s="2"/>
        <tr r="J182" s="2"/>
      </tp>
      <tp t="s">
        <v>N/A</v>
        <stp/>
        <stp>VOLUME</stp>
        <stp>.SPXW260227C6815</stp>
        <tr r="P91" s="2"/>
      </tp>
      <tp t="s">
        <v>N/A</v>
        <stp/>
        <stp>VOLUME</stp>
        <stp>.SPXW260626C6805</stp>
        <tr r="T93" s="2"/>
      </tp>
      <tp t="s">
        <v>N/A</v>
        <stp/>
        <stp>VOLUME</stp>
        <stp>.SPXW260227C6810</stp>
        <tr r="P92" s="2"/>
      </tp>
      <tp t="s">
        <v>N/A</v>
        <stp/>
        <stp>VOLUME</stp>
        <stp>.SPXW260626C6800</stp>
        <tr r="T94" s="2"/>
      </tp>
      <tp t="s">
        <v>N/A</v>
        <stp/>
        <stp>VOLUME</stp>
        <stp>.SPXW260227P6815</stp>
        <tr r="P91" s="2"/>
      </tp>
      <tp t="s">
        <v>N/A</v>
        <stp/>
        <stp>VOLUME</stp>
        <stp>.SPXW260626P6805</stp>
        <tr r="T93" s="2"/>
      </tp>
      <tp>
        <v>2</v>
        <stp/>
        <stp>VOLUME</stp>
        <stp>.SPXW260227P6810</stp>
        <tr r="P92" s="2"/>
        <tr r="P92" s="2"/>
      </tp>
      <tp t="s">
        <v>N/A</v>
        <stp/>
        <stp>VOLUME</stp>
        <stp>.SPXW260626P6800</stp>
        <tr r="T94" s="2"/>
      </tp>
      <tp t="s">
        <v>N/A</v>
        <stp/>
        <stp>VOLUME</stp>
        <stp>.NDXP260501P24525</stp>
        <tr r="R181" s="2"/>
      </tp>
      <tp t="s">
        <v>N/A</v>
        <stp/>
        <stp>VOLUME</stp>
        <stp>.NDXP260501P25525</stp>
        <tr r="R141" s="2"/>
      </tp>
      <tp t="s">
        <v>N/A</v>
        <stp/>
        <stp>VOLUME</stp>
        <stp>.NDXP260626P25225</stp>
        <tr r="T153" s="2"/>
      </tp>
      <tp t="s">
        <v>N/A</v>
        <stp/>
        <stp>VOLUME</stp>
        <stp>.NDXP260206P25225</stp>
        <tr r="N153" s="2"/>
      </tp>
      <tp t="s">
        <v>N/A</v>
        <stp/>
        <stp>VOLUME</stp>
        <stp>.NDXP260227P24325</stp>
        <tr r="P189" s="2"/>
      </tp>
      <tp t="s">
        <v>N/A</v>
        <stp/>
        <stp>VOLUME</stp>
        <stp>.NDXP260227P25325</stp>
        <tr r="P149" s="2"/>
      </tp>
      <tp>
        <v>1</v>
        <stp/>
        <stp>VOLUME</stp>
        <stp>.SPXW260227C6825</stp>
        <tr r="P89" s="2"/>
        <tr r="P89" s="2"/>
      </tp>
      <tp t="s">
        <v>N/A</v>
        <stp/>
        <stp>VOLUME</stp>
        <stp>.SPXW260626C6835</stp>
        <tr r="T87" s="2"/>
      </tp>
      <tp>
        <v>1</v>
        <stp/>
        <stp>VOLUME</stp>
        <stp>.SPXW260227C6820</stp>
        <tr r="P90" s="2"/>
        <tr r="P90" s="2"/>
      </tp>
      <tp t="s">
        <v>N/A</v>
        <stp/>
        <stp>VOLUME</stp>
        <stp>.SPXW260626C6830</stp>
        <tr r="T88" s="2"/>
      </tp>
      <tp>
        <v>11</v>
        <stp/>
        <stp>VOLUME</stp>
        <stp>.SPXW260227P6825</stp>
        <tr r="P89" s="2"/>
        <tr r="P89" s="2"/>
      </tp>
      <tp t="s">
        <v>N/A</v>
        <stp/>
        <stp>VOLUME</stp>
        <stp>.SPXW260626P6835</stp>
        <tr r="T87" s="2"/>
      </tp>
      <tp t="s">
        <v>N/A</v>
        <stp/>
        <stp>VOLUME</stp>
        <stp>.SPXW260227P6820</stp>
        <tr r="P90" s="2"/>
      </tp>
      <tp t="s">
        <v>N/A</v>
        <stp/>
        <stp>VOLUME</stp>
        <stp>.SPXW260626P6830</stp>
        <tr r="T88" s="2"/>
      </tp>
      <tp t="s">
        <v>N/A</v>
        <stp/>
        <stp>VOLUME</stp>
        <stp>.NDXP261030P25425</stp>
        <tr r="X145" s="2"/>
      </tp>
      <tp t="s">
        <v>N/A</v>
        <stp/>
        <stp>VOLUME</stp>
        <stp>.NDXP261030P24425</stp>
        <tr r="X185" s="2"/>
      </tp>
      <tp t="s">
        <v>N/A</v>
        <stp/>
        <stp>VOLUME</stp>
        <stp>.NDXP251112P25525</stp>
        <tr r="D141" s="2"/>
      </tp>
      <tp t="s">
        <v>N/A</v>
        <stp/>
        <stp>VOLUME</stp>
        <stp>.NDXP251113P25425</stp>
        <tr r="E145" s="2"/>
      </tp>
      <tp t="s">
        <v>N/A</v>
        <stp/>
        <stp>VOLUME</stp>
        <stp>.NDXP251114P25325</stp>
        <tr r="S148" s="1"/>
      </tp>
      <tp t="s">
        <v>N/A</v>
        <stp/>
        <stp>VOLUME</stp>
        <stp>.NDXP251110P24725</stp>
        <tr r="B173" s="2"/>
        <tr r="Q172" s="1"/>
      </tp>
      <tp t="s">
        <v>N/A</v>
        <stp/>
        <stp>VOLUME</stp>
        <stp>.NDXP251111P24625</stp>
        <tr r="C177" s="2"/>
      </tp>
      <tp t="s">
        <v>N/A</v>
        <stp/>
        <stp>VOLUME</stp>
        <stp>.NDXP251112P24525</stp>
        <tr r="D181" s="2"/>
      </tp>
      <tp t="s">
        <v>N/A</v>
        <stp/>
        <stp>VOLUME</stp>
        <stp>.NDXP251113P24425</stp>
        <tr r="E185" s="2"/>
      </tp>
      <tp>
        <v>4</v>
        <stp/>
        <stp>VOLUME</stp>
        <stp>.NDXP251114P24325</stp>
        <tr r="S188" s="1"/>
        <tr r="S188" s="1"/>
      </tp>
      <tp t="s">
        <v>N/A</v>
        <stp/>
        <stp>VOLUME</stp>
        <stp>.NDXP251212P25525</stp>
        <tr r="J141" s="2"/>
      </tp>
      <tp>
        <v>1</v>
        <stp/>
        <stp>VOLUME</stp>
        <stp>.NDXP251205P25225</stp>
        <tr r="I153" s="2"/>
        <tr r="I153" s="2"/>
      </tp>
      <tp t="s">
        <v>N/A</v>
        <stp/>
        <stp>VOLUME</stp>
        <stp>.NDXP251212P24525</stp>
        <tr r="J181" s="2"/>
      </tp>
      <tp t="s">
        <v>N/A</v>
        <stp/>
        <stp>VOLUME</stp>
        <stp>.SPXW260227C6835</stp>
        <tr r="P87" s="2"/>
      </tp>
      <tp t="s">
        <v>N/A</v>
        <stp/>
        <stp>VOLUME</stp>
        <stp>.SPXW260626C6825</stp>
        <tr r="T89" s="2"/>
      </tp>
      <tp t="s">
        <v>N/A</v>
        <stp/>
        <stp>VOLUME</stp>
        <stp>.SPXW260227C6830</stp>
        <tr r="P88" s="2"/>
      </tp>
      <tp t="s">
        <v>N/A</v>
        <stp/>
        <stp>VOLUME</stp>
        <stp>.SPXW260626C6820</stp>
        <tr r="T90" s="2"/>
      </tp>
      <tp t="s">
        <v>N/A</v>
        <stp/>
        <stp>VOLUME</stp>
        <stp>.SPXW260227P6835</stp>
        <tr r="P87" s="2"/>
      </tp>
      <tp t="s">
        <v>N/A</v>
        <stp/>
        <stp>VOLUME</stp>
        <stp>.SPXW260626P6825</stp>
        <tr r="T89" s="2"/>
      </tp>
      <tp t="s">
        <v>N/A</v>
        <stp/>
        <stp>VOLUME</stp>
        <stp>.SPXW260227P6830</stp>
        <tr r="P88" s="2"/>
      </tp>
      <tp t="s">
        <v>N/A</v>
        <stp/>
        <stp>VOLUME</stp>
        <stp>.SPXW260626P6820</stp>
        <tr r="T90" s="2"/>
      </tp>
      <tp>
        <v>3</v>
        <stp/>
        <stp>OPEN_INT</stp>
        <stp>.NDXP251110C24900</stp>
        <tr r="H165" s="1"/>
        <tr r="H165" s="1"/>
      </tp>
      <tp t="s">
        <v>N/A</v>
        <stp/>
        <stp>OPEN_INT</stp>
        <stp>.NDXP251110C24925</stp>
        <tr r="H164" s="1"/>
      </tp>
      <tp>
        <v>0</v>
        <stp/>
        <stp>OPEN_INT</stp>
        <stp>.NDXP251110C24950</stp>
        <tr r="H163" s="1"/>
        <tr r="H163" s="1"/>
      </tp>
      <tp t="s">
        <v>N/A</v>
        <stp/>
        <stp>OPEN_INT</stp>
        <stp>.NDXP251110C24975</stp>
        <tr r="H162" s="1"/>
      </tp>
      <tp t="s">
        <v>N/A</v>
        <stp/>
        <stp>OPEN_INT</stp>
        <stp>.NDXP251110P24925</stp>
        <tr r="I164" s="1"/>
      </tp>
      <tp>
        <v>46</v>
        <stp/>
        <stp>OPEN_INT</stp>
        <stp>.NDXP251110P24900</stp>
        <tr r="I165" s="1"/>
        <tr r="I165" s="1"/>
      </tp>
      <tp t="s">
        <v>N/A</v>
        <stp/>
        <stp>OPEN_INT</stp>
        <stp>.NDXP251110P24975</stp>
        <tr r="I162" s="1"/>
      </tp>
      <tp>
        <v>7</v>
        <stp/>
        <stp>OPEN_INT</stp>
        <stp>.NDXP251110P24950</stp>
        <tr r="I163" s="1"/>
        <tr r="I163" s="1"/>
      </tp>
      <tp t="s">
        <v>N/A</v>
        <stp/>
        <stp>VOLUME</stp>
        <stp>.NDXP260501C25275</stp>
        <tr r="R151" s="2"/>
      </tp>
      <tp t="s">
        <v>N/A</v>
        <stp/>
        <stp>VOLUME</stp>
        <stp>.NDXP260626C24575</stp>
        <tr r="T179" s="2"/>
      </tp>
      <tp t="s">
        <v>N/A</v>
        <stp/>
        <stp>VOLUME</stp>
        <stp>.NDXP260626C25575</stp>
        <tr r="T139" s="2"/>
      </tp>
      <tp t="s">
        <v>N/A</v>
        <stp/>
        <stp>VOLUME</stp>
        <stp>.NDXP260206C24575</stp>
        <tr r="N179" s="2"/>
      </tp>
      <tp t="s">
        <v>N/A</v>
        <stp/>
        <stp>VOLUME</stp>
        <stp>.NDXP260206C25575</stp>
        <tr r="N139" s="2"/>
      </tp>
      <tp t="s">
        <v>N/A</v>
        <stp/>
        <stp>VOLUME</stp>
        <stp>.NDXP260227C24475</stp>
        <tr r="P183" s="2"/>
      </tp>
      <tp t="s">
        <v>N/A</v>
        <stp/>
        <stp>VOLUME</stp>
        <stp>.NDXP260227C25475</stp>
        <tr r="P143" s="2"/>
      </tp>
      <tp t="s">
        <v>N/A</v>
        <stp/>
        <stp>VOLUME</stp>
        <stp>.NDXP261030C25375</stp>
        <tr r="X147" s="2"/>
      </tp>
      <tp t="s">
        <v>N/A</v>
        <stp/>
        <stp>VOLUME</stp>
        <stp>.NDXP261030C24375</stp>
        <tr r="X187" s="2"/>
      </tp>
      <tp t="s">
        <v>N/A</v>
        <stp/>
        <stp>VOLUME</stp>
        <stp>.NDXP251110C25075</stp>
        <tr r="B159" s="2"/>
        <tr r="P158" s="1"/>
      </tp>
      <tp t="s">
        <v>N/A</v>
        <stp/>
        <stp>VOLUME</stp>
        <stp>.NDXP251111C25175</stp>
        <tr r="C155" s="2"/>
      </tp>
      <tp t="s">
        <v>N/A</v>
        <stp/>
        <stp>VOLUME</stp>
        <stp>.NDXP251112C25275</stp>
        <tr r="D151" s="2"/>
      </tp>
      <tp t="s">
        <v>N/A</v>
        <stp/>
        <stp>VOLUME</stp>
        <stp>.NDXP251113C25375</stp>
        <tr r="E147" s="2"/>
      </tp>
      <tp>
        <v>13</v>
        <stp/>
        <stp>VOLUME</stp>
        <stp>.NDXP251114C25475</stp>
        <tr r="R142" s="1"/>
        <tr r="R142" s="1"/>
      </tp>
      <tp t="s">
        <v>N/A</v>
        <stp/>
        <stp>VOLUME</stp>
        <stp>.NDXP251113C24375</stp>
        <tr r="E187" s="2"/>
      </tp>
      <tp t="s">
        <v>N/A</v>
        <stp/>
        <stp>VOLUME</stp>
        <stp>.NDXP251114C24475</stp>
        <tr r="R182" s="1"/>
      </tp>
      <tp t="s">
        <v>N/A</v>
        <stp/>
        <stp>VOLUME</stp>
        <stp>.NDXP251205C24575</stp>
        <tr r="I179" s="2"/>
      </tp>
      <tp t="s">
        <v>N/A</v>
        <stp/>
        <stp>VOLUME</stp>
        <stp>.NDXP251212C25275</stp>
        <tr r="J151" s="2"/>
      </tp>
      <tp t="s">
        <v>N/A</v>
        <stp/>
        <stp>VOLUME</stp>
        <stp>.NDXP251205C25575</stp>
        <tr r="I139" s="2"/>
      </tp>
      <tp t="s">
        <v>N/A</v>
        <stp/>
        <stp>VOLUME</stp>
        <stp>.NDXP260206C24550</stp>
        <tr r="N180" s="2"/>
      </tp>
      <tp t="s">
        <v>N/A</v>
        <stp/>
        <stp>VOLUME</stp>
        <stp>.NDXP260206C25550</stp>
        <tr r="N140" s="2"/>
      </tp>
      <tp t="s">
        <v>N/A</v>
        <stp/>
        <stp>VOLUME</stp>
        <stp>.NDXP260227C24450</stp>
        <tr r="P184" s="2"/>
      </tp>
      <tp t="s">
        <v>N/A</v>
        <stp/>
        <stp>VOLUME</stp>
        <stp>.NDXP260227C25450</stp>
        <tr r="P144" s="2"/>
      </tp>
      <tp t="s">
        <v>N/A</v>
        <stp/>
        <stp>VOLUME</stp>
        <stp>.NDXP260501C25250</stp>
        <tr r="R152" s="2"/>
      </tp>
      <tp t="s">
        <v>N/A</v>
        <stp/>
        <stp>VOLUME</stp>
        <stp>.NDXP260626C24550</stp>
        <tr r="T180" s="2"/>
      </tp>
      <tp t="s">
        <v>N/A</v>
        <stp/>
        <stp>VOLUME</stp>
        <stp>.NDXP260626C25550</stp>
        <tr r="T140" s="2"/>
      </tp>
      <tp>
        <v>86</v>
        <stp/>
        <stp>VOLUME</stp>
        <stp>.NDXP251110C25050</stp>
        <tr r="B160" s="2"/>
        <tr r="B160" s="2"/>
        <tr r="P159" s="1"/>
        <tr r="P159" s="1"/>
      </tp>
      <tp>
        <v>12</v>
        <stp/>
        <stp>VOLUME</stp>
        <stp>.NDXP251111C25150</stp>
        <tr r="C156" s="2"/>
        <tr r="C156" s="2"/>
      </tp>
      <tp t="s">
        <v>N/A</v>
        <stp/>
        <stp>VOLUME</stp>
        <stp>.NDXP251112C25250</stp>
        <tr r="D152" s="2"/>
      </tp>
      <tp t="s">
        <v>N/A</v>
        <stp/>
        <stp>VOLUME</stp>
        <stp>.NDXP251113C25350</stp>
        <tr r="E148" s="2"/>
      </tp>
      <tp>
        <v>19</v>
        <stp/>
        <stp>VOLUME</stp>
        <stp>.NDXP251114C25450</stp>
        <tr r="R143" s="1"/>
        <tr r="R143" s="1"/>
      </tp>
      <tp t="s">
        <v>N/A</v>
        <stp/>
        <stp>VOLUME</stp>
        <stp>.NDXP251113C24350</stp>
        <tr r="E188" s="2"/>
      </tp>
      <tp t="s">
        <v>N/A</v>
        <stp/>
        <stp>VOLUME</stp>
        <stp>.NDXP251114C24450</stp>
        <tr r="R183" s="1"/>
      </tp>
      <tp t="s">
        <v>N/A</v>
        <stp/>
        <stp>VOLUME</stp>
        <stp>.NDXP261030C25350</stp>
        <tr r="X148" s="2"/>
      </tp>
      <tp t="s">
        <v>N/A</v>
        <stp/>
        <stp>VOLUME</stp>
        <stp>.NDXP261030C24350</stp>
        <tr r="X188" s="2"/>
      </tp>
      <tp t="s">
        <v>N/A</v>
        <stp/>
        <stp>VOLUME</stp>
        <stp>.NDXP251205C24550</stp>
        <tr r="I180" s="2"/>
      </tp>
      <tp t="s">
        <v>N/A</v>
        <stp/>
        <stp>VOLUME</stp>
        <stp>.NDXP251212C25250</stp>
        <tr r="J152" s="2"/>
      </tp>
      <tp t="s">
        <v>N/A</v>
        <stp/>
        <stp>VOLUME</stp>
        <stp>.NDXP251205C25550</stp>
        <tr r="I140" s="2"/>
      </tp>
      <tp t="s">
        <v>N/A</v>
        <stp/>
        <stp>VOLUME</stp>
        <stp>.NDXP261030C25325</stp>
        <tr r="X149" s="2"/>
      </tp>
      <tp t="s">
        <v>N/A</v>
        <stp/>
        <stp>VOLUME</stp>
        <stp>.NDXP261030C24325</stp>
        <tr r="X189" s="2"/>
      </tp>
      <tp t="s">
        <v>N/A</v>
        <stp/>
        <stp>VOLUME</stp>
        <stp>.NDXP251110C25025</stp>
        <tr r="B161" s="2"/>
        <tr r="P160" s="1"/>
      </tp>
      <tp t="s">
        <v>N/A</v>
        <stp/>
        <stp>VOLUME</stp>
        <stp>.NDXP251111C25125</stp>
        <tr r="C157" s="2"/>
      </tp>
      <tp t="s">
        <v>N/A</v>
        <stp/>
        <stp>VOLUME</stp>
        <stp>.NDXP251112C25225</stp>
        <tr r="D153" s="2"/>
      </tp>
      <tp t="s">
        <v>N/A</v>
        <stp/>
        <stp>VOLUME</stp>
        <stp>.NDXP251113C25325</stp>
        <tr r="E149" s="2"/>
      </tp>
      <tp>
        <v>4</v>
        <stp/>
        <stp>VOLUME</stp>
        <stp>.NDXP251114C25425</stp>
        <tr r="R144" s="1"/>
        <tr r="R144" s="1"/>
      </tp>
      <tp t="s">
        <v>N/A</v>
        <stp/>
        <stp>VOLUME</stp>
        <stp>.NDXP251113C24325</stp>
        <tr r="E189" s="2"/>
      </tp>
      <tp t="s">
        <v>N/A</v>
        <stp/>
        <stp>VOLUME</stp>
        <stp>.NDXP251114C24425</stp>
        <tr r="R184" s="1"/>
      </tp>
      <tp t="s">
        <v>N/A</v>
        <stp/>
        <stp>VOLUME</stp>
        <stp>.NDXP251205C24525</stp>
        <tr r="I181" s="2"/>
      </tp>
      <tp t="s">
        <v>N/A</v>
        <stp/>
        <stp>VOLUME</stp>
        <stp>.NDXP251212C25225</stp>
        <tr r="J153" s="2"/>
      </tp>
      <tp t="s">
        <v>N/A</v>
        <stp/>
        <stp>VOLUME</stp>
        <stp>.NDXP251205C25525</stp>
        <tr r="I141" s="2"/>
      </tp>
      <tp t="s">
        <v>N/A</v>
        <stp/>
        <stp>VOLUME</stp>
        <stp>.NDXP260501C25225</stp>
        <tr r="R153" s="2"/>
      </tp>
      <tp t="s">
        <v>N/A</v>
        <stp/>
        <stp>VOLUME</stp>
        <stp>.NDXP260626C24525</stp>
        <tr r="T181" s="2"/>
      </tp>
      <tp t="s">
        <v>N/A</v>
        <stp/>
        <stp>VOLUME</stp>
        <stp>.NDXP260626C25525</stp>
        <tr r="T141" s="2"/>
      </tp>
      <tp t="s">
        <v>N/A</v>
        <stp/>
        <stp>VOLUME</stp>
        <stp>.NDXP260206C24525</stp>
        <tr r="N181" s="2"/>
      </tp>
      <tp t="s">
        <v>N/A</v>
        <stp/>
        <stp>VOLUME</stp>
        <stp>.NDXP260206C25525</stp>
        <tr r="N141" s="2"/>
      </tp>
      <tp t="s">
        <v>N/A</v>
        <stp/>
        <stp>VOLUME</stp>
        <stp>.NDXP260227C24425</stp>
        <tr r="P185" s="2"/>
      </tp>
      <tp t="s">
        <v>N/A</v>
        <stp/>
        <stp>VOLUME</stp>
        <stp>.NDXP260227C25425</stp>
        <tr r="P145" s="2"/>
      </tp>
      <tp>
        <v>232</v>
        <stp/>
        <stp>VOLUME</stp>
        <stp>.NDXP251110C25000</stp>
        <tr r="B162" s="2"/>
        <tr r="B162" s="2"/>
        <tr r="P161" s="1"/>
        <tr r="P161" s="1"/>
      </tp>
      <tp>
        <v>43</v>
        <stp/>
        <stp>VOLUME</stp>
        <stp>.NDXP251111C25100</stp>
        <tr r="C158" s="2"/>
        <tr r="C158" s="2"/>
      </tp>
      <tp>
        <v>10</v>
        <stp/>
        <stp>VOLUME</stp>
        <stp>.NDXP251112C25200</stp>
        <tr r="D154" s="2"/>
        <tr r="D154" s="2"/>
      </tp>
      <tp>
        <v>13</v>
        <stp/>
        <stp>VOLUME</stp>
        <stp>.NDXP251113C25300</stp>
        <tr r="E150" s="2"/>
        <tr r="E150" s="2"/>
      </tp>
      <tp>
        <v>11</v>
        <stp/>
        <stp>VOLUME</stp>
        <stp>.NDXP251114C25400</stp>
        <tr r="R145" s="1"/>
        <tr r="R145" s="1"/>
      </tp>
      <tp t="s">
        <v>N/A</v>
        <stp/>
        <stp>VOLUME</stp>
        <stp>.NDXP251113C24300</stp>
        <tr r="E190" s="2"/>
      </tp>
      <tp t="s">
        <v>N/A</v>
        <stp/>
        <stp>VOLUME</stp>
        <stp>.NDXP251114C24400</stp>
        <tr r="R185" s="1"/>
      </tp>
      <tp t="s">
        <v>N/A</v>
        <stp/>
        <stp>VOLUME</stp>
        <stp>.NDXP261030C25300</stp>
        <tr r="X150" s="2"/>
      </tp>
      <tp t="s">
        <v>N/A</v>
        <stp/>
        <stp>VOLUME</stp>
        <stp>.NDXP261030C24300</stp>
        <tr r="X190" s="2"/>
      </tp>
      <tp t="s">
        <v>N/A</v>
        <stp/>
        <stp>VOLUME</stp>
        <stp>.NDXP251205C24500</stp>
        <tr r="I182" s="2"/>
      </tp>
      <tp t="s">
        <v>N/A</v>
        <stp/>
        <stp>VOLUME</stp>
        <stp>.NDXP251212C25200</stp>
        <tr r="J154" s="2"/>
      </tp>
      <tp>
        <v>31</v>
        <stp/>
        <stp>VOLUME</stp>
        <stp>.NDXP251205C25500</stp>
        <tr r="I142" s="2"/>
        <tr r="I142" s="2"/>
      </tp>
      <tp t="s">
        <v>N/A</v>
        <stp/>
        <stp>VOLUME</stp>
        <stp>.NDXP260206C24500</stp>
        <tr r="N182" s="2"/>
      </tp>
      <tp t="s">
        <v>N/A</v>
        <stp/>
        <stp>VOLUME</stp>
        <stp>.NDXP260206C25500</stp>
        <tr r="N142" s="2"/>
      </tp>
      <tp t="s">
        <v>N/A</v>
        <stp/>
        <stp>VOLUME</stp>
        <stp>.NDXP260227C24400</stp>
        <tr r="P186" s="2"/>
      </tp>
      <tp t="s">
        <v>N/A</v>
        <stp/>
        <stp>VOLUME</stp>
        <stp>.NDXP260227C25400</stp>
        <tr r="P146" s="2"/>
      </tp>
      <tp t="s">
        <v>N/A</v>
        <stp/>
        <stp>VOLUME</stp>
        <stp>.NDXP260501C25200</stp>
        <tr r="R154" s="2"/>
      </tp>
      <tp t="s">
        <v>N/A</v>
        <stp/>
        <stp>VOLUME</stp>
        <stp>.NDXP260626C24500</stp>
        <tr r="T182" s="2"/>
      </tp>
      <tp t="s">
        <v>N/A</v>
        <stp/>
        <stp>VOLUME</stp>
        <stp>.NDXP260626C25500</stp>
        <tr r="T142" s="2"/>
      </tp>
      <tp>
        <v>15</v>
        <stp/>
        <stp>VOLUME</stp>
        <stp>.NDXP251110P25050</stp>
        <tr r="B160" s="2"/>
        <tr r="B160" s="2"/>
        <tr r="Q159" s="1"/>
        <tr r="Q159" s="1"/>
      </tp>
      <tp>
        <v>11</v>
        <stp/>
        <stp>VOLUME</stp>
        <stp>.NDXP251111P25150</stp>
        <tr r="C156" s="2"/>
        <tr r="C156" s="2"/>
      </tp>
      <tp t="s">
        <v>N/A</v>
        <stp/>
        <stp>VOLUME</stp>
        <stp>.NDXP251112P25250</stp>
        <tr r="D152" s="2"/>
      </tp>
      <tp t="s">
        <v>N/A</v>
        <stp/>
        <stp>VOLUME</stp>
        <stp>.NDXP251113P25350</stp>
        <tr r="E148" s="2"/>
      </tp>
      <tp>
        <v>5</v>
        <stp/>
        <stp>VOLUME</stp>
        <stp>.NDXP251114P25450</stp>
        <tr r="S143" s="1"/>
        <tr r="S143" s="1"/>
      </tp>
      <tp>
        <v>33</v>
        <stp/>
        <stp>VOLUME</stp>
        <stp>.NDXP251113P24350</stp>
        <tr r="E188" s="2"/>
        <tr r="E188" s="2"/>
      </tp>
      <tp>
        <v>218</v>
        <stp/>
        <stp>VOLUME</stp>
        <stp>.NDXP251114P24450</stp>
        <tr r="S183" s="1"/>
        <tr r="S183" s="1"/>
      </tp>
      <tp t="s">
        <v>N/A</v>
        <stp/>
        <stp>VOLUME</stp>
        <stp>.NDXP261030P25350</stp>
        <tr r="X148" s="2"/>
      </tp>
      <tp t="s">
        <v>N/A</v>
        <stp/>
        <stp>VOLUME</stp>
        <stp>.NDXP261030P24350</stp>
        <tr r="X188" s="2"/>
      </tp>
      <tp t="s">
        <v>N/A</v>
        <stp/>
        <stp>VOLUME</stp>
        <stp>.NDXP251205P24550</stp>
        <tr r="I180" s="2"/>
      </tp>
      <tp t="s">
        <v>N/A</v>
        <stp/>
        <stp>VOLUME</stp>
        <stp>.NDXP251212P25250</stp>
        <tr r="J152" s="2"/>
      </tp>
      <tp t="s">
        <v>N/A</v>
        <stp/>
        <stp>VOLUME</stp>
        <stp>.NDXP251205P25550</stp>
        <tr r="I140" s="2"/>
      </tp>
      <tp t="s">
        <v>N/A</v>
        <stp/>
        <stp>VOLUME</stp>
        <stp>.NDXP260206P24550</stp>
        <tr r="N180" s="2"/>
      </tp>
      <tp t="s">
        <v>N/A</v>
        <stp/>
        <stp>VOLUME</stp>
        <stp>.NDXP260206P25550</stp>
        <tr r="N140" s="2"/>
      </tp>
      <tp t="s">
        <v>N/A</v>
        <stp/>
        <stp>VOLUME</stp>
        <stp>.NDXP260227P24450</stp>
        <tr r="P184" s="2"/>
      </tp>
      <tp t="s">
        <v>N/A</v>
        <stp/>
        <stp>VOLUME</stp>
        <stp>.NDXP260227P25450</stp>
        <tr r="P144" s="2"/>
      </tp>
      <tp t="s">
        <v>N/A</v>
        <stp/>
        <stp>VOLUME</stp>
        <stp>.NDXP260501P25250</stp>
        <tr r="R152" s="2"/>
      </tp>
      <tp t="s">
        <v>N/A</v>
        <stp/>
        <stp>VOLUME</stp>
        <stp>.NDXP260626P24550</stp>
        <tr r="T180" s="2"/>
      </tp>
      <tp t="s">
        <v>N/A</v>
        <stp/>
        <stp>VOLUME</stp>
        <stp>.NDXP260626P25550</stp>
        <tr r="T140" s="2"/>
      </tp>
      <tp t="s">
        <v>N/A</v>
        <stp/>
        <stp>VOLUME</stp>
        <stp>.NDXP261030P25375</stp>
        <tr r="X147" s="2"/>
      </tp>
      <tp t="s">
        <v>N/A</v>
        <stp/>
        <stp>VOLUME</stp>
        <stp>.NDXP261030P24375</stp>
        <tr r="X187" s="2"/>
      </tp>
      <tp t="s">
        <v>N/A</v>
        <stp/>
        <stp>VOLUME</stp>
        <stp>.NDXP251110P25075</stp>
        <tr r="B159" s="2"/>
        <tr r="Q158" s="1"/>
      </tp>
      <tp t="s">
        <v>N/A</v>
        <stp/>
        <stp>VOLUME</stp>
        <stp>.NDXP251111P25175</stp>
        <tr r="C155" s="2"/>
      </tp>
      <tp t="s">
        <v>N/A</v>
        <stp/>
        <stp>VOLUME</stp>
        <stp>.NDXP251112P25275</stp>
        <tr r="D151" s="2"/>
      </tp>
      <tp t="s">
        <v>N/A</v>
        <stp/>
        <stp>VOLUME</stp>
        <stp>.NDXP251113P25375</stp>
        <tr r="E147" s="2"/>
      </tp>
      <tp>
        <v>42</v>
        <stp/>
        <stp>VOLUME</stp>
        <stp>.NDXP251114P25475</stp>
        <tr r="S142" s="1"/>
        <tr r="S142" s="1"/>
      </tp>
      <tp t="s">
        <v>N/A</v>
        <stp/>
        <stp>VOLUME</stp>
        <stp>.NDXP251113P24375</stp>
        <tr r="E187" s="2"/>
      </tp>
      <tp>
        <v>5</v>
        <stp/>
        <stp>VOLUME</stp>
        <stp>.NDXP251114P24475</stp>
        <tr r="S182" s="1"/>
        <tr r="S182" s="1"/>
      </tp>
      <tp t="s">
        <v>N/A</v>
        <stp/>
        <stp>VOLUME</stp>
        <stp>.NDXP251205P24575</stp>
        <tr r="I179" s="2"/>
      </tp>
      <tp t="s">
        <v>N/A</v>
        <stp/>
        <stp>VOLUME</stp>
        <stp>.NDXP251212P25275</stp>
        <tr r="J151" s="2"/>
      </tp>
      <tp t="s">
        <v>N/A</v>
        <stp/>
        <stp>VOLUME</stp>
        <stp>.NDXP251205P25575</stp>
        <tr r="I139" s="2"/>
      </tp>
      <tp t="s">
        <v>N/A</v>
        <stp/>
        <stp>VOLUME</stp>
        <stp>.NDXP260501P25275</stp>
        <tr r="R151" s="2"/>
      </tp>
      <tp t="s">
        <v>N/A</v>
        <stp/>
        <stp>VOLUME</stp>
        <stp>.NDXP260626P24575</stp>
        <tr r="T179" s="2"/>
      </tp>
      <tp t="s">
        <v>N/A</v>
        <stp/>
        <stp>VOLUME</stp>
        <stp>.NDXP260626P25575</stp>
        <tr r="T139" s="2"/>
      </tp>
      <tp t="s">
        <v>N/A</v>
        <stp/>
        <stp>VOLUME</stp>
        <stp>.NDXP260206P24575</stp>
        <tr r="N179" s="2"/>
      </tp>
      <tp t="s">
        <v>N/A</v>
        <stp/>
        <stp>VOLUME</stp>
        <stp>.NDXP260206P25575</stp>
        <tr r="N139" s="2"/>
      </tp>
      <tp t="s">
        <v>N/A</v>
        <stp/>
        <stp>VOLUME</stp>
        <stp>.NDXP260227P24475</stp>
        <tr r="P183" s="2"/>
      </tp>
      <tp t="s">
        <v>N/A</v>
        <stp/>
        <stp>VOLUME</stp>
        <stp>.NDXP260227P25475</stp>
        <tr r="P143" s="2"/>
      </tp>
      <tp t="s">
        <v>N/A</v>
        <stp/>
        <stp>VOLUME</stp>
        <stp>.NDXP260206P24500</stp>
        <tr r="N182" s="2"/>
      </tp>
      <tp t="s">
        <v>N/A</v>
        <stp/>
        <stp>VOLUME</stp>
        <stp>.NDXP260206P25500</stp>
        <tr r="N142" s="2"/>
      </tp>
      <tp t="s">
        <v>N/A</v>
        <stp/>
        <stp>VOLUME</stp>
        <stp>.NDXP260227P24400</stp>
        <tr r="P186" s="2"/>
      </tp>
      <tp t="s">
        <v>N/A</v>
        <stp/>
        <stp>VOLUME</stp>
        <stp>.NDXP260227P25400</stp>
        <tr r="P146" s="2"/>
      </tp>
      <tp t="s">
        <v>N/A</v>
        <stp/>
        <stp>VOLUME</stp>
        <stp>.NDXP260501P25200</stp>
        <tr r="R154" s="2"/>
      </tp>
      <tp t="s">
        <v>N/A</v>
        <stp/>
        <stp>VOLUME</stp>
        <stp>.NDXP260626P24500</stp>
        <tr r="T182" s="2"/>
      </tp>
      <tp t="s">
        <v>N/A</v>
        <stp/>
        <stp>VOLUME</stp>
        <stp>.NDXP260626P25500</stp>
        <tr r="T142" s="2"/>
      </tp>
      <tp>
        <v>380</v>
        <stp/>
        <stp>VOLUME</stp>
        <stp>.NDXP251110P25000</stp>
        <tr r="B162" s="2"/>
        <tr r="B162" s="2"/>
        <tr r="Q161" s="1"/>
        <tr r="Q161" s="1"/>
      </tp>
      <tp>
        <v>4</v>
        <stp/>
        <stp>VOLUME</stp>
        <stp>.NDXP251111P25100</stp>
        <tr r="C158" s="2"/>
        <tr r="C158" s="2"/>
      </tp>
      <tp t="s">
        <v>N/A</v>
        <stp/>
        <stp>VOLUME</stp>
        <stp>.NDXP251112P25200</stp>
        <tr r="D154" s="2"/>
      </tp>
      <tp t="s">
        <v>N/A</v>
        <stp/>
        <stp>VOLUME</stp>
        <stp>.NDXP251113P25300</stp>
        <tr r="E150" s="2"/>
      </tp>
      <tp>
        <v>9</v>
        <stp/>
        <stp>VOLUME</stp>
        <stp>.NDXP251114P25400</stp>
        <tr r="S145" s="1"/>
        <tr r="S145" s="1"/>
      </tp>
      <tp>
        <v>10</v>
        <stp/>
        <stp>VOLUME</stp>
        <stp>.NDXP251113P24300</stp>
        <tr r="E190" s="2"/>
        <tr r="E190" s="2"/>
      </tp>
      <tp>
        <v>42</v>
        <stp/>
        <stp>VOLUME</stp>
        <stp>.NDXP251114P24400</stp>
        <tr r="S185" s="1"/>
        <tr r="S185" s="1"/>
      </tp>
      <tp t="s">
        <v>N/A</v>
        <stp/>
        <stp>VOLUME</stp>
        <stp>.NDXP261030P25300</stp>
        <tr r="X150" s="2"/>
      </tp>
      <tp t="s">
        <v>N/A</v>
        <stp/>
        <stp>VOLUME</stp>
        <stp>.NDXP261030P24300</stp>
        <tr r="X190" s="2"/>
      </tp>
      <tp t="s">
        <v>N/A</v>
        <stp/>
        <stp>VOLUME</stp>
        <stp>.NDXP251205P24500</stp>
        <tr r="I182" s="2"/>
      </tp>
      <tp t="s">
        <v>N/A</v>
        <stp/>
        <stp>VOLUME</stp>
        <stp>.NDXP251212P25200</stp>
        <tr r="J154" s="2"/>
      </tp>
      <tp>
        <v>3</v>
        <stp/>
        <stp>VOLUME</stp>
        <stp>.NDXP251205P25500</stp>
        <tr r="I142" s="2"/>
        <tr r="I142" s="2"/>
      </tp>
      <tp t="s">
        <v>N/A</v>
        <stp/>
        <stp>VOLUME</stp>
        <stp>.NDXP260501P25225</stp>
        <tr r="R153" s="2"/>
      </tp>
      <tp t="s">
        <v>N/A</v>
        <stp/>
        <stp>VOLUME</stp>
        <stp>.NDXP260626P24525</stp>
        <tr r="T181" s="2"/>
      </tp>
      <tp t="s">
        <v>N/A</v>
        <stp/>
        <stp>VOLUME</stp>
        <stp>.NDXP260626P25525</stp>
        <tr r="T141" s="2"/>
      </tp>
      <tp t="s">
        <v>N/A</v>
        <stp/>
        <stp>VOLUME</stp>
        <stp>.NDXP260206P24525</stp>
        <tr r="N181" s="2"/>
      </tp>
      <tp t="s">
        <v>N/A</v>
        <stp/>
        <stp>VOLUME</stp>
        <stp>.NDXP260206P25525</stp>
        <tr r="N141" s="2"/>
      </tp>
      <tp t="s">
        <v>N/A</v>
        <stp/>
        <stp>VOLUME</stp>
        <stp>.NDXP260227P24425</stp>
        <tr r="P185" s="2"/>
      </tp>
      <tp t="s">
        <v>N/A</v>
        <stp/>
        <stp>VOLUME</stp>
        <stp>.NDXP260227P25425</stp>
        <tr r="P145" s="2"/>
      </tp>
      <tp t="s">
        <v>N/A</v>
        <stp/>
        <stp>VOLUME</stp>
        <stp>.NDXP261030P25325</stp>
        <tr r="X149" s="2"/>
      </tp>
      <tp t="s">
        <v>N/A</v>
        <stp/>
        <stp>VOLUME</stp>
        <stp>.NDXP261030P24325</stp>
        <tr r="X189" s="2"/>
      </tp>
      <tp t="s">
        <v>N/A</v>
        <stp/>
        <stp>VOLUME</stp>
        <stp>.NDXP251110P25025</stp>
        <tr r="B161" s="2"/>
        <tr r="Q160" s="1"/>
      </tp>
      <tp t="s">
        <v>N/A</v>
        <stp/>
        <stp>VOLUME</stp>
        <stp>.NDXP251111P25125</stp>
        <tr r="C157" s="2"/>
      </tp>
      <tp t="s">
        <v>N/A</v>
        <stp/>
        <stp>VOLUME</stp>
        <stp>.NDXP251112P25225</stp>
        <tr r="D153" s="2"/>
      </tp>
      <tp t="s">
        <v>N/A</v>
        <stp/>
        <stp>VOLUME</stp>
        <stp>.NDXP251113P25325</stp>
        <tr r="E149" s="2"/>
      </tp>
      <tp>
        <v>9</v>
        <stp/>
        <stp>VOLUME</stp>
        <stp>.NDXP251114P25425</stp>
        <tr r="S144" s="1"/>
        <tr r="S144" s="1"/>
      </tp>
      <tp t="s">
        <v>N/A</v>
        <stp/>
        <stp>VOLUME</stp>
        <stp>.NDXP251113P24325</stp>
        <tr r="E189" s="2"/>
      </tp>
      <tp>
        <v>10</v>
        <stp/>
        <stp>VOLUME</stp>
        <stp>.NDXP251114P24425</stp>
        <tr r="S184" s="1"/>
        <tr r="S184" s="1"/>
      </tp>
      <tp>
        <v>1</v>
        <stp/>
        <stp>VOLUME</stp>
        <stp>.NDXP251205P24525</stp>
        <tr r="I181" s="2"/>
        <tr r="I181" s="2"/>
      </tp>
      <tp t="s">
        <v>N/A</v>
        <stp/>
        <stp>VOLUME</stp>
        <stp>.NDXP251212P25225</stp>
        <tr r="J153" s="2"/>
      </tp>
      <tp t="s">
        <v>N/A</v>
        <stp/>
        <stp>VOLUME</stp>
        <stp>.NDXP251205P25525</stp>
        <tr r="I141" s="2"/>
      </tp>
      <tp>
        <v>5</v>
        <stp/>
        <stp>OPEN_INT</stp>
        <stp>.NDXP251110C24800</stp>
        <tr r="H169" s="1"/>
        <tr r="H169" s="1"/>
      </tp>
      <tp t="s">
        <v>N/A</v>
        <stp/>
        <stp>OPEN_INT</stp>
        <stp>.NDXP251110C24825</stp>
        <tr r="H168" s="1"/>
      </tp>
      <tp>
        <v>0</v>
        <stp/>
        <stp>OPEN_INT</stp>
        <stp>.NDXP251110C24850</stp>
        <tr r="H167" s="1"/>
        <tr r="H167" s="1"/>
      </tp>
      <tp t="s">
        <v>N/A</v>
        <stp/>
        <stp>OPEN_INT</stp>
        <stp>.NDXP251110C24875</stp>
        <tr r="H166" s="1"/>
      </tp>
      <tp t="s">
        <v>N/A</v>
        <stp/>
        <stp>OPEN_INT</stp>
        <stp>.NDXP251110P24825</stp>
        <tr r="I168" s="1"/>
      </tp>
      <tp>
        <v>31</v>
        <stp/>
        <stp>OPEN_INT</stp>
        <stp>.NDXP251110P24800</stp>
        <tr r="I169" s="1"/>
        <tr r="I169" s="1"/>
      </tp>
      <tp t="s">
        <v>N/A</v>
        <stp/>
        <stp>OPEN_INT</stp>
        <stp>.NDXP251110P24875</stp>
        <tr r="I166" s="1"/>
      </tp>
      <tp>
        <v>30</v>
        <stp/>
        <stp>OPEN_INT</stp>
        <stp>.NDXP251110P24850</stp>
        <tr r="I167" s="1"/>
        <tr r="I167" s="1"/>
      </tp>
      <tp t="s">
        <v>N/A</v>
        <stp/>
        <stp>VOLUME</stp>
        <stp>.NDXP260501C24375</stp>
        <tr r="R187" s="2"/>
      </tp>
      <tp t="s">
        <v>N/A</v>
        <stp/>
        <stp>VOLUME</stp>
        <stp>.NDXP260501C25375</stp>
        <tr r="R147" s="2"/>
      </tp>
      <tp t="s">
        <v>N/A</v>
        <stp/>
        <stp>VOLUME</stp>
        <stp>.NDXP260626C24475</stp>
        <tr r="T183" s="2"/>
      </tp>
      <tp t="s">
        <v>N/A</v>
        <stp/>
        <stp>VOLUME</stp>
        <stp>.NDXP260626C25475</stp>
        <tr r="T143" s="2"/>
      </tp>
      <tp t="s">
        <v>N/A</v>
        <stp/>
        <stp>VOLUME</stp>
        <stp>.NDXP260206C24475</stp>
        <tr r="N183" s="2"/>
      </tp>
      <tp t="s">
        <v>N/A</v>
        <stp/>
        <stp>VOLUME</stp>
        <stp>.NDXP260206C25475</stp>
        <tr r="N143" s="2"/>
      </tp>
      <tp t="s">
        <v>N/A</v>
        <stp/>
        <stp>VOLUME</stp>
        <stp>.NDXP260227C24575</stp>
        <tr r="P179" s="2"/>
      </tp>
      <tp t="s">
        <v>N/A</v>
        <stp/>
        <stp>VOLUME</stp>
        <stp>.NDXP260227C25575</stp>
        <tr r="P139" s="2"/>
      </tp>
      <tp t="s">
        <v>N/A</v>
        <stp/>
        <stp>VOLUME</stp>
        <stp>.NDXP261030C25275</stp>
        <tr r="X151" s="2"/>
      </tp>
      <tp t="s">
        <v>N/A</v>
        <stp/>
        <stp>VOLUME</stp>
        <stp>.NDXP251110C25175</stp>
        <tr r="B155" s="2"/>
        <tr r="P154" s="1"/>
      </tp>
      <tp t="s">
        <v>N/A</v>
        <stp/>
        <stp>VOLUME</stp>
        <stp>.NDXP251111C25075</stp>
        <tr r="C159" s="2"/>
      </tp>
      <tp t="s">
        <v>N/A</v>
        <stp/>
        <stp>VOLUME</stp>
        <stp>.NDXP251112C25375</stp>
        <tr r="D147" s="2"/>
      </tp>
      <tp t="s">
        <v>N/A</v>
        <stp/>
        <stp>VOLUME</stp>
        <stp>.NDXP251113C25275</stp>
        <tr r="E151" s="2"/>
      </tp>
      <tp>
        <v>12</v>
        <stp/>
        <stp>VOLUME</stp>
        <stp>.NDXP251114C25575</stp>
        <tr r="R138" s="1"/>
        <tr r="R138" s="1"/>
      </tp>
      <tp t="s">
        <v>N/A</v>
        <stp/>
        <stp>VOLUME</stp>
        <stp>.NDXP251112C24375</stp>
        <tr r="D187" s="2"/>
      </tp>
      <tp t="s">
        <v>N/A</v>
        <stp/>
        <stp>VOLUME</stp>
        <stp>.NDXP251114C24575</stp>
        <tr r="R178" s="1"/>
      </tp>
      <tp t="s">
        <v>N/A</v>
        <stp/>
        <stp>VOLUME</stp>
        <stp>.NDXP251205C24475</stp>
        <tr r="I183" s="2"/>
      </tp>
      <tp t="s">
        <v>N/A</v>
        <stp/>
        <stp>VOLUME</stp>
        <stp>.NDXP251212C25375</stp>
        <tr r="J147" s="2"/>
      </tp>
      <tp>
        <v>1</v>
        <stp/>
        <stp>VOLUME</stp>
        <stp>.NDXP251205C25475</stp>
        <tr r="I143" s="2"/>
        <tr r="I143" s="2"/>
      </tp>
      <tp t="s">
        <v>N/A</v>
        <stp/>
        <stp>VOLUME</stp>
        <stp>.NDXP251212C24375</stp>
        <tr r="J187" s="2"/>
      </tp>
      <tp t="s">
        <v>N/A</v>
        <stp/>
        <stp>VOLUME</stp>
        <stp>.NDXP260206C24450</stp>
        <tr r="N184" s="2"/>
      </tp>
      <tp t="s">
        <v>N/A</v>
        <stp/>
        <stp>VOLUME</stp>
        <stp>.NDXP260206C25450</stp>
        <tr r="N144" s="2"/>
      </tp>
      <tp t="s">
        <v>N/A</v>
        <stp/>
        <stp>VOLUME</stp>
        <stp>.NDXP260227C24550</stp>
        <tr r="P180" s="2"/>
      </tp>
      <tp t="s">
        <v>N/A</v>
        <stp/>
        <stp>VOLUME</stp>
        <stp>.NDXP260227C25550</stp>
        <tr r="P140" s="2"/>
      </tp>
      <tp t="s">
        <v>N/A</v>
        <stp/>
        <stp>VOLUME</stp>
        <stp>.NDXP260501C24350</stp>
        <tr r="R188" s="2"/>
      </tp>
      <tp t="s">
        <v>N/A</v>
        <stp/>
        <stp>VOLUME</stp>
        <stp>.NDXP260501C25350</stp>
        <tr r="R148" s="2"/>
      </tp>
      <tp t="s">
        <v>N/A</v>
        <stp/>
        <stp>VOLUME</stp>
        <stp>.NDXP260626C24450</stp>
        <tr r="T184" s="2"/>
      </tp>
      <tp t="s">
        <v>N/A</v>
        <stp/>
        <stp>VOLUME</stp>
        <stp>.NDXP260626C25450</stp>
        <tr r="T144" s="2"/>
      </tp>
      <tp>
        <v>74</v>
        <stp/>
        <stp>VOLUME</stp>
        <stp>.NDXP251110C25150</stp>
        <tr r="B156" s="2"/>
        <tr r="B156" s="2"/>
        <tr r="P155" s="1"/>
        <tr r="P155" s="1"/>
      </tp>
      <tp>
        <v>6</v>
        <stp/>
        <stp>VOLUME</stp>
        <stp>.NDXP251111C25050</stp>
        <tr r="C160" s="2"/>
        <tr r="C160" s="2"/>
      </tp>
      <tp>
        <v>2</v>
        <stp/>
        <stp>VOLUME</stp>
        <stp>.NDXP251112C25350</stp>
        <tr r="D148" s="2"/>
        <tr r="D148" s="2"/>
      </tp>
      <tp>
        <v>2</v>
        <stp/>
        <stp>VOLUME</stp>
        <stp>.NDXP251113C25250</stp>
        <tr r="E152" s="2"/>
        <tr r="E152" s="2"/>
      </tp>
      <tp>
        <v>10</v>
        <stp/>
        <stp>VOLUME</stp>
        <stp>.NDXP251114C25550</stp>
        <tr r="R139" s="1"/>
        <tr r="R139" s="1"/>
      </tp>
      <tp t="s">
        <v>N/A</v>
        <stp/>
        <stp>VOLUME</stp>
        <stp>.NDXP251112C24350</stp>
        <tr r="D188" s="2"/>
      </tp>
      <tp>
        <v>2</v>
        <stp/>
        <stp>VOLUME</stp>
        <stp>.NDXP251114C24550</stp>
        <tr r="R179" s="1"/>
        <tr r="R179" s="1"/>
      </tp>
      <tp t="s">
        <v>N/A</v>
        <stp/>
        <stp>VOLUME</stp>
        <stp>.NDXP261030C25250</stp>
        <tr r="X152" s="2"/>
      </tp>
      <tp t="s">
        <v>N/A</v>
        <stp/>
        <stp>VOLUME</stp>
        <stp>.NDXP251205C24450</stp>
        <tr r="I184" s="2"/>
      </tp>
      <tp t="s">
        <v>N/A</v>
        <stp/>
        <stp>VOLUME</stp>
        <stp>.NDXP251212C25350</stp>
        <tr r="J148" s="2"/>
      </tp>
      <tp t="s">
        <v>N/A</v>
        <stp/>
        <stp>VOLUME</stp>
        <stp>.NDXP251205C25450</stp>
        <tr r="I144" s="2"/>
      </tp>
      <tp t="s">
        <v>N/A</v>
        <stp/>
        <stp>VOLUME</stp>
        <stp>.NDXP251212C24350</stp>
        <tr r="J188" s="2"/>
      </tp>
      <tp t="s">
        <v>N/A</v>
        <stp/>
        <stp>VOLUME</stp>
        <stp>.NDXP261030C25225</stp>
        <tr r="X153" s="2"/>
      </tp>
      <tp t="s">
        <v>N/A</v>
        <stp/>
        <stp>VOLUME</stp>
        <stp>.NDXP251110C25125</stp>
        <tr r="B157" s="2"/>
        <tr r="P156" s="1"/>
      </tp>
      <tp t="s">
        <v>N/A</v>
        <stp/>
        <stp>VOLUME</stp>
        <stp>.NDXP251111C25025</stp>
        <tr r="C161" s="2"/>
      </tp>
      <tp t="s">
        <v>N/A</v>
        <stp/>
        <stp>VOLUME</stp>
        <stp>.NDXP251112C25325</stp>
        <tr r="D149" s="2"/>
      </tp>
      <tp t="s">
        <v>N/A</v>
        <stp/>
        <stp>VOLUME</stp>
        <stp>.NDXP251113C25225</stp>
        <tr r="E153" s="2"/>
      </tp>
      <tp t="s">
        <v>N/A</v>
        <stp/>
        <stp>VOLUME</stp>
        <stp>.NDXP251114C25525</stp>
        <tr r="R140" s="1"/>
      </tp>
      <tp t="s">
        <v>N/A</v>
        <stp/>
        <stp>VOLUME</stp>
        <stp>.NDXP251112C24325</stp>
        <tr r="D189" s="2"/>
      </tp>
      <tp t="s">
        <v>N/A</v>
        <stp/>
        <stp>VOLUME</stp>
        <stp>.NDXP251114C24525</stp>
        <tr r="R180" s="1"/>
      </tp>
      <tp t="s">
        <v>N/A</v>
        <stp/>
        <stp>VOLUME</stp>
        <stp>.NDXP251205C24425</stp>
        <tr r="I185" s="2"/>
      </tp>
      <tp t="s">
        <v>N/A</v>
        <stp/>
        <stp>VOLUME</stp>
        <stp>.NDXP251212C25325</stp>
        <tr r="J149" s="2"/>
      </tp>
      <tp>
        <v>1</v>
        <stp/>
        <stp>VOLUME</stp>
        <stp>.NDXP251205C25425</stp>
        <tr r="I145" s="2"/>
        <tr r="I145" s="2"/>
      </tp>
      <tp t="s">
        <v>N/A</v>
        <stp/>
        <stp>VOLUME</stp>
        <stp>.NDXP251212C24325</stp>
        <tr r="J189" s="2"/>
      </tp>
      <tp t="s">
        <v>N/A</v>
        <stp/>
        <stp>VOLUME</stp>
        <stp>.NDXP260501C24325</stp>
        <tr r="R189" s="2"/>
      </tp>
      <tp t="s">
        <v>N/A</v>
        <stp/>
        <stp>VOLUME</stp>
        <stp>.NDXP260501C25325</stp>
        <tr r="R149" s="2"/>
      </tp>
      <tp t="s">
        <v>N/A</v>
        <stp/>
        <stp>VOLUME</stp>
        <stp>.NDXP260626C24425</stp>
        <tr r="T185" s="2"/>
      </tp>
      <tp t="s">
        <v>N/A</v>
        <stp/>
        <stp>VOLUME</stp>
        <stp>.NDXP260626C25425</stp>
        <tr r="T145" s="2"/>
      </tp>
      <tp t="s">
        <v>N/A</v>
        <stp/>
        <stp>VOLUME</stp>
        <stp>.NDXP260206C24425</stp>
        <tr r="N185" s="2"/>
      </tp>
      <tp t="s">
        <v>N/A</v>
        <stp/>
        <stp>VOLUME</stp>
        <stp>.NDXP260206C25425</stp>
        <tr r="N145" s="2"/>
      </tp>
      <tp t="s">
        <v>N/A</v>
        <stp/>
        <stp>VOLUME</stp>
        <stp>.NDXP260227C24525</stp>
        <tr r="P181" s="2"/>
      </tp>
      <tp t="s">
        <v>N/A</v>
        <stp/>
        <stp>VOLUME</stp>
        <stp>.NDXP260227C25525</stp>
        <tr r="P141" s="2"/>
      </tp>
      <tp>
        <v>126</v>
        <stp/>
        <stp>VOLUME</stp>
        <stp>.NDXP251110C25100</stp>
        <tr r="B158" s="2"/>
        <tr r="B158" s="2"/>
        <tr r="P157" s="1"/>
        <tr r="P157" s="1"/>
      </tp>
      <tp>
        <v>42</v>
        <stp/>
        <stp>VOLUME</stp>
        <stp>.NDXP251111C25000</stp>
        <tr r="C162" s="2"/>
        <tr r="C162" s="2"/>
      </tp>
      <tp>
        <v>6</v>
        <stp/>
        <stp>VOLUME</stp>
        <stp>.NDXP251112C25300</stp>
        <tr r="D150" s="2"/>
        <tr r="D150" s="2"/>
      </tp>
      <tp>
        <v>13</v>
        <stp/>
        <stp>VOLUME</stp>
        <stp>.NDXP251113C25200</stp>
        <tr r="E154" s="2"/>
        <tr r="E154" s="2"/>
      </tp>
      <tp>
        <v>60</v>
        <stp/>
        <stp>VOLUME</stp>
        <stp>.NDXP251114C25500</stp>
        <tr r="R141" s="1"/>
        <tr r="R141" s="1"/>
      </tp>
      <tp t="s">
        <v>N/A</v>
        <stp/>
        <stp>VOLUME</stp>
        <stp>.NDXP251112C24300</stp>
        <tr r="D190" s="2"/>
      </tp>
      <tp>
        <v>6</v>
        <stp/>
        <stp>VOLUME</stp>
        <stp>.NDXP251114C24500</stp>
        <tr r="R181" s="1"/>
        <tr r="R181" s="1"/>
      </tp>
      <tp t="s">
        <v>N/A</v>
        <stp/>
        <stp>VOLUME</stp>
        <stp>.NDXP261030C25200</stp>
        <tr r="X154" s="2"/>
      </tp>
      <tp t="s">
        <v>N/A</v>
        <stp/>
        <stp>VOLUME</stp>
        <stp>.NDXP251205C24400</stp>
        <tr r="I186" s="2"/>
      </tp>
      <tp t="s">
        <v>N/A</v>
        <stp/>
        <stp>VOLUME</stp>
        <stp>.NDXP251212C25300</stp>
        <tr r="J150" s="2"/>
      </tp>
      <tp t="s">
        <v>N/A</v>
        <stp/>
        <stp>VOLUME</stp>
        <stp>.NDXP251205C25400</stp>
        <tr r="I146" s="2"/>
      </tp>
      <tp t="s">
        <v>N/A</v>
        <stp/>
        <stp>VOLUME</stp>
        <stp>.NDXP251212C24300</stp>
        <tr r="J190" s="2"/>
      </tp>
      <tp t="s">
        <v>N/A</v>
        <stp/>
        <stp>VOLUME</stp>
        <stp>.NDXP260206C24400</stp>
        <tr r="N186" s="2"/>
      </tp>
      <tp t="s">
        <v>N/A</v>
        <stp/>
        <stp>VOLUME</stp>
        <stp>.NDXP260206C25400</stp>
        <tr r="N146" s="2"/>
      </tp>
      <tp t="s">
        <v>N/A</v>
        <stp/>
        <stp>VOLUME</stp>
        <stp>.NDXP260227C24500</stp>
        <tr r="P182" s="2"/>
      </tp>
      <tp t="s">
        <v>N/A</v>
        <stp/>
        <stp>VOLUME</stp>
        <stp>.NDXP260227C25500</stp>
        <tr r="P142" s="2"/>
      </tp>
      <tp t="s">
        <v>N/A</v>
        <stp/>
        <stp>VOLUME</stp>
        <stp>.NDXP260501C24300</stp>
        <tr r="R190" s="2"/>
      </tp>
      <tp t="s">
        <v>N/A</v>
        <stp/>
        <stp>VOLUME</stp>
        <stp>.NDXP260501C25300</stp>
        <tr r="R150" s="2"/>
      </tp>
      <tp t="s">
        <v>N/A</v>
        <stp/>
        <stp>VOLUME</stp>
        <stp>.NDXP260626C24400</stp>
        <tr r="T186" s="2"/>
      </tp>
      <tp t="s">
        <v>N/A</v>
        <stp/>
        <stp>VOLUME</stp>
        <stp>.NDXP260626C25400</stp>
        <tr r="T146" s="2"/>
      </tp>
      <tp>
        <v>6</v>
        <stp/>
        <stp>VOLUME</stp>
        <stp>.NDXP251110P25150</stp>
        <tr r="B156" s="2"/>
        <tr r="B156" s="2"/>
        <tr r="Q155" s="1"/>
        <tr r="Q155" s="1"/>
      </tp>
      <tp t="s">
        <v>N/A</v>
        <stp/>
        <stp>VOLUME</stp>
        <stp>.NDXP251111P25050</stp>
        <tr r="C160" s="2"/>
      </tp>
      <tp t="s">
        <v>N/A</v>
        <stp/>
        <stp>VOLUME</stp>
        <stp>.NDXP251112P25350</stp>
        <tr r="D148" s="2"/>
      </tp>
      <tp t="s">
        <v>N/A</v>
        <stp/>
        <stp>VOLUME</stp>
        <stp>.NDXP251113P25250</stp>
        <tr r="E152" s="2"/>
      </tp>
      <tp t="s">
        <v>N/A</v>
        <stp/>
        <stp>VOLUME</stp>
        <stp>.NDXP251114P25550</stp>
        <tr r="S139" s="1"/>
      </tp>
      <tp t="s">
        <v>N/A</v>
        <stp/>
        <stp>VOLUME</stp>
        <stp>.NDXP251112P24350</stp>
        <tr r="D188" s="2"/>
      </tp>
      <tp>
        <v>17</v>
        <stp/>
        <stp>VOLUME</stp>
        <stp>.NDXP251114P24550</stp>
        <tr r="S179" s="1"/>
        <tr r="S179" s="1"/>
      </tp>
      <tp t="s">
        <v>N/A</v>
        <stp/>
        <stp>VOLUME</stp>
        <stp>.NDXP261030P25250</stp>
        <tr r="X152" s="2"/>
      </tp>
      <tp t="s">
        <v>N/A</v>
        <stp/>
        <stp>VOLUME</stp>
        <stp>.NDXP251205P24450</stp>
        <tr r="I184" s="2"/>
      </tp>
      <tp t="s">
        <v>N/A</v>
        <stp/>
        <stp>VOLUME</stp>
        <stp>.NDXP251212P25350</stp>
        <tr r="J148" s="2"/>
      </tp>
      <tp>
        <v>3</v>
        <stp/>
        <stp>VOLUME</stp>
        <stp>.NDXP251205P25450</stp>
        <tr r="I144" s="2"/>
        <tr r="I144" s="2"/>
      </tp>
      <tp t="s">
        <v>N/A</v>
        <stp/>
        <stp>VOLUME</stp>
        <stp>.NDXP251212P24350</stp>
        <tr r="J188" s="2"/>
      </tp>
      <tp t="s">
        <v>N/A</v>
        <stp/>
        <stp>VOLUME</stp>
        <stp>.NDXP260206P24450</stp>
        <tr r="N184" s="2"/>
      </tp>
      <tp t="s">
        <v>N/A</v>
        <stp/>
        <stp>VOLUME</stp>
        <stp>.NDXP260206P25450</stp>
        <tr r="N144" s="2"/>
      </tp>
      <tp t="s">
        <v>N/A</v>
        <stp/>
        <stp>VOLUME</stp>
        <stp>.NDXP260227P24550</stp>
        <tr r="P180" s="2"/>
      </tp>
      <tp t="s">
        <v>N/A</v>
        <stp/>
        <stp>VOLUME</stp>
        <stp>.NDXP260227P25550</stp>
        <tr r="P140" s="2"/>
      </tp>
      <tp t="s">
        <v>N/A</v>
        <stp/>
        <stp>VOLUME</stp>
        <stp>.NDXP260501P24350</stp>
        <tr r="R188" s="2"/>
      </tp>
      <tp t="s">
        <v>N/A</v>
        <stp/>
        <stp>VOLUME</stp>
        <stp>.NDXP260501P25350</stp>
        <tr r="R148" s="2"/>
      </tp>
      <tp t="s">
        <v>N/A</v>
        <stp/>
        <stp>VOLUME</stp>
        <stp>.NDXP260626P24450</stp>
        <tr r="T184" s="2"/>
      </tp>
      <tp t="s">
        <v>N/A</v>
        <stp/>
        <stp>VOLUME</stp>
        <stp>.NDXP260626P25450</stp>
        <tr r="T144" s="2"/>
      </tp>
      <tp t="s">
        <v>N/A</v>
        <stp/>
        <stp>VOLUME</stp>
        <stp>.NDXP261030P25275</stp>
        <tr r="X151" s="2"/>
      </tp>
      <tp t="s">
        <v>N/A</v>
        <stp/>
        <stp>VOLUME</stp>
        <stp>.NDXP251110P25175</stp>
        <tr r="B155" s="2"/>
        <tr r="Q154" s="1"/>
      </tp>
      <tp t="s">
        <v>N/A</v>
        <stp/>
        <stp>VOLUME</stp>
        <stp>.NDXP251111P25075</stp>
        <tr r="C159" s="2"/>
      </tp>
      <tp t="s">
        <v>N/A</v>
        <stp/>
        <stp>VOLUME</stp>
        <stp>.NDXP251112P25375</stp>
        <tr r="D147" s="2"/>
      </tp>
      <tp t="s">
        <v>N/A</v>
        <stp/>
        <stp>VOLUME</stp>
        <stp>.NDXP251113P25275</stp>
        <tr r="E151" s="2"/>
      </tp>
      <tp t="s">
        <v>N/A</v>
        <stp/>
        <stp>VOLUME</stp>
        <stp>.NDXP251114P25575</stp>
        <tr r="S138" s="1"/>
      </tp>
      <tp t="s">
        <v>N/A</v>
        <stp/>
        <stp>VOLUME</stp>
        <stp>.NDXP251112P24375</stp>
        <tr r="D187" s="2"/>
      </tp>
      <tp>
        <v>2</v>
        <stp/>
        <stp>VOLUME</stp>
        <stp>.NDXP251114P24575</stp>
        <tr r="S178" s="1"/>
        <tr r="S178" s="1"/>
      </tp>
      <tp>
        <v>1</v>
        <stp/>
        <stp>VOLUME</stp>
        <stp>.NDXP251205P24475</stp>
        <tr r="I183" s="2"/>
        <tr r="I183" s="2"/>
      </tp>
      <tp t="s">
        <v>N/A</v>
        <stp/>
        <stp>VOLUME</stp>
        <stp>.NDXP251212P25375</stp>
        <tr r="J147" s="2"/>
      </tp>
      <tp t="s">
        <v>N/A</v>
        <stp/>
        <stp>VOLUME</stp>
        <stp>.NDXP251205P25475</stp>
        <tr r="I143" s="2"/>
      </tp>
      <tp t="s">
        <v>N/A</v>
        <stp/>
        <stp>VOLUME</stp>
        <stp>.NDXP251212P24375</stp>
        <tr r="J187" s="2"/>
      </tp>
      <tp t="s">
        <v>N/A</v>
        <stp/>
        <stp>VOLUME</stp>
        <stp>.NDXP260501P24375</stp>
        <tr r="R187" s="2"/>
      </tp>
      <tp t="s">
        <v>N/A</v>
        <stp/>
        <stp>VOLUME</stp>
        <stp>.NDXP260501P25375</stp>
        <tr r="R147" s="2"/>
      </tp>
      <tp t="s">
        <v>N/A</v>
        <stp/>
        <stp>VOLUME</stp>
        <stp>.NDXP260626P24475</stp>
        <tr r="T183" s="2"/>
      </tp>
      <tp t="s">
        <v>N/A</v>
        <stp/>
        <stp>VOLUME</stp>
        <stp>.NDXP260626P25475</stp>
        <tr r="T143" s="2"/>
      </tp>
      <tp t="s">
        <v>N/A</v>
        <stp/>
        <stp>VOLUME</stp>
        <stp>.NDXP260206P24475</stp>
        <tr r="N183" s="2"/>
      </tp>
      <tp t="s">
        <v>N/A</v>
        <stp/>
        <stp>VOLUME</stp>
        <stp>.NDXP260206P25475</stp>
        <tr r="N143" s="2"/>
      </tp>
      <tp t="s">
        <v>N/A</v>
        <stp/>
        <stp>VOLUME</stp>
        <stp>.NDXP260227P24575</stp>
        <tr r="P179" s="2"/>
      </tp>
      <tp t="s">
        <v>N/A</v>
        <stp/>
        <stp>VOLUME</stp>
        <stp>.NDXP260227P25575</stp>
        <tr r="P139" s="2"/>
      </tp>
      <tp t="s">
        <v>N/A</v>
        <stp/>
        <stp>VOLUME</stp>
        <stp>.NDXP260206P24400</stp>
        <tr r="N186" s="2"/>
      </tp>
      <tp t="s">
        <v>N/A</v>
        <stp/>
        <stp>VOLUME</stp>
        <stp>.NDXP260206P25400</stp>
        <tr r="N146" s="2"/>
      </tp>
      <tp t="s">
        <v>N/A</v>
        <stp/>
        <stp>VOLUME</stp>
        <stp>.NDXP260227P24500</stp>
        <tr r="P182" s="2"/>
      </tp>
      <tp t="s">
        <v>N/A</v>
        <stp/>
        <stp>VOLUME</stp>
        <stp>.NDXP260227P25500</stp>
        <tr r="P142" s="2"/>
      </tp>
      <tp t="s">
        <v>N/A</v>
        <stp/>
        <stp>VOLUME</stp>
        <stp>.NDXP260501P24300</stp>
        <tr r="R190" s="2"/>
      </tp>
      <tp t="s">
        <v>N/A</v>
        <stp/>
        <stp>VOLUME</stp>
        <stp>.NDXP260501P25300</stp>
        <tr r="R150" s="2"/>
      </tp>
      <tp t="s">
        <v>N/A</v>
        <stp/>
        <stp>VOLUME</stp>
        <stp>.NDXP260626P24400</stp>
        <tr r="T186" s="2"/>
      </tp>
      <tp t="s">
        <v>N/A</v>
        <stp/>
        <stp>VOLUME</stp>
        <stp>.NDXP260626P25400</stp>
        <tr r="T146" s="2"/>
      </tp>
      <tp>
        <v>14</v>
        <stp/>
        <stp>VOLUME</stp>
        <stp>.NDXP251110P25100</stp>
        <tr r="B158" s="2"/>
        <tr r="B158" s="2"/>
        <tr r="Q157" s="1"/>
        <tr r="Q157" s="1"/>
      </tp>
      <tp>
        <v>7</v>
        <stp/>
        <stp>VOLUME</stp>
        <stp>.NDXP251111P25000</stp>
        <tr r="C162" s="2"/>
        <tr r="C162" s="2"/>
      </tp>
      <tp t="s">
        <v>N/A</v>
        <stp/>
        <stp>VOLUME</stp>
        <stp>.NDXP251112P25300</stp>
        <tr r="D150" s="2"/>
      </tp>
      <tp t="s">
        <v>N/A</v>
        <stp/>
        <stp>VOLUME</stp>
        <stp>.NDXP251113P25200</stp>
        <tr r="E154" s="2"/>
      </tp>
      <tp>
        <v>45</v>
        <stp/>
        <stp>VOLUME</stp>
        <stp>.NDXP251114P25500</stp>
        <tr r="S141" s="1"/>
        <tr r="S141" s="1"/>
      </tp>
      <tp>
        <v>2</v>
        <stp/>
        <stp>VOLUME</stp>
        <stp>.NDXP251112P24300</stp>
        <tr r="D190" s="2"/>
        <tr r="D190" s="2"/>
      </tp>
      <tp>
        <v>27</v>
        <stp/>
        <stp>VOLUME</stp>
        <stp>.NDXP251114P24500</stp>
        <tr r="S181" s="1"/>
        <tr r="S181" s="1"/>
      </tp>
      <tp t="s">
        <v>N/A</v>
        <stp/>
        <stp>VOLUME</stp>
        <stp>.NDXP261030P25200</stp>
        <tr r="X154" s="2"/>
      </tp>
      <tp t="s">
        <v>N/A</v>
        <stp/>
        <stp>VOLUME</stp>
        <stp>.NDXP251205P24400</stp>
        <tr r="I186" s="2"/>
      </tp>
      <tp t="s">
        <v>N/A</v>
        <stp/>
        <stp>VOLUME</stp>
        <stp>.NDXP251212P25300</stp>
        <tr r="J150" s="2"/>
      </tp>
      <tp t="s">
        <v>N/A</v>
        <stp/>
        <stp>VOLUME</stp>
        <stp>.NDXP251205P25400</stp>
        <tr r="I146" s="2"/>
      </tp>
      <tp t="s">
        <v>N/A</v>
        <stp/>
        <stp>VOLUME</stp>
        <stp>.NDXP251212P24300</stp>
        <tr r="J190" s="2"/>
      </tp>
      <tp t="s">
        <v>N/A</v>
        <stp/>
        <stp>VOLUME</stp>
        <stp>.NDXP260501P24325</stp>
        <tr r="R189" s="2"/>
      </tp>
      <tp t="s">
        <v>N/A</v>
        <stp/>
        <stp>VOLUME</stp>
        <stp>.NDXP260501P25325</stp>
        <tr r="R149" s="2"/>
      </tp>
      <tp t="s">
        <v>N/A</v>
        <stp/>
        <stp>VOLUME</stp>
        <stp>.NDXP260626P24425</stp>
        <tr r="T185" s="2"/>
      </tp>
      <tp t="s">
        <v>N/A</v>
        <stp/>
        <stp>VOLUME</stp>
        <stp>.NDXP260626P25425</stp>
        <tr r="T145" s="2"/>
      </tp>
      <tp t="s">
        <v>N/A</v>
        <stp/>
        <stp>VOLUME</stp>
        <stp>.NDXP260206P24425</stp>
        <tr r="N185" s="2"/>
      </tp>
      <tp t="s">
        <v>N/A</v>
        <stp/>
        <stp>VOLUME</stp>
        <stp>.NDXP260206P25425</stp>
        <tr r="N145" s="2"/>
      </tp>
      <tp t="s">
        <v>N/A</v>
        <stp/>
        <stp>VOLUME</stp>
        <stp>.NDXP260227P24525</stp>
        <tr r="P181" s="2"/>
      </tp>
      <tp t="s">
        <v>N/A</v>
        <stp/>
        <stp>VOLUME</stp>
        <stp>.NDXP260227P25525</stp>
        <tr r="P141" s="2"/>
      </tp>
      <tp t="s">
        <v>N/A</v>
        <stp/>
        <stp>VOLUME</stp>
        <stp>.NDXP261030P25225</stp>
        <tr r="X153" s="2"/>
      </tp>
      <tp t="s">
        <v>N/A</v>
        <stp/>
        <stp>VOLUME</stp>
        <stp>.NDXP251110P25125</stp>
        <tr r="B157" s="2"/>
        <tr r="Q156" s="1"/>
      </tp>
      <tp t="s">
        <v>N/A</v>
        <stp/>
        <stp>VOLUME</stp>
        <stp>.NDXP251111P25025</stp>
        <tr r="C161" s="2"/>
      </tp>
      <tp t="s">
        <v>N/A</v>
        <stp/>
        <stp>VOLUME</stp>
        <stp>.NDXP251112P25325</stp>
        <tr r="D149" s="2"/>
      </tp>
      <tp t="s">
        <v>N/A</v>
        <stp/>
        <stp>VOLUME</stp>
        <stp>.NDXP251113P25225</stp>
        <tr r="E153" s="2"/>
      </tp>
      <tp t="s">
        <v>N/A</v>
        <stp/>
        <stp>VOLUME</stp>
        <stp>.NDXP251114P25525</stp>
        <tr r="S140" s="1"/>
      </tp>
      <tp t="s">
        <v>N/A</v>
        <stp/>
        <stp>VOLUME</stp>
        <stp>.NDXP251112P24325</stp>
        <tr r="D189" s="2"/>
      </tp>
      <tp>
        <v>3</v>
        <stp/>
        <stp>VOLUME</stp>
        <stp>.NDXP251114P24525</stp>
        <tr r="S180" s="1"/>
        <tr r="S180" s="1"/>
      </tp>
      <tp t="s">
        <v>N/A</v>
        <stp/>
        <stp>VOLUME</stp>
        <stp>.NDXP251205P24425</stp>
        <tr r="I185" s="2"/>
      </tp>
      <tp t="s">
        <v>N/A</v>
        <stp/>
        <stp>VOLUME</stp>
        <stp>.NDXP251212P25325</stp>
        <tr r="J149" s="2"/>
      </tp>
      <tp t="s">
        <v>N/A</v>
        <stp/>
        <stp>VOLUME</stp>
        <stp>.NDXP251205P25425</stp>
        <tr r="I145" s="2"/>
      </tp>
      <tp t="s">
        <v>N/A</v>
        <stp/>
        <stp>VOLUME</stp>
        <stp>.NDXP251212P24325</stp>
        <tr r="J189" s="2"/>
      </tp>
      <tp t="s">
        <v>N/A</v>
        <stp/>
        <stp>VOLUME</stp>
        <stp>.NDXP260828C24975</stp>
        <tr r="V163" s="2"/>
      </tp>
      <tp t="s">
        <v>N/A</v>
        <stp/>
        <stp>VOLUME</stp>
        <stp>.NDXP260501C25075</stp>
        <tr r="R159" s="2"/>
      </tp>
      <tp t="s">
        <v>N/A</v>
        <stp/>
        <stp>VOLUME</stp>
        <stp>.NDXP260626C24775</stp>
        <tr r="T171" s="2"/>
      </tp>
      <tp t="s">
        <v>N/A</v>
        <stp/>
        <stp>VOLUME</stp>
        <stp>.NDXP260109C24875</stp>
        <tr r="L167" s="2"/>
      </tp>
      <tp t="s">
        <v>N/A</v>
        <stp/>
        <stp>VOLUME</stp>
        <stp>.NDXP260206C24775</stp>
        <tr r="N171" s="2"/>
      </tp>
      <tp t="s">
        <v>N/A</v>
        <stp/>
        <stp>VOLUME</stp>
        <stp>.NDXP260227C24675</stp>
        <tr r="P175" s="2"/>
      </tp>
      <tp t="s">
        <v>N/A</v>
        <stp/>
        <stp>VOLUME</stp>
        <stp>.NDXP261030C25175</stp>
        <tr r="X155" s="2"/>
      </tp>
      <tp t="s">
        <v>N/A</v>
        <stp/>
        <stp>VOLUME</stp>
        <stp>.NDXP251110C25275</stp>
        <tr r="B151" s="2"/>
        <tr r="P150" s="1"/>
      </tp>
      <tp t="s">
        <v>N/A</v>
        <stp/>
        <stp>VOLUME</stp>
        <stp>.NDXP251111C25375</stp>
        <tr r="C147" s="2"/>
      </tp>
      <tp t="s">
        <v>N/A</v>
        <stp/>
        <stp>VOLUME</stp>
        <stp>.NDXP251112C25075</stp>
        <tr r="D159" s="2"/>
      </tp>
      <tp t="s">
        <v>N/A</v>
        <stp/>
        <stp>VOLUME</stp>
        <stp>.NDXP251113C25175</stp>
        <tr r="E155" s="2"/>
      </tp>
      <tp t="s">
        <v>N/A</v>
        <stp/>
        <stp>VOLUME</stp>
        <stp>.NDXP251111C24375</stp>
        <tr r="C187" s="2"/>
      </tp>
      <tp>
        <v>4</v>
        <stp/>
        <stp>VOLUME</stp>
        <stp>.NDXP251114C24675</stp>
        <tr r="R174" s="1"/>
        <tr r="R174" s="1"/>
      </tp>
      <tp t="s">
        <v>N/A</v>
        <stp/>
        <stp>VOLUME</stp>
        <stp>.NDXP251205C24775</stp>
        <tr r="I171" s="2"/>
      </tp>
      <tp t="s">
        <v>N/A</v>
        <stp/>
        <stp>VOLUME</stp>
        <stp>.NDXP251212C25075</stp>
        <tr r="J159" s="2"/>
      </tp>
      <tp t="s">
        <v>N/A</v>
        <stp/>
        <stp>VOLUME</stp>
        <stp>.NDXP260828C24950</stp>
        <tr r="V164" s="2"/>
      </tp>
      <tp t="s">
        <v>N/A</v>
        <stp/>
        <stp>VOLUME</stp>
        <stp>.NDXP260109C24850</stp>
        <tr r="L168" s="2"/>
      </tp>
      <tp t="s">
        <v>N/A</v>
        <stp/>
        <stp>VOLUME</stp>
        <stp>.NDXP260206C24750</stp>
        <tr r="N172" s="2"/>
      </tp>
      <tp t="s">
        <v>N/A</v>
        <stp/>
        <stp>VOLUME</stp>
        <stp>.NDXP260227C24650</stp>
        <tr r="P176" s="2"/>
      </tp>
      <tp t="s">
        <v>N/A</v>
        <stp/>
        <stp>VOLUME</stp>
        <stp>.NDXP260501C25050</stp>
        <tr r="R160" s="2"/>
      </tp>
      <tp t="s">
        <v>N/A</v>
        <stp/>
        <stp>VOLUME</stp>
        <stp>.NDXP260626C24750</stp>
        <tr r="T172" s="2"/>
      </tp>
      <tp>
        <v>40</v>
        <stp/>
        <stp>VOLUME</stp>
        <stp>.NDXP251110C25250</stp>
        <tr r="B152" s="2"/>
        <tr r="B152" s="2"/>
        <tr r="P151" s="1"/>
        <tr r="P151" s="1"/>
      </tp>
      <tp>
        <v>12</v>
        <stp/>
        <stp>VOLUME</stp>
        <stp>.NDXP251111C25350</stp>
        <tr r="C148" s="2"/>
        <tr r="C148" s="2"/>
      </tp>
      <tp t="s">
        <v>N/A</v>
        <stp/>
        <stp>VOLUME</stp>
        <stp>.NDXP251112C25050</stp>
        <tr r="D160" s="2"/>
      </tp>
      <tp>
        <v>1</v>
        <stp/>
        <stp>VOLUME</stp>
        <stp>.NDXP251113C25150</stp>
        <tr r="E156" s="2"/>
        <tr r="E156" s="2"/>
      </tp>
      <tp t="s">
        <v>N/A</v>
        <stp/>
        <stp>VOLUME</stp>
        <stp>.NDXP251111C24350</stp>
        <tr r="C188" s="2"/>
      </tp>
      <tp>
        <v>1</v>
        <stp/>
        <stp>VOLUME</stp>
        <stp>.NDXP251114C24650</stp>
        <tr r="R175" s="1"/>
        <tr r="R175" s="1"/>
      </tp>
      <tp t="s">
        <v>N/A</v>
        <stp/>
        <stp>VOLUME</stp>
        <stp>.NDXP261030C25150</stp>
        <tr r="X156" s="2"/>
      </tp>
      <tp t="s">
        <v>N/A</v>
        <stp/>
        <stp>VOLUME</stp>
        <stp>.NDXP251205C24750</stp>
        <tr r="I172" s="2"/>
      </tp>
      <tp t="s">
        <v>N/A</v>
        <stp/>
        <stp>VOLUME</stp>
        <stp>.NDXP251212C25050</stp>
        <tr r="J160" s="2"/>
      </tp>
      <tp t="s">
        <v>N/A</v>
        <stp/>
        <stp>VOLUME</stp>
        <stp>.NDXP261030C25125</stp>
        <tr r="X157" s="2"/>
      </tp>
      <tp t="s">
        <v>N/A</v>
        <stp/>
        <stp>VOLUME</stp>
        <stp>.NDXP251110C25225</stp>
        <tr r="B153" s="2"/>
        <tr r="P152" s="1"/>
      </tp>
      <tp t="s">
        <v>N/A</v>
        <stp/>
        <stp>VOLUME</stp>
        <stp>.NDXP251111C25325</stp>
        <tr r="C149" s="2"/>
      </tp>
      <tp t="s">
        <v>N/A</v>
        <stp/>
        <stp>VOLUME</stp>
        <stp>.NDXP251112C25025</stp>
        <tr r="D161" s="2"/>
      </tp>
      <tp t="s">
        <v>N/A</v>
        <stp/>
        <stp>VOLUME</stp>
        <stp>.NDXP251113C25125</stp>
        <tr r="E157" s="2"/>
      </tp>
      <tp t="s">
        <v>N/A</v>
        <stp/>
        <stp>VOLUME</stp>
        <stp>.NDXP251111C24325</stp>
        <tr r="C189" s="2"/>
      </tp>
      <tp>
        <v>1</v>
        <stp/>
        <stp>VOLUME</stp>
        <stp>.NDXP251114C24625</stp>
        <tr r="R176" s="1"/>
        <tr r="R176" s="1"/>
      </tp>
      <tp t="s">
        <v>N/A</v>
        <stp/>
        <stp>VOLUME</stp>
        <stp>.NDXP251205C24725</stp>
        <tr r="I173" s="2"/>
      </tp>
      <tp>
        <v>1</v>
        <stp/>
        <stp>VOLUME</stp>
        <stp>.NDXP251212C25025</stp>
        <tr r="J161" s="2"/>
        <tr r="J161" s="2"/>
      </tp>
      <tp t="s">
        <v>N/A</v>
        <stp/>
        <stp>VOLUME</stp>
        <stp>.NDXP260828C24925</stp>
        <tr r="V165" s="2"/>
      </tp>
      <tp t="s">
        <v>N/A</v>
        <stp/>
        <stp>VOLUME</stp>
        <stp>.NDXP260501C25025</stp>
        <tr r="R161" s="2"/>
      </tp>
      <tp t="s">
        <v>N/A</v>
        <stp/>
        <stp>VOLUME</stp>
        <stp>.NDXP260626C24725</stp>
        <tr r="T173" s="2"/>
      </tp>
      <tp t="s">
        <v>N/A</v>
        <stp/>
        <stp>VOLUME</stp>
        <stp>.NDXP260109C24825</stp>
        <tr r="L169" s="2"/>
      </tp>
      <tp t="s">
        <v>N/A</v>
        <stp/>
        <stp>VOLUME</stp>
        <stp>.NDXP260206C24725</stp>
        <tr r="N173" s="2"/>
      </tp>
      <tp t="s">
        <v>N/A</v>
        <stp/>
        <stp>VOLUME</stp>
        <stp>.NDXP260227C24625</stp>
        <tr r="P177" s="2"/>
      </tp>
      <tp>
        <v>214</v>
        <stp/>
        <stp>VOLUME</stp>
        <stp>.NDXP251110C25200</stp>
        <tr r="B154" s="2"/>
        <tr r="B154" s="2"/>
        <tr r="P153" s="1"/>
        <tr r="P153" s="1"/>
      </tp>
      <tp>
        <v>63</v>
        <stp/>
        <stp>VOLUME</stp>
        <stp>.NDXP251111C25300</stp>
        <tr r="C150" s="2"/>
        <tr r="C150" s="2"/>
      </tp>
      <tp>
        <v>413</v>
        <stp/>
        <stp>VOLUME</stp>
        <stp>.NDXP251112C25000</stp>
        <tr r="D162" s="2"/>
        <tr r="D162" s="2"/>
      </tp>
      <tp>
        <v>10</v>
        <stp/>
        <stp>VOLUME</stp>
        <stp>.NDXP251113C25100</stp>
        <tr r="E158" s="2"/>
        <tr r="E158" s="2"/>
      </tp>
      <tp>
        <v>31</v>
        <stp/>
        <stp>VOLUME</stp>
        <stp>.NDXP251114C25600</stp>
        <tr r="R137" s="1"/>
        <tr r="R137" s="1"/>
      </tp>
      <tp t="s">
        <v>N/A</v>
        <stp/>
        <stp>VOLUME</stp>
        <stp>.NDXP251111C24300</stp>
        <tr r="C190" s="2"/>
      </tp>
      <tp>
        <v>10</v>
        <stp/>
        <stp>VOLUME</stp>
        <stp>.NDXP251114C24600</stp>
        <tr r="R177" s="1"/>
        <tr r="R177" s="1"/>
      </tp>
      <tp t="s">
        <v>N/A</v>
        <stp/>
        <stp>VOLUME</stp>
        <stp>.NDXP261030C25100</stp>
        <tr r="X158" s="2"/>
      </tp>
      <tp t="s">
        <v>N/A</v>
        <stp/>
        <stp>VOLUME</stp>
        <stp>.NDXP251205C24700</stp>
        <tr r="I174" s="2"/>
      </tp>
      <tp>
        <v>1</v>
        <stp/>
        <stp>VOLUME</stp>
        <stp>.NDXP251212C25000</stp>
        <tr r="J162" s="2"/>
        <tr r="J162" s="2"/>
      </tp>
      <tp t="s">
        <v>N/A</v>
        <stp/>
        <stp>VOLUME</stp>
        <stp>.NDXP260828C24900</stp>
        <tr r="V166" s="2"/>
      </tp>
      <tp t="s">
        <v>N/A</v>
        <stp/>
        <stp>VOLUME</stp>
        <stp>.NDXP260109C24800</stp>
        <tr r="L170" s="2"/>
      </tp>
      <tp t="s">
        <v>N/A</v>
        <stp/>
        <stp>VOLUME</stp>
        <stp>.NDXP260206C24700</stp>
        <tr r="N174" s="2"/>
      </tp>
      <tp t="s">
        <v>N/A</v>
        <stp/>
        <stp>VOLUME</stp>
        <stp>.NDXP260227C24600</stp>
        <tr r="P178" s="2"/>
      </tp>
      <tp t="s">
        <v>N/A</v>
        <stp/>
        <stp>VOLUME</stp>
        <stp>.NDXP260227C25600</stp>
        <tr r="P138" s="2"/>
      </tp>
      <tp t="s">
        <v>N/A</v>
        <stp/>
        <stp>VOLUME</stp>
        <stp>.NDXP260501C25000</stp>
        <tr r="R162" s="2"/>
      </tp>
      <tp t="s">
        <v>N/A</v>
        <stp/>
        <stp>VOLUME</stp>
        <stp>.NDXP260626C24700</stp>
        <tr r="T174" s="2"/>
      </tp>
      <tp>
        <v>3</v>
        <stp/>
        <stp>VOLUME</stp>
        <stp>.NDXP251110P25250</stp>
        <tr r="B152" s="2"/>
        <tr r="B152" s="2"/>
        <tr r="Q151" s="1"/>
        <tr r="Q151" s="1"/>
      </tp>
      <tp>
        <v>14</v>
        <stp/>
        <stp>VOLUME</stp>
        <stp>.NDXP251111P25350</stp>
        <tr r="C148" s="2"/>
        <tr r="C148" s="2"/>
      </tp>
      <tp t="s">
        <v>N/A</v>
        <stp/>
        <stp>VOLUME</stp>
        <stp>.NDXP251112P25050</stp>
        <tr r="D160" s="2"/>
      </tp>
      <tp>
        <v>1</v>
        <stp/>
        <stp>VOLUME</stp>
        <stp>.NDXP251113P25150</stp>
        <tr r="E156" s="2"/>
        <tr r="E156" s="2"/>
      </tp>
      <tp>
        <v>2</v>
        <stp/>
        <stp>VOLUME</stp>
        <stp>.NDXP251111P24350</stp>
        <tr r="C188" s="2"/>
        <tr r="C188" s="2"/>
      </tp>
      <tp>
        <v>17</v>
        <stp/>
        <stp>VOLUME</stp>
        <stp>.NDXP251114P24650</stp>
        <tr r="S175" s="1"/>
        <tr r="S175" s="1"/>
      </tp>
      <tp t="s">
        <v>N/A</v>
        <stp/>
        <stp>VOLUME</stp>
        <stp>.NDXP261030P25150</stp>
        <tr r="X156" s="2"/>
      </tp>
      <tp>
        <v>1</v>
        <stp/>
        <stp>VOLUME</stp>
        <stp>.NDXP251205P24750</stp>
        <tr r="I172" s="2"/>
        <tr r="I172" s="2"/>
      </tp>
      <tp t="s">
        <v>N/A</v>
        <stp/>
        <stp>VOLUME</stp>
        <stp>.NDXP251212P25050</stp>
        <tr r="J160" s="2"/>
      </tp>
      <tp t="s">
        <v>N/A</v>
        <stp/>
        <stp>VOLUME</stp>
        <stp>.NDXP260828P24950</stp>
        <tr r="V164" s="2"/>
      </tp>
      <tp t="s">
        <v>N/A</v>
        <stp/>
        <stp>VOLUME</stp>
        <stp>.NDXP260109P24850</stp>
        <tr r="L168" s="2"/>
      </tp>
      <tp t="s">
        <v>N/A</v>
        <stp/>
        <stp>VOLUME</stp>
        <stp>.NDXP260206P24750</stp>
        <tr r="N172" s="2"/>
      </tp>
      <tp t="s">
        <v>N/A</v>
        <stp/>
        <stp>VOLUME</stp>
        <stp>.NDXP260227P24650</stp>
        <tr r="P176" s="2"/>
      </tp>
      <tp t="s">
        <v>N/A</v>
        <stp/>
        <stp>VOLUME</stp>
        <stp>.NDXP260501P25050</stp>
        <tr r="R160" s="2"/>
      </tp>
      <tp t="s">
        <v>N/A</v>
        <stp/>
        <stp>VOLUME</stp>
        <stp>.NDXP260626P24750</stp>
        <tr r="T172" s="2"/>
      </tp>
      <tp t="s">
        <v>N/A</v>
        <stp/>
        <stp>VOLUME</stp>
        <stp>.NDXP261030P25175</stp>
        <tr r="X155" s="2"/>
      </tp>
      <tp t="s">
        <v>N/A</v>
        <stp/>
        <stp>VOLUME</stp>
        <stp>.NDXP251110P25275</stp>
        <tr r="B151" s="2"/>
        <tr r="Q150" s="1"/>
      </tp>
      <tp t="s">
        <v>N/A</v>
        <stp/>
        <stp>VOLUME</stp>
        <stp>.NDXP251111P25375</stp>
        <tr r="C147" s="2"/>
      </tp>
      <tp t="s">
        <v>N/A</v>
        <stp/>
        <stp>VOLUME</stp>
        <stp>.NDXP251112P25075</stp>
        <tr r="D159" s="2"/>
      </tp>
      <tp t="s">
        <v>N/A</v>
        <stp/>
        <stp>VOLUME</stp>
        <stp>.NDXP251113P25175</stp>
        <tr r="E155" s="2"/>
      </tp>
      <tp t="s">
        <v>N/A</v>
        <stp/>
        <stp>VOLUME</stp>
        <stp>.NDXP251111P24375</stp>
        <tr r="C187" s="2"/>
      </tp>
      <tp>
        <v>1</v>
        <stp/>
        <stp>VOLUME</stp>
        <stp>.NDXP251114P24675</stp>
        <tr r="S174" s="1"/>
        <tr r="S174" s="1"/>
      </tp>
      <tp t="s">
        <v>N/A</v>
        <stp/>
        <stp>VOLUME</stp>
        <stp>.NDXP251205P24775</stp>
        <tr r="I171" s="2"/>
      </tp>
      <tp t="s">
        <v>N/A</v>
        <stp/>
        <stp>VOLUME</stp>
        <stp>.NDXP251212P25075</stp>
        <tr r="J159" s="2"/>
      </tp>
      <tp t="s">
        <v>N/A</v>
        <stp/>
        <stp>VOLUME</stp>
        <stp>.NDXP260828P24975</stp>
        <tr r="V163" s="2"/>
      </tp>
      <tp t="s">
        <v>N/A</v>
        <stp/>
        <stp>VOLUME</stp>
        <stp>.NDXP260501P25075</stp>
        <tr r="R159" s="2"/>
      </tp>
      <tp t="s">
        <v>N/A</v>
        <stp/>
        <stp>VOLUME</stp>
        <stp>.NDXP260626P24775</stp>
        <tr r="T171" s="2"/>
      </tp>
      <tp t="s">
        <v>N/A</v>
        <stp/>
        <stp>VOLUME</stp>
        <stp>.NDXP260109P24875</stp>
        <tr r="L167" s="2"/>
      </tp>
      <tp t="s">
        <v>N/A</v>
        <stp/>
        <stp>VOLUME</stp>
        <stp>.NDXP260206P24775</stp>
        <tr r="N171" s="2"/>
      </tp>
      <tp t="s">
        <v>N/A</v>
        <stp/>
        <stp>VOLUME</stp>
        <stp>.NDXP260227P24675</stp>
        <tr r="P175" s="2"/>
      </tp>
      <tp t="s">
        <v>N/A</v>
        <stp/>
        <stp>VOLUME</stp>
        <stp>.NDXP260828P24900</stp>
        <tr r="V166" s="2"/>
      </tp>
      <tp t="s">
        <v>N/A</v>
        <stp/>
        <stp>VOLUME</stp>
        <stp>.NDXP260109P24800</stp>
        <tr r="L170" s="2"/>
      </tp>
      <tp t="s">
        <v>N/A</v>
        <stp/>
        <stp>VOLUME</stp>
        <stp>.NDXP260206P24700</stp>
        <tr r="N174" s="2"/>
      </tp>
      <tp t="s">
        <v>N/A</v>
        <stp/>
        <stp>VOLUME</stp>
        <stp>.NDXP260227P24600</stp>
        <tr r="P178" s="2"/>
      </tp>
      <tp t="s">
        <v>N/A</v>
        <stp/>
        <stp>VOLUME</stp>
        <stp>.NDXP260227P25600</stp>
        <tr r="P138" s="2"/>
      </tp>
      <tp t="s">
        <v>N/A</v>
        <stp/>
        <stp>VOLUME</stp>
        <stp>.NDXP260501P25000</stp>
        <tr r="R162" s="2"/>
      </tp>
      <tp t="s">
        <v>N/A</v>
        <stp/>
        <stp>VOLUME</stp>
        <stp>.NDXP260626P24700</stp>
        <tr r="T174" s="2"/>
      </tp>
      <tp>
        <v>24</v>
        <stp/>
        <stp>VOLUME</stp>
        <stp>.NDXP251110P25200</stp>
        <tr r="B154" s="2"/>
        <tr r="B154" s="2"/>
        <tr r="Q153" s="1"/>
        <tr r="Q153" s="1"/>
      </tp>
      <tp>
        <v>13</v>
        <stp/>
        <stp>VOLUME</stp>
        <stp>.NDXP251111P25300</stp>
        <tr r="C150" s="2"/>
        <tr r="C150" s="2"/>
      </tp>
      <tp>
        <v>4</v>
        <stp/>
        <stp>VOLUME</stp>
        <stp>.NDXP251112P25000</stp>
        <tr r="D162" s="2"/>
        <tr r="D162" s="2"/>
      </tp>
      <tp>
        <v>2</v>
        <stp/>
        <stp>VOLUME</stp>
        <stp>.NDXP251113P25100</stp>
        <tr r="E158" s="2"/>
        <tr r="E158" s="2"/>
      </tp>
      <tp>
        <v>1</v>
        <stp/>
        <stp>VOLUME</stp>
        <stp>.NDXP251114P25600</stp>
        <tr r="S137" s="1"/>
        <tr r="S137" s="1"/>
      </tp>
      <tp>
        <v>6</v>
        <stp/>
        <stp>VOLUME</stp>
        <stp>.NDXP251111P24300</stp>
        <tr r="C190" s="2"/>
        <tr r="C190" s="2"/>
      </tp>
      <tp>
        <v>17</v>
        <stp/>
        <stp>VOLUME</stp>
        <stp>.NDXP251114P24600</stp>
        <tr r="S177" s="1"/>
        <tr r="S177" s="1"/>
      </tp>
      <tp t="s">
        <v>N/A</v>
        <stp/>
        <stp>VOLUME</stp>
        <stp>.NDXP261030P25100</stp>
        <tr r="X158" s="2"/>
      </tp>
      <tp t="s">
        <v>N/A</v>
        <stp/>
        <stp>VOLUME</stp>
        <stp>.NDXP251205P24700</stp>
        <tr r="I174" s="2"/>
      </tp>
      <tp t="s">
        <v>N/A</v>
        <stp/>
        <stp>VOLUME</stp>
        <stp>.NDXP251212P25000</stp>
        <tr r="J162" s="2"/>
      </tp>
      <tp t="s">
        <v>N/A</v>
        <stp/>
        <stp>VOLUME</stp>
        <stp>.NDXP260828P24925</stp>
        <tr r="V165" s="2"/>
      </tp>
      <tp t="s">
        <v>N/A</v>
        <stp/>
        <stp>VOLUME</stp>
        <stp>.NDXP260501P25025</stp>
        <tr r="R161" s="2"/>
      </tp>
      <tp t="s">
        <v>N/A</v>
        <stp/>
        <stp>VOLUME</stp>
        <stp>.NDXP260626P24725</stp>
        <tr r="T173" s="2"/>
      </tp>
      <tp t="s">
        <v>N/A</v>
        <stp/>
        <stp>VOLUME</stp>
        <stp>.NDXP260109P24825</stp>
        <tr r="L169" s="2"/>
      </tp>
      <tp t="s">
        <v>N/A</v>
        <stp/>
        <stp>VOLUME</stp>
        <stp>.NDXP260206P24725</stp>
        <tr r="N173" s="2"/>
      </tp>
      <tp t="s">
        <v>N/A</v>
        <stp/>
        <stp>VOLUME</stp>
        <stp>.NDXP260227P24625</stp>
        <tr r="P177" s="2"/>
      </tp>
      <tp t="s">
        <v>N/A</v>
        <stp/>
        <stp>VOLUME</stp>
        <stp>.NDXP261030P25125</stp>
        <tr r="X157" s="2"/>
      </tp>
      <tp t="s">
        <v>N/A</v>
        <stp/>
        <stp>VOLUME</stp>
        <stp>.NDXP251110P25225</stp>
        <tr r="B153" s="2"/>
        <tr r="Q152" s="1"/>
      </tp>
      <tp t="s">
        <v>N/A</v>
        <stp/>
        <stp>VOLUME</stp>
        <stp>.NDXP251111P25325</stp>
        <tr r="C149" s="2"/>
      </tp>
      <tp t="s">
        <v>N/A</v>
        <stp/>
        <stp>VOLUME</stp>
        <stp>.NDXP251112P25025</stp>
        <tr r="D161" s="2"/>
      </tp>
      <tp t="s">
        <v>N/A</v>
        <stp/>
        <stp>VOLUME</stp>
        <stp>.NDXP251113P25125</stp>
        <tr r="E157" s="2"/>
      </tp>
      <tp t="s">
        <v>N/A</v>
        <stp/>
        <stp>VOLUME</stp>
        <stp>.NDXP251111P24325</stp>
        <tr r="C189" s="2"/>
      </tp>
      <tp>
        <v>10</v>
        <stp/>
        <stp>VOLUME</stp>
        <stp>.NDXP251114P24625</stp>
        <tr r="S176" s="1"/>
        <tr r="S176" s="1"/>
      </tp>
      <tp t="s">
        <v>N/A</v>
        <stp/>
        <stp>VOLUME</stp>
        <stp>.NDXP251205P24725</stp>
        <tr r="I173" s="2"/>
      </tp>
      <tp t="s">
        <v>N/A</v>
        <stp/>
        <stp>VOLUME</stp>
        <stp>.NDXP251212P25025</stp>
        <tr r="J161" s="2"/>
      </tp>
      <tp t="s">
        <v>N/A</v>
        <stp/>
        <stp>VOLUME</stp>
        <stp>.NDXP260828C24875</stp>
        <tr r="V167" s="2"/>
      </tp>
      <tp t="s">
        <v>N/A</v>
        <stp/>
        <stp>VOLUME</stp>
        <stp>.NDXP260501C25175</stp>
        <tr r="R155" s="2"/>
      </tp>
      <tp t="s">
        <v>N/A</v>
        <stp/>
        <stp>VOLUME</stp>
        <stp>.NDXP260626C24675</stp>
        <tr r="T175" s="2"/>
      </tp>
      <tp t="s">
        <v>N/A</v>
        <stp/>
        <stp>VOLUME</stp>
        <stp>.NDXP260109C24975</stp>
        <tr r="L163" s="2"/>
      </tp>
      <tp t="s">
        <v>N/A</v>
        <stp/>
        <stp>VOLUME</stp>
        <stp>.NDXP260206C24675</stp>
        <tr r="N175" s="2"/>
      </tp>
      <tp t="s">
        <v>N/A</v>
        <stp/>
        <stp>VOLUME</stp>
        <stp>.NDXP260227C24775</stp>
        <tr r="P171" s="2"/>
      </tp>
      <tp t="s">
        <v>N/A</v>
        <stp/>
        <stp>VOLUME</stp>
        <stp>.NDXP261030C25075</stp>
        <tr r="X159" s="2"/>
      </tp>
      <tp t="s">
        <v>N/A</v>
        <stp/>
        <stp>VOLUME</stp>
        <stp>.NDXP251110C25375</stp>
        <tr r="B147" s="2"/>
        <tr r="P146" s="1"/>
      </tp>
      <tp t="s">
        <v>N/A</v>
        <stp/>
        <stp>VOLUME</stp>
        <stp>.NDXP251111C25275</stp>
        <tr r="C151" s="2"/>
      </tp>
      <tp t="s">
        <v>N/A</v>
        <stp/>
        <stp>VOLUME</stp>
        <stp>.NDXP251112C25175</stp>
        <tr r="D155" s="2"/>
      </tp>
      <tp t="s">
        <v>N/A</v>
        <stp/>
        <stp>VOLUME</stp>
        <stp>.NDXP251113C25075</stp>
        <tr r="E159" s="2"/>
      </tp>
      <tp t="s">
        <v>N/A</v>
        <stp/>
        <stp>VOLUME</stp>
        <stp>.NDXP251110C24375</stp>
        <tr r="B187" s="2"/>
        <tr r="P186" s="1"/>
      </tp>
      <tp>
        <v>2</v>
        <stp/>
        <stp>VOLUME</stp>
        <stp>.NDXP251114C24775</stp>
        <tr r="R170" s="1"/>
        <tr r="R170" s="1"/>
      </tp>
      <tp t="s">
        <v>N/A</v>
        <stp/>
        <stp>VOLUME</stp>
        <stp>.NDXP251205C24675</stp>
        <tr r="I175" s="2"/>
      </tp>
      <tp t="s">
        <v>N/A</v>
        <stp/>
        <stp>VOLUME</stp>
        <stp>.NDXP251212C25175</stp>
        <tr r="J155" s="2"/>
      </tp>
      <tp t="s">
        <v>N/A</v>
        <stp/>
        <stp>VOLUME</stp>
        <stp>.NDXP260828C24850</stp>
        <tr r="V168" s="2"/>
      </tp>
      <tp t="s">
        <v>N/A</v>
        <stp/>
        <stp>VOLUME</stp>
        <stp>.NDXP260109C24950</stp>
        <tr r="L164" s="2"/>
      </tp>
      <tp t="s">
        <v>N/A</v>
        <stp/>
        <stp>VOLUME</stp>
        <stp>.NDXP260206C24650</stp>
        <tr r="N176" s="2"/>
      </tp>
      <tp t="s">
        <v>N/A</v>
        <stp/>
        <stp>VOLUME</stp>
        <stp>.NDXP260227C24750</stp>
        <tr r="P172" s="2"/>
      </tp>
      <tp t="s">
        <v>N/A</v>
        <stp/>
        <stp>VOLUME</stp>
        <stp>.NDXP260501C25150</stp>
        <tr r="R156" s="2"/>
      </tp>
      <tp t="s">
        <v>N/A</v>
        <stp/>
        <stp>VOLUME</stp>
        <stp>.NDXP260626C24650</stp>
        <tr r="T176" s="2"/>
      </tp>
      <tp>
        <v>20</v>
        <stp/>
        <stp>VOLUME</stp>
        <stp>.NDXP251110C25350</stp>
        <tr r="B148" s="2"/>
        <tr r="B148" s="2"/>
        <tr r="P147" s="1"/>
        <tr r="P147" s="1"/>
      </tp>
      <tp>
        <v>2</v>
        <stp/>
        <stp>VOLUME</stp>
        <stp>.NDXP251111C25250</stp>
        <tr r="C152" s="2"/>
        <tr r="C152" s="2"/>
      </tp>
      <tp t="s">
        <v>N/A</v>
        <stp/>
        <stp>VOLUME</stp>
        <stp>.NDXP251112C25150</stp>
        <tr r="D156" s="2"/>
      </tp>
      <tp>
        <v>2</v>
        <stp/>
        <stp>VOLUME</stp>
        <stp>.NDXP251113C25050</stp>
        <tr r="E160" s="2"/>
        <tr r="E160" s="2"/>
      </tp>
      <tp t="s">
        <v>N/A</v>
        <stp/>
        <stp>VOLUME</stp>
        <stp>.NDXP251110C24350</stp>
        <tr r="B188" s="2"/>
        <tr r="P187" s="1"/>
      </tp>
      <tp>
        <v>9</v>
        <stp/>
        <stp>VOLUME</stp>
        <stp>.NDXP251114C24750</stp>
        <tr r="R171" s="1"/>
        <tr r="R171" s="1"/>
      </tp>
      <tp t="s">
        <v>N/A</v>
        <stp/>
        <stp>VOLUME</stp>
        <stp>.NDXP261030C25050</stp>
        <tr r="X160" s="2"/>
      </tp>
      <tp t="s">
        <v>N/A</v>
        <stp/>
        <stp>VOLUME</stp>
        <stp>.NDXP251205C24650</stp>
        <tr r="I176" s="2"/>
      </tp>
      <tp t="s">
        <v>N/A</v>
        <stp/>
        <stp>VOLUME</stp>
        <stp>.NDXP251212C25150</stp>
        <tr r="J156" s="2"/>
      </tp>
      <tp t="s">
        <v>N/A</v>
        <stp/>
        <stp>VOLUME</stp>
        <stp>.NDXP261030C25025</stp>
        <tr r="X161" s="2"/>
      </tp>
      <tp t="s">
        <v>N/A</v>
        <stp/>
        <stp>VOLUME</stp>
        <stp>.NDXP251110C25325</stp>
        <tr r="B149" s="2"/>
        <tr r="P148" s="1"/>
      </tp>
      <tp t="s">
        <v>N/A</v>
        <stp/>
        <stp>VOLUME</stp>
        <stp>.NDXP251111C25225</stp>
        <tr r="C153" s="2"/>
      </tp>
      <tp t="s">
        <v>N/A</v>
        <stp/>
        <stp>VOLUME</stp>
        <stp>.NDXP251112C25125</stp>
        <tr r="D157" s="2"/>
      </tp>
      <tp t="s">
        <v>N/A</v>
        <stp/>
        <stp>VOLUME</stp>
        <stp>.NDXP251113C25025</stp>
        <tr r="E161" s="2"/>
      </tp>
      <tp t="s">
        <v>N/A</v>
        <stp/>
        <stp>VOLUME</stp>
        <stp>.NDXP251110C24325</stp>
        <tr r="B189" s="2"/>
        <tr r="P188" s="1"/>
      </tp>
      <tp>
        <v>2</v>
        <stp/>
        <stp>VOLUME</stp>
        <stp>.NDXP251114C24725</stp>
        <tr r="R172" s="1"/>
        <tr r="R172" s="1"/>
      </tp>
      <tp t="s">
        <v>N/A</v>
        <stp/>
        <stp>VOLUME</stp>
        <stp>.NDXP251205C24625</stp>
        <tr r="I177" s="2"/>
      </tp>
      <tp t="s">
        <v>N/A</v>
        <stp/>
        <stp>VOLUME</stp>
        <stp>.NDXP251212C25125</stp>
        <tr r="J157" s="2"/>
      </tp>
      <tp t="s">
        <v>N/A</v>
        <stp/>
        <stp>VOLUME</stp>
        <stp>.NDXP260828C24825</stp>
        <tr r="V169" s="2"/>
      </tp>
      <tp t="s">
        <v>N/A</v>
        <stp/>
        <stp>VOLUME</stp>
        <stp>.NDXP260501C25125</stp>
        <tr r="R157" s="2"/>
      </tp>
      <tp t="s">
        <v>N/A</v>
        <stp/>
        <stp>VOLUME</stp>
        <stp>.NDXP260626C24625</stp>
        <tr r="T177" s="2"/>
      </tp>
      <tp t="s">
        <v>N/A</v>
        <stp/>
        <stp>VOLUME</stp>
        <stp>.NDXP260109C24925</stp>
        <tr r="L165" s="2"/>
      </tp>
      <tp t="s">
        <v>N/A</v>
        <stp/>
        <stp>VOLUME</stp>
        <stp>.NDXP260206C24625</stp>
        <tr r="N177" s="2"/>
      </tp>
      <tp t="s">
        <v>N/A</v>
        <stp/>
        <stp>VOLUME</stp>
        <stp>.NDXP260227C24725</stp>
        <tr r="P173" s="2"/>
      </tp>
      <tp>
        <v>339</v>
        <stp/>
        <stp>VOLUME</stp>
        <stp>.NDXP251110C25300</stp>
        <tr r="B150" s="2"/>
        <tr r="B150" s="2"/>
        <tr r="P149" s="1"/>
        <tr r="P149" s="1"/>
      </tp>
      <tp>
        <v>2</v>
        <stp/>
        <stp>VOLUME</stp>
        <stp>.NDXP251111C25200</stp>
        <tr r="C154" s="2"/>
        <tr r="C154" s="2"/>
      </tp>
      <tp>
        <v>7</v>
        <stp/>
        <stp>VOLUME</stp>
        <stp>.NDXP251112C25100</stp>
        <tr r="D158" s="2"/>
        <tr r="D158" s="2"/>
      </tp>
      <tp>
        <v>13</v>
        <stp/>
        <stp>VOLUME</stp>
        <stp>.NDXP251113C25000</stp>
        <tr r="E162" s="2"/>
        <tr r="E162" s="2"/>
      </tp>
      <tp t="s">
        <v>N/A</v>
        <stp/>
        <stp>VOLUME</stp>
        <stp>.NDXP251110C24300</stp>
        <tr r="B190" s="2"/>
        <tr r="P189" s="1"/>
      </tp>
      <tp>
        <v>3</v>
        <stp/>
        <stp>VOLUME</stp>
        <stp>.NDXP251114C24700</stp>
        <tr r="R173" s="1"/>
        <tr r="R173" s="1"/>
      </tp>
      <tp t="s">
        <v>N/A</v>
        <stp/>
        <stp>VOLUME</stp>
        <stp>.NDXP261030C25000</stp>
        <tr r="X162" s="2"/>
      </tp>
      <tp t="s">
        <v>N/A</v>
        <stp/>
        <stp>VOLUME</stp>
        <stp>.NDXP251205C24600</stp>
        <tr r="I178" s="2"/>
      </tp>
      <tp t="s">
        <v>N/A</v>
        <stp/>
        <stp>VOLUME</stp>
        <stp>.NDXP251212C25100</stp>
        <tr r="J158" s="2"/>
      </tp>
      <tp>
        <v>1</v>
        <stp/>
        <stp>VOLUME</stp>
        <stp>.NDXP251205C25600</stp>
        <tr r="I138" s="2"/>
        <tr r="I138" s="2"/>
      </tp>
      <tp t="s">
        <v>N/A</v>
        <stp/>
        <stp>VOLUME</stp>
        <stp>.NDXP260828C24800</stp>
        <tr r="V170" s="2"/>
      </tp>
      <tp t="s">
        <v>N/A</v>
        <stp/>
        <stp>VOLUME</stp>
        <stp>.NDXP260109C24900</stp>
        <tr r="L166" s="2"/>
      </tp>
      <tp t="s">
        <v>N/A</v>
        <stp/>
        <stp>VOLUME</stp>
        <stp>.NDXP260206C24600</stp>
        <tr r="N178" s="2"/>
      </tp>
      <tp t="s">
        <v>N/A</v>
        <stp/>
        <stp>VOLUME</stp>
        <stp>.NDXP260206C25600</stp>
        <tr r="N138" s="2"/>
      </tp>
      <tp t="s">
        <v>N/A</v>
        <stp/>
        <stp>VOLUME</stp>
        <stp>.NDXP260227C24700</stp>
        <tr r="P174" s="2"/>
      </tp>
      <tp t="s">
        <v>N/A</v>
        <stp/>
        <stp>VOLUME</stp>
        <stp>.NDXP260501C25100</stp>
        <tr r="R158" s="2"/>
      </tp>
      <tp t="s">
        <v>N/A</v>
        <stp/>
        <stp>VOLUME</stp>
        <stp>.NDXP260626C24600</stp>
        <tr r="T178" s="2"/>
      </tp>
      <tp t="s">
        <v>N/A</v>
        <stp/>
        <stp>VOLUME</stp>
        <stp>.NDXP260626C25600</stp>
        <tr r="T138" s="2"/>
      </tp>
      <tp>
        <v>17</v>
        <stp/>
        <stp>VOLUME</stp>
        <stp>.NDXP251110P25350</stp>
        <tr r="B148" s="2"/>
        <tr r="B148" s="2"/>
        <tr r="Q147" s="1"/>
        <tr r="Q147" s="1"/>
      </tp>
      <tp>
        <v>2</v>
        <stp/>
        <stp>VOLUME</stp>
        <stp>.NDXP251111P25250</stp>
        <tr r="C152" s="2"/>
        <tr r="C152" s="2"/>
      </tp>
      <tp>
        <v>5</v>
        <stp/>
        <stp>VOLUME</stp>
        <stp>.NDXP251112P25150</stp>
        <tr r="D156" s="2"/>
        <tr r="D156" s="2"/>
      </tp>
      <tp>
        <v>1</v>
        <stp/>
        <stp>VOLUME</stp>
        <stp>.NDXP251113P25050</stp>
        <tr r="E160" s="2"/>
        <tr r="E160" s="2"/>
      </tp>
      <tp>
        <v>29</v>
        <stp/>
        <stp>VOLUME</stp>
        <stp>.NDXP251110P24350</stp>
        <tr r="B188" s="2"/>
        <tr r="B188" s="2"/>
        <tr r="Q187" s="1"/>
        <tr r="Q187" s="1"/>
      </tp>
      <tp>
        <v>12</v>
        <stp/>
        <stp>VOLUME</stp>
        <stp>.NDXP251114P24750</stp>
        <tr r="S171" s="1"/>
        <tr r="S171" s="1"/>
      </tp>
      <tp t="s">
        <v>N/A</v>
        <stp/>
        <stp>VOLUME</stp>
        <stp>.NDXP261030P25050</stp>
        <tr r="X160" s="2"/>
      </tp>
      <tp t="s">
        <v>N/A</v>
        <stp/>
        <stp>VOLUME</stp>
        <stp>.NDXP251205P24650</stp>
        <tr r="I176" s="2"/>
      </tp>
      <tp t="s">
        <v>N/A</v>
        <stp/>
        <stp>VOLUME</stp>
        <stp>.NDXP251212P25150</stp>
        <tr r="J156" s="2"/>
      </tp>
      <tp t="s">
        <v>N/A</v>
        <stp/>
        <stp>VOLUME</stp>
        <stp>.NDXP260828P24850</stp>
        <tr r="V168" s="2"/>
      </tp>
      <tp t="s">
        <v>N/A</v>
        <stp/>
        <stp>VOLUME</stp>
        <stp>.NDXP260109P24950</stp>
        <tr r="L164" s="2"/>
      </tp>
      <tp t="s">
        <v>N/A</v>
        <stp/>
        <stp>VOLUME</stp>
        <stp>.NDXP260206P24650</stp>
        <tr r="N176" s="2"/>
      </tp>
      <tp t="s">
        <v>N/A</v>
        <stp/>
        <stp>VOLUME</stp>
        <stp>.NDXP260227P24750</stp>
        <tr r="P172" s="2"/>
      </tp>
      <tp t="s">
        <v>N/A</v>
        <stp/>
        <stp>VOLUME</stp>
        <stp>.NDXP260501P25150</stp>
        <tr r="R156" s="2"/>
      </tp>
      <tp t="s">
        <v>N/A</v>
        <stp/>
        <stp>VOLUME</stp>
        <stp>.NDXP260626P24650</stp>
        <tr r="T176" s="2"/>
      </tp>
      <tp t="s">
        <v>N/A</v>
        <stp/>
        <stp>VOLUME</stp>
        <stp>.NDXP261030P25075</stp>
        <tr r="X159" s="2"/>
      </tp>
      <tp t="s">
        <v>N/A</v>
        <stp/>
        <stp>VOLUME</stp>
        <stp>.NDXP251110P25375</stp>
        <tr r="B147" s="2"/>
        <tr r="Q146" s="1"/>
      </tp>
      <tp t="s">
        <v>N/A</v>
        <stp/>
        <stp>VOLUME</stp>
        <stp>.NDXP251111P25275</stp>
        <tr r="C151" s="2"/>
      </tp>
      <tp t="s">
        <v>N/A</v>
        <stp/>
        <stp>VOLUME</stp>
        <stp>.NDXP251112P25175</stp>
        <tr r="D155" s="2"/>
      </tp>
      <tp t="s">
        <v>N/A</v>
        <stp/>
        <stp>VOLUME</stp>
        <stp>.NDXP251113P25075</stp>
        <tr r="E159" s="2"/>
      </tp>
      <tp t="s">
        <v>N/A</v>
        <stp/>
        <stp>VOLUME</stp>
        <stp>.NDXP251110P24375</stp>
        <tr r="B187" s="2"/>
        <tr r="Q186" s="1"/>
      </tp>
      <tp>
        <v>8</v>
        <stp/>
        <stp>VOLUME</stp>
        <stp>.NDXP251114P24775</stp>
        <tr r="S170" s="1"/>
        <tr r="S170" s="1"/>
      </tp>
      <tp t="s">
        <v>N/A</v>
        <stp/>
        <stp>VOLUME</stp>
        <stp>.NDXP251205P24675</stp>
        <tr r="I175" s="2"/>
      </tp>
      <tp t="s">
        <v>N/A</v>
        <stp/>
        <stp>VOLUME</stp>
        <stp>.NDXP251212P25175</stp>
        <tr r="J155" s="2"/>
      </tp>
      <tp t="s">
        <v>N/A</v>
        <stp/>
        <stp>VOLUME</stp>
        <stp>.NDXP260828P24875</stp>
        <tr r="V167" s="2"/>
      </tp>
      <tp t="s">
        <v>N/A</v>
        <stp/>
        <stp>VOLUME</stp>
        <stp>.NDXP260501P25175</stp>
        <tr r="R155" s="2"/>
      </tp>
      <tp t="s">
        <v>N/A</v>
        <stp/>
        <stp>VOLUME</stp>
        <stp>.NDXP260626P24675</stp>
        <tr r="T175" s="2"/>
      </tp>
      <tp t="s">
        <v>N/A</v>
        <stp/>
        <stp>VOLUME</stp>
        <stp>.NDXP260109P24975</stp>
        <tr r="L163" s="2"/>
      </tp>
      <tp t="s">
        <v>N/A</v>
        <stp/>
        <stp>VOLUME</stp>
        <stp>.NDXP260206P24675</stp>
        <tr r="N175" s="2"/>
      </tp>
      <tp t="s">
        <v>N/A</v>
        <stp/>
        <stp>VOLUME</stp>
        <stp>.NDXP260227P24775</stp>
        <tr r="P171" s="2"/>
      </tp>
      <tp t="s">
        <v>N/A</v>
        <stp/>
        <stp>VOLUME</stp>
        <stp>.NDXP260828P24800</stp>
        <tr r="V170" s="2"/>
      </tp>
      <tp t="s">
        <v>N/A</v>
        <stp/>
        <stp>VOLUME</stp>
        <stp>.NDXP260109P24900</stp>
        <tr r="L166" s="2"/>
      </tp>
      <tp t="s">
        <v>N/A</v>
        <stp/>
        <stp>VOLUME</stp>
        <stp>.NDXP260206P24600</stp>
        <tr r="N178" s="2"/>
      </tp>
      <tp t="s">
        <v>N/A</v>
        <stp/>
        <stp>VOLUME</stp>
        <stp>.NDXP260206P25600</stp>
        <tr r="N138" s="2"/>
      </tp>
      <tp t="s">
        <v>N/A</v>
        <stp/>
        <stp>VOLUME</stp>
        <stp>.NDXP260227P24700</stp>
        <tr r="P174" s="2"/>
      </tp>
      <tp t="s">
        <v>N/A</v>
        <stp/>
        <stp>VOLUME</stp>
        <stp>.NDXP260501P25100</stp>
        <tr r="R158" s="2"/>
      </tp>
      <tp t="s">
        <v>N/A</v>
        <stp/>
        <stp>VOLUME</stp>
        <stp>.NDXP260626P24600</stp>
        <tr r="T178" s="2"/>
      </tp>
      <tp t="s">
        <v>N/A</v>
        <stp/>
        <stp>VOLUME</stp>
        <stp>.NDXP260626P25600</stp>
        <tr r="T138" s="2"/>
      </tp>
      <tp>
        <v>39</v>
        <stp/>
        <stp>VOLUME</stp>
        <stp>.NDXP251110P25300</stp>
        <tr r="B150" s="2"/>
        <tr r="B150" s="2"/>
        <tr r="Q149" s="1"/>
        <tr r="Q149" s="1"/>
      </tp>
      <tp>
        <v>2</v>
        <stp/>
        <stp>VOLUME</stp>
        <stp>.NDXP251111P25200</stp>
        <tr r="C154" s="2"/>
        <tr r="C154" s="2"/>
      </tp>
      <tp>
        <v>1</v>
        <stp/>
        <stp>VOLUME</stp>
        <stp>.NDXP251112P25100</stp>
        <tr r="D158" s="2"/>
        <tr r="D158" s="2"/>
      </tp>
      <tp>
        <v>2</v>
        <stp/>
        <stp>VOLUME</stp>
        <stp>.NDXP251113P25000</stp>
        <tr r="E162" s="2"/>
        <tr r="E162" s="2"/>
      </tp>
      <tp>
        <v>533</v>
        <stp/>
        <stp>VOLUME</stp>
        <stp>.NDXP251110P24300</stp>
        <tr r="B190" s="2"/>
        <tr r="B190" s="2"/>
        <tr r="Q189" s="1"/>
        <tr r="Q189" s="1"/>
      </tp>
      <tp>
        <v>21</v>
        <stp/>
        <stp>VOLUME</stp>
        <stp>.NDXP251114P24700</stp>
        <tr r="S173" s="1"/>
        <tr r="S173" s="1"/>
      </tp>
      <tp t="s">
        <v>N/A</v>
        <stp/>
        <stp>VOLUME</stp>
        <stp>.NDXP261030P25000</stp>
        <tr r="X162" s="2"/>
      </tp>
      <tp t="s">
        <v>N/A</v>
        <stp/>
        <stp>VOLUME</stp>
        <stp>.NDXP251205P24600</stp>
        <tr r="I178" s="2"/>
      </tp>
      <tp t="s">
        <v>N/A</v>
        <stp/>
        <stp>VOLUME</stp>
        <stp>.NDXP251212P25100</stp>
        <tr r="J158" s="2"/>
      </tp>
      <tp t="s">
        <v>N/A</v>
        <stp/>
        <stp>VOLUME</stp>
        <stp>.NDXP251205P25600</stp>
        <tr r="I138" s="2"/>
      </tp>
      <tp t="s">
        <v>N/A</v>
        <stp/>
        <stp>VOLUME</stp>
        <stp>.NDXP260828P24825</stp>
        <tr r="V169" s="2"/>
      </tp>
      <tp t="s">
        <v>N/A</v>
        <stp/>
        <stp>VOLUME</stp>
        <stp>.NDXP260501P25125</stp>
        <tr r="R157" s="2"/>
      </tp>
      <tp t="s">
        <v>N/A</v>
        <stp/>
        <stp>VOLUME</stp>
        <stp>.NDXP260626P24625</stp>
        <tr r="T177" s="2"/>
      </tp>
      <tp t="s">
        <v>N/A</v>
        <stp/>
        <stp>VOLUME</stp>
        <stp>.NDXP260109P24925</stp>
        <tr r="L165" s="2"/>
      </tp>
      <tp t="s">
        <v>N/A</v>
        <stp/>
        <stp>VOLUME</stp>
        <stp>.NDXP260206P24625</stp>
        <tr r="N177" s="2"/>
      </tp>
      <tp t="s">
        <v>N/A</v>
        <stp/>
        <stp>VOLUME</stp>
        <stp>.NDXP260227P24725</stp>
        <tr r="P173" s="2"/>
      </tp>
      <tp t="s">
        <v>N/A</v>
        <stp/>
        <stp>VOLUME</stp>
        <stp>.NDXP261030P25025</stp>
        <tr r="X161" s="2"/>
      </tp>
      <tp t="s">
        <v>N/A</v>
        <stp/>
        <stp>VOLUME</stp>
        <stp>.NDXP251110P25325</stp>
        <tr r="B149" s="2"/>
        <tr r="Q148" s="1"/>
      </tp>
      <tp t="s">
        <v>N/A</v>
        <stp/>
        <stp>VOLUME</stp>
        <stp>.NDXP251111P25225</stp>
        <tr r="C153" s="2"/>
      </tp>
      <tp t="s">
        <v>N/A</v>
        <stp/>
        <stp>VOLUME</stp>
        <stp>.NDXP251112P25125</stp>
        <tr r="D157" s="2"/>
      </tp>
      <tp t="s">
        <v>N/A</v>
        <stp/>
        <stp>VOLUME</stp>
        <stp>.NDXP251113P25025</stp>
        <tr r="E161" s="2"/>
      </tp>
      <tp t="s">
        <v>N/A</v>
        <stp/>
        <stp>VOLUME</stp>
        <stp>.NDXP251110P24325</stp>
        <tr r="B189" s="2"/>
        <tr r="Q188" s="1"/>
      </tp>
      <tp>
        <v>6</v>
        <stp/>
        <stp>VOLUME</stp>
        <stp>.NDXP251114P24725</stp>
        <tr r="S172" s="1"/>
        <tr r="S172" s="1"/>
      </tp>
      <tp t="s">
        <v>N/A</v>
        <stp/>
        <stp>VOLUME</stp>
        <stp>.NDXP251205P24625</stp>
        <tr r="I177" s="2"/>
      </tp>
      <tp t="s">
        <v>N/A</v>
        <stp/>
        <stp>VOLUME</stp>
        <stp>.NDXP251212P25125</stp>
        <tr r="J157" s="2"/>
      </tp>
      <tp>
        <v>1</v>
        <stp/>
        <stp>VOLUME</stp>
        <stp>.NDX251219P25200</stp>
        <tr r="K154" s="2"/>
        <tr r="K154" s="2"/>
      </tp>
      <tp t="s">
        <v>N/A</v>
        <stp/>
        <stp>VOLUME</stp>
        <stp>.NDX251128P25300</stp>
        <tr r="H150" s="2"/>
      </tp>
      <tp t="s">
        <v>N/A</v>
        <stp/>
        <stp>VOLUME</stp>
        <stp>.NDX251128P24300</stp>
        <tr r="H190" s="2"/>
      </tp>
      <tp t="s">
        <v>N/A</v>
        <stp/>
        <stp>VOLUME</stp>
        <stp>.NDX260731P24900</stp>
        <tr r="U166" s="2"/>
      </tp>
      <tp t="s">
        <v>N/A</v>
        <stp/>
        <stp>VOLUME</stp>
        <stp>.NDX260529P25100</stp>
        <tr r="S158" s="2"/>
      </tp>
      <tp t="s">
        <v>N/A</v>
        <stp/>
        <stp>VOLUME</stp>
        <stp>.NDX260130P24800</stp>
        <tr r="M170" s="2"/>
      </tp>
      <tp>
        <v>1</v>
        <stp/>
        <stp>VOLUME</stp>
        <stp>.NDX251219P25225</stp>
        <tr r="K153" s="2"/>
        <tr r="K153" s="2"/>
      </tp>
      <tp t="s">
        <v>N/A</v>
        <stp/>
        <stp>VOLUME</stp>
        <stp>.NDX251128P25325</stp>
        <tr r="H149" s="2"/>
      </tp>
      <tp t="s">
        <v>N/A</v>
        <stp/>
        <stp>VOLUME</stp>
        <stp>.NDX251128P24325</stp>
        <tr r="H189" s="2"/>
      </tp>
      <tp t="s">
        <v>N/A</v>
        <stp/>
        <stp>VOLUME</stp>
        <stp>.NDX260130P24825</stp>
        <tr r="M169" s="2"/>
      </tp>
      <tp t="s">
        <v>N/A</v>
        <stp/>
        <stp>VOLUME</stp>
        <stp>.NDX260731P24925</stp>
        <tr r="U165" s="2"/>
      </tp>
      <tp t="s">
        <v>N/A</v>
        <stp/>
        <stp>VOLUME</stp>
        <stp>.NDX260529P25125</stp>
        <tr r="S157" s="2"/>
      </tp>
      <tp t="s">
        <v>N/A</v>
        <stp/>
        <stp>VOLUME</stp>
        <stp>.NDX260731P24950</stp>
        <tr r="U164" s="2"/>
      </tp>
      <tp t="s">
        <v>N/A</v>
        <stp/>
        <stp>VOLUME</stp>
        <stp>.NDX260529P25150</stp>
        <tr r="S156" s="2"/>
      </tp>
      <tp t="s">
        <v>N/A</v>
        <stp/>
        <stp>VOLUME</stp>
        <stp>.NDX260130P24850</stp>
        <tr r="M168" s="2"/>
      </tp>
      <tp>
        <v>2</v>
        <stp/>
        <stp>VOLUME</stp>
        <stp>.NDX251219P25250</stp>
        <tr r="K152" s="2"/>
        <tr r="K152" s="2"/>
      </tp>
      <tp t="s">
        <v>N/A</v>
        <stp/>
        <stp>VOLUME</stp>
        <stp>.NDX251128P25350</stp>
        <tr r="H148" s="2"/>
      </tp>
      <tp t="s">
        <v>N/A</v>
        <stp/>
        <stp>VOLUME</stp>
        <stp>.NDX251128P24350</stp>
        <tr r="H188" s="2"/>
      </tp>
      <tp t="s">
        <v>N/A</v>
        <stp/>
        <stp>VOLUME</stp>
        <stp>.NDX260130P24875</stp>
        <tr r="M167" s="2"/>
      </tp>
      <tp t="s">
        <v>N/A</v>
        <stp/>
        <stp>VOLUME</stp>
        <stp>.NDX260731P24975</stp>
        <tr r="U163" s="2"/>
      </tp>
      <tp t="s">
        <v>N/A</v>
        <stp/>
        <stp>VOLUME</stp>
        <stp>.NDX260529P25175</stp>
        <tr r="S155" s="2"/>
      </tp>
      <tp>
        <v>1</v>
        <stp/>
        <stp>VOLUME</stp>
        <stp>.NDX251219P25275</stp>
        <tr r="K151" s="2"/>
        <tr r="K151" s="2"/>
      </tp>
      <tp t="s">
        <v>N/A</v>
        <stp/>
        <stp>VOLUME</stp>
        <stp>.NDX251128P25375</stp>
        <tr r="H147" s="2"/>
      </tp>
      <tp t="s">
        <v>N/A</v>
        <stp/>
        <stp>VOLUME</stp>
        <stp>.NDX251128P24375</stp>
        <tr r="H187" s="2"/>
      </tp>
      <tp t="s">
        <v>N/A</v>
        <stp/>
        <stp>VOLUME</stp>
        <stp>.NDX260130C24825</stp>
        <tr r="M169" s="2"/>
      </tp>
      <tp t="s">
        <v>N/A</v>
        <stp/>
        <stp>VOLUME</stp>
        <stp>.NDX260731C24925</stp>
        <tr r="U165" s="2"/>
      </tp>
      <tp t="s">
        <v>N/A</v>
        <stp/>
        <stp>VOLUME</stp>
        <stp>.NDX260529C25125</stp>
        <tr r="S157" s="2"/>
      </tp>
      <tp>
        <v>2</v>
        <stp/>
        <stp>VOLUME</stp>
        <stp>.NDX251219C25225</stp>
        <tr r="K153" s="2"/>
        <tr r="K153" s="2"/>
      </tp>
      <tp t="s">
        <v>N/A</v>
        <stp/>
        <stp>VOLUME</stp>
        <stp>.NDX251128C25325</stp>
        <tr r="H149" s="2"/>
      </tp>
      <tp t="s">
        <v>N/A</v>
        <stp/>
        <stp>VOLUME</stp>
        <stp>.NDX251128C24325</stp>
        <tr r="H189" s="2"/>
      </tp>
      <tp t="s">
        <v>N/A</v>
        <stp/>
        <stp>VOLUME</stp>
        <stp>.NDX260731C24900</stp>
        <tr r="U166" s="2"/>
      </tp>
      <tp t="s">
        <v>N/A</v>
        <stp/>
        <stp>VOLUME</stp>
        <stp>.NDX260529C25100</stp>
        <tr r="S158" s="2"/>
      </tp>
      <tp t="s">
        <v>N/A</v>
        <stp/>
        <stp>VOLUME</stp>
        <stp>.NDX260130C24800</stp>
        <tr r="M170" s="2"/>
      </tp>
      <tp>
        <v>2</v>
        <stp/>
        <stp>VOLUME</stp>
        <stp>.NDX251219C25200</stp>
        <tr r="K154" s="2"/>
        <tr r="K154" s="2"/>
      </tp>
      <tp t="s">
        <v>N/A</v>
        <stp/>
        <stp>VOLUME</stp>
        <stp>.NDX251128C25300</stp>
        <tr r="H150" s="2"/>
      </tp>
      <tp t="s">
        <v>N/A</v>
        <stp/>
        <stp>VOLUME</stp>
        <stp>.NDX251128C24300</stp>
        <tr r="H190" s="2"/>
      </tp>
      <tp>
        <v>4</v>
        <stp/>
        <stp>VOLUME</stp>
        <stp>.NDX251219C25275</stp>
        <tr r="K151" s="2"/>
        <tr r="K151" s="2"/>
      </tp>
      <tp t="s">
        <v>N/A</v>
        <stp/>
        <stp>VOLUME</stp>
        <stp>.NDX251128C25375</stp>
        <tr r="H147" s="2"/>
      </tp>
      <tp t="s">
        <v>N/A</v>
        <stp/>
        <stp>VOLUME</stp>
        <stp>.NDX251128C24375</stp>
        <tr r="H187" s="2"/>
      </tp>
      <tp t="s">
        <v>N/A</v>
        <stp/>
        <stp>VOLUME</stp>
        <stp>.NDX260130C24875</stp>
        <tr r="M167" s="2"/>
      </tp>
      <tp t="s">
        <v>N/A</v>
        <stp/>
        <stp>VOLUME</stp>
        <stp>.NDX260731C24975</stp>
        <tr r="U163" s="2"/>
      </tp>
      <tp t="s">
        <v>N/A</v>
        <stp/>
        <stp>VOLUME</stp>
        <stp>.NDX260529C25175</stp>
        <tr r="S155" s="2"/>
      </tp>
      <tp>
        <v>3</v>
        <stp/>
        <stp>VOLUME</stp>
        <stp>.NDX251219C25250</stp>
        <tr r="K152" s="2"/>
        <tr r="K152" s="2"/>
      </tp>
      <tp t="s">
        <v>N/A</v>
        <stp/>
        <stp>VOLUME</stp>
        <stp>.NDX251128C25350</stp>
        <tr r="H148" s="2"/>
      </tp>
      <tp t="s">
        <v>N/A</v>
        <stp/>
        <stp>VOLUME</stp>
        <stp>.NDX251128C24350</stp>
        <tr r="H188" s="2"/>
      </tp>
      <tp t="s">
        <v>N/A</v>
        <stp/>
        <stp>VOLUME</stp>
        <stp>.NDX260731C24950</stp>
        <tr r="U164" s="2"/>
      </tp>
      <tp t="s">
        <v>N/A</v>
        <stp/>
        <stp>VOLUME</stp>
        <stp>.NDX260529C25150</stp>
        <tr r="S156" s="2"/>
      </tp>
      <tp t="s">
        <v>N/A</v>
        <stp/>
        <stp>VOLUME</stp>
        <stp>.NDX260130C24850</stp>
        <tr r="M168" s="2"/>
      </tp>
      <tp t="s">
        <v>N/A</v>
        <stp/>
        <stp>VOLUME</stp>
        <stp>.NDX251219P24300</stp>
        <tr r="K190" s="2"/>
      </tp>
      <tp>
        <v>5</v>
        <stp/>
        <stp>VOLUME</stp>
        <stp>.NDX251219P25300</stp>
        <tr r="K150" s="2"/>
        <tr r="K150" s="2"/>
      </tp>
      <tp t="s">
        <v>N/A</v>
        <stp/>
        <stp>VOLUME</stp>
        <stp>.NDX251128P25200</stp>
        <tr r="H154" s="2"/>
      </tp>
      <tp t="s">
        <v>N/A</v>
        <stp/>
        <stp>VOLUME</stp>
        <stp>.NDX260731P24800</stp>
        <tr r="U170" s="2"/>
      </tp>
      <tp t="s">
        <v>N/A</v>
        <stp/>
        <stp>VOLUME</stp>
        <stp>.NDX260529P25000</stp>
        <tr r="S162" s="2"/>
      </tp>
      <tp t="s">
        <v>N/A</v>
        <stp/>
        <stp>VOLUME</stp>
        <stp>.NDX260130P24900</stp>
        <tr r="M166" s="2"/>
      </tp>
      <tp t="s">
        <v>N/A</v>
        <stp/>
        <stp>VOLUME</stp>
        <stp>.NDX251219P24325</stp>
        <tr r="K189" s="2"/>
      </tp>
      <tp t="s">
        <v>N/A</v>
        <stp/>
        <stp>VOLUME</stp>
        <stp>.NDX251219P25325</stp>
        <tr r="K149" s="2"/>
      </tp>
      <tp t="s">
        <v>N/A</v>
        <stp/>
        <stp>VOLUME</stp>
        <stp>.NDX251128P25225</stp>
        <tr r="H153" s="2"/>
      </tp>
      <tp t="s">
        <v>N/A</v>
        <stp/>
        <stp>VOLUME</stp>
        <stp>.NDX260130P24925</stp>
        <tr r="M165" s="2"/>
      </tp>
      <tp t="s">
        <v>N/A</v>
        <stp/>
        <stp>VOLUME</stp>
        <stp>.NDX260731P24825</stp>
        <tr r="U169" s="2"/>
      </tp>
      <tp t="s">
        <v>N/A</v>
        <stp/>
        <stp>VOLUME</stp>
        <stp>.NDX260529P25025</stp>
        <tr r="S161" s="2"/>
      </tp>
      <tp t="s">
        <v>N/A</v>
        <stp/>
        <stp>VOLUME</stp>
        <stp>.NDX260731P24850</stp>
        <tr r="U168" s="2"/>
      </tp>
      <tp t="s">
        <v>N/A</v>
        <stp/>
        <stp>VOLUME</stp>
        <stp>.NDX260529P25050</stp>
        <tr r="S160" s="2"/>
      </tp>
      <tp t="s">
        <v>N/A</v>
        <stp/>
        <stp>VOLUME</stp>
        <stp>.NDX260130P24950</stp>
        <tr r="M164" s="2"/>
      </tp>
      <tp>
        <v>2</v>
        <stp/>
        <stp>VOLUME</stp>
        <stp>.NDX251219P24350</stp>
        <tr r="K188" s="2"/>
        <tr r="K188" s="2"/>
      </tp>
      <tp t="s">
        <v>N/A</v>
        <stp/>
        <stp>VOLUME</stp>
        <stp>.NDX251219P25350</stp>
        <tr r="K148" s="2"/>
      </tp>
      <tp t="s">
        <v>N/A</v>
        <stp/>
        <stp>VOLUME</stp>
        <stp>.NDX251128P25250</stp>
        <tr r="H152" s="2"/>
      </tp>
      <tp t="s">
        <v>N/A</v>
        <stp/>
        <stp>VOLUME</stp>
        <stp>.NDX260130P24975</stp>
        <tr r="M163" s="2"/>
      </tp>
      <tp t="s">
        <v>N/A</v>
        <stp/>
        <stp>VOLUME</stp>
        <stp>.NDX260731P24875</stp>
        <tr r="U167" s="2"/>
      </tp>
      <tp t="s">
        <v>N/A</v>
        <stp/>
        <stp>VOLUME</stp>
        <stp>.NDX260529P25075</stp>
        <tr r="S159" s="2"/>
      </tp>
      <tp>
        <v>1</v>
        <stp/>
        <stp>VOLUME</stp>
        <stp>.NDX251219P24375</stp>
        <tr r="K187" s="2"/>
        <tr r="K187" s="2"/>
      </tp>
      <tp t="s">
        <v>N/A</v>
        <stp/>
        <stp>VOLUME</stp>
        <stp>.NDX251219P25375</stp>
        <tr r="K147" s="2"/>
      </tp>
      <tp t="s">
        <v>N/A</v>
        <stp/>
        <stp>VOLUME</stp>
        <stp>.NDX251128P25275</stp>
        <tr r="H151" s="2"/>
      </tp>
      <tp t="s">
        <v>N/A</v>
        <stp/>
        <stp>VOLUME</stp>
        <stp>.NDX260130C24925</stp>
        <tr r="M165" s="2"/>
      </tp>
      <tp t="s">
        <v>N/A</v>
        <stp/>
        <stp>VOLUME</stp>
        <stp>.NDX260731C24825</stp>
        <tr r="U169" s="2"/>
      </tp>
      <tp t="s">
        <v>N/A</v>
        <stp/>
        <stp>VOLUME</stp>
        <stp>.NDX260529C25025</stp>
        <tr r="S161" s="2"/>
      </tp>
      <tp t="s">
        <v>N/A</v>
        <stp/>
        <stp>VOLUME</stp>
        <stp>.NDX251219C24325</stp>
        <tr r="K189" s="2"/>
      </tp>
      <tp t="s">
        <v>N/A</v>
        <stp/>
        <stp>VOLUME</stp>
        <stp>.NDX251219C25325</stp>
        <tr r="K149" s="2"/>
      </tp>
      <tp t="s">
        <v>N/A</v>
        <stp/>
        <stp>VOLUME</stp>
        <stp>.NDX251128C25225</stp>
        <tr r="H153" s="2"/>
      </tp>
      <tp t="s">
        <v>N/A</v>
        <stp/>
        <stp>VOLUME</stp>
        <stp>.NDX260731C24800</stp>
        <tr r="U170" s="2"/>
      </tp>
      <tp t="s">
        <v>N/A</v>
        <stp/>
        <stp>VOLUME</stp>
        <stp>.NDX260529C25000</stp>
        <tr r="S162" s="2"/>
      </tp>
      <tp t="s">
        <v>N/A</v>
        <stp/>
        <stp>VOLUME</stp>
        <stp>.NDX260130C24900</stp>
        <tr r="M166" s="2"/>
      </tp>
      <tp t="s">
        <v>N/A</v>
        <stp/>
        <stp>VOLUME</stp>
        <stp>.NDX251219C24300</stp>
        <tr r="K190" s="2"/>
      </tp>
      <tp>
        <v>2</v>
        <stp/>
        <stp>VOLUME</stp>
        <stp>.NDX251219C25300</stp>
        <tr r="K150" s="2"/>
        <tr r="K150" s="2"/>
      </tp>
      <tp t="s">
        <v>N/A</v>
        <stp/>
        <stp>VOLUME</stp>
        <stp>.NDX251128C25200</stp>
        <tr r="H154" s="2"/>
      </tp>
      <tp>
        <v>2</v>
        <stp/>
        <stp>VOLUME</stp>
        <stp>.NDX251219C24375</stp>
        <tr r="K187" s="2"/>
        <tr r="K187" s="2"/>
      </tp>
      <tp t="s">
        <v>N/A</v>
        <stp/>
        <stp>VOLUME</stp>
        <stp>.NDX251219C25375</stp>
        <tr r="K147" s="2"/>
      </tp>
      <tp t="s">
        <v>N/A</v>
        <stp/>
        <stp>VOLUME</stp>
        <stp>.NDX251128C25275</stp>
        <tr r="H151" s="2"/>
      </tp>
      <tp t="s">
        <v>N/A</v>
        <stp/>
        <stp>VOLUME</stp>
        <stp>.NDX260130C24975</stp>
        <tr r="M163" s="2"/>
      </tp>
      <tp t="s">
        <v>N/A</v>
        <stp/>
        <stp>VOLUME</stp>
        <stp>.NDX260731C24875</stp>
        <tr r="U167" s="2"/>
      </tp>
      <tp t="s">
        <v>N/A</v>
        <stp/>
        <stp>VOLUME</stp>
        <stp>.NDX260529C25075</stp>
        <tr r="S159" s="2"/>
      </tp>
      <tp>
        <v>2</v>
        <stp/>
        <stp>VOLUME</stp>
        <stp>.NDX251219C24350</stp>
        <tr r="K188" s="2"/>
        <tr r="K188" s="2"/>
      </tp>
      <tp t="s">
        <v>N/A</v>
        <stp/>
        <stp>VOLUME</stp>
        <stp>.NDX251219C25350</stp>
        <tr r="K148" s="2"/>
      </tp>
      <tp t="s">
        <v>N/A</v>
        <stp/>
        <stp>VOLUME</stp>
        <stp>.NDX251128C25250</stp>
        <tr r="H152" s="2"/>
      </tp>
      <tp t="s">
        <v>N/A</v>
        <stp/>
        <stp>VOLUME</stp>
        <stp>.NDX260731C24850</stp>
        <tr r="U168" s="2"/>
      </tp>
      <tp t="s">
        <v>N/A</v>
        <stp/>
        <stp>VOLUME</stp>
        <stp>.NDX260529C25050</stp>
        <tr r="S160" s="2"/>
      </tp>
      <tp t="s">
        <v>N/A</v>
        <stp/>
        <stp>VOLUME</stp>
        <stp>.NDX260130C24950</stp>
        <tr r="M164" s="2"/>
      </tp>
      <tp>
        <v>31</v>
        <stp/>
        <stp>VOLUME</stp>
        <stp>.NDX251219P25000</stp>
        <tr r="K162" s="2"/>
        <tr r="K162" s="2"/>
      </tp>
      <tp t="s">
        <v>N/A</v>
        <stp/>
        <stp>VOLUME</stp>
        <stp>.NDX251231P24800</stp>
        <tr r="O170" s="2"/>
      </tp>
      <tp t="s">
        <v>N/A</v>
        <stp/>
        <stp>VOLUME</stp>
        <stp>.NDX251128P25100</stp>
        <tr r="H158" s="2"/>
      </tp>
      <tp>
        <v>6</v>
        <stp/>
        <stp>VOLUME</stp>
        <stp>.NDX251121P24800</stp>
        <tr r="U169" s="1"/>
        <tr r="U169" s="1"/>
      </tp>
      <tp t="s">
        <v>N/A</v>
        <stp/>
        <stp>VOLUME</stp>
        <stp>.NDX261002P24800</stp>
        <tr r="W170" s="2"/>
      </tp>
      <tp t="s">
        <v>N/A</v>
        <stp/>
        <stp>VOLUME</stp>
        <stp>.NDX260529P25300</stp>
        <tr r="S150" s="2"/>
      </tp>
      <tp t="s">
        <v>N/A</v>
        <stp/>
        <stp>VOLUME</stp>
        <stp>.NDX260529P24300</stp>
        <tr r="S190" s="2"/>
      </tp>
      <tp t="s">
        <v>N/A</v>
        <stp/>
        <stp>VOLUME</stp>
        <stp>.NDX260403P24900</stp>
        <tr r="Q166" s="2"/>
      </tp>
      <tp>
        <v>23</v>
        <stp/>
        <stp>VOLUME</stp>
        <stp>.NDX251219P25025</stp>
        <tr r="K161" s="2"/>
        <tr r="K161" s="2"/>
      </tp>
      <tp t="s">
        <v>N/A</v>
        <stp/>
        <stp>VOLUME</stp>
        <stp>.NDX251231P24825</stp>
        <tr r="O169" s="2"/>
      </tp>
      <tp t="s">
        <v>N/A</v>
        <stp/>
        <stp>VOLUME</stp>
        <stp>.NDX261002P24825</stp>
        <tr r="W169" s="2"/>
      </tp>
      <tp t="s">
        <v>N/A</v>
        <stp/>
        <stp>VOLUME</stp>
        <stp>.NDX251128P25125</stp>
        <tr r="H157" s="2"/>
      </tp>
      <tp>
        <v>1</v>
        <stp/>
        <stp>VOLUME</stp>
        <stp>.NDX251121P24825</stp>
        <tr r="U168" s="1"/>
        <tr r="U168" s="1"/>
      </tp>
      <tp t="s">
        <v>N/A</v>
        <stp/>
        <stp>VOLUME</stp>
        <stp>.NDX260403P24925</stp>
        <tr r="Q165" s="2"/>
      </tp>
      <tp t="s">
        <v>N/A</v>
        <stp/>
        <stp>VOLUME</stp>
        <stp>.NDX260529P25325</stp>
        <tr r="S149" s="2"/>
      </tp>
      <tp t="s">
        <v>N/A</v>
        <stp/>
        <stp>VOLUME</stp>
        <stp>.NDX260529P24325</stp>
        <tr r="S189" s="2"/>
      </tp>
      <tp t="s">
        <v>N/A</v>
        <stp/>
        <stp>VOLUME</stp>
        <stp>.NDX260529P25350</stp>
        <tr r="S148" s="2"/>
      </tp>
      <tp t="s">
        <v>N/A</v>
        <stp/>
        <stp>VOLUME</stp>
        <stp>.NDX260529P24350</stp>
        <tr r="S188" s="2"/>
      </tp>
      <tp t="s">
        <v>N/A</v>
        <stp/>
        <stp>VOLUME</stp>
        <stp>.NDX260403P24950</stp>
        <tr r="Q164" s="2"/>
      </tp>
      <tp>
        <v>2</v>
        <stp/>
        <stp>VOLUME</stp>
        <stp>.NDX251219P25050</stp>
        <tr r="K160" s="2"/>
        <tr r="K160" s="2"/>
      </tp>
      <tp t="s">
        <v>N/A</v>
        <stp/>
        <stp>VOLUME</stp>
        <stp>.NDX251231P24850</stp>
        <tr r="O168" s="2"/>
      </tp>
      <tp t="s">
        <v>N/A</v>
        <stp/>
        <stp>VOLUME</stp>
        <stp>.NDX251128P25150</stp>
        <tr r="H156" s="2"/>
      </tp>
      <tp t="s">
        <v>N/A</v>
        <stp/>
        <stp>VOLUME</stp>
        <stp>.NDX251121P24850</stp>
        <tr r="U167" s="1"/>
      </tp>
      <tp t="s">
        <v>N/A</v>
        <stp/>
        <stp>VOLUME</stp>
        <stp>.NDX261002P24850</stp>
        <tr r="W168" s="2"/>
      </tp>
      <tp t="s">
        <v>N/A</v>
        <stp/>
        <stp>VOLUME</stp>
        <stp>.NDX260403P24975</stp>
        <tr r="Q163" s="2"/>
      </tp>
      <tp t="s">
        <v>N/A</v>
        <stp/>
        <stp>VOLUME</stp>
        <stp>.NDX260529P25375</stp>
        <tr r="S147" s="2"/>
      </tp>
      <tp t="s">
        <v>N/A</v>
        <stp/>
        <stp>VOLUME</stp>
        <stp>.NDX260529P24375</stp>
        <tr r="S187" s="2"/>
      </tp>
      <tp>
        <v>2</v>
        <stp/>
        <stp>VOLUME</stp>
        <stp>.NDX251219P25075</stp>
        <tr r="K159" s="2"/>
        <tr r="K159" s="2"/>
      </tp>
      <tp t="s">
        <v>N/A</v>
        <stp/>
        <stp>VOLUME</stp>
        <stp>.NDX251231P24875</stp>
        <tr r="O167" s="2"/>
      </tp>
      <tp t="s">
        <v>N/A</v>
        <stp/>
        <stp>VOLUME</stp>
        <stp>.NDX261002P24875</stp>
        <tr r="W167" s="2"/>
      </tp>
      <tp t="s">
        <v>N/A</v>
        <stp/>
        <stp>VOLUME</stp>
        <stp>.NDX251128P25175</stp>
        <tr r="H155" s="2"/>
      </tp>
      <tp>
        <v>9</v>
        <stp/>
        <stp>VOLUME</stp>
        <stp>.NDX251121P24875</stp>
        <tr r="U166" s="1"/>
        <tr r="U166" s="1"/>
      </tp>
      <tp t="s">
        <v>N/A</v>
        <stp/>
        <stp>VOLUME</stp>
        <stp>.NDX260403C24925</stp>
        <tr r="Q165" s="2"/>
      </tp>
      <tp t="s">
        <v>N/A</v>
        <stp/>
        <stp>VOLUME</stp>
        <stp>.NDX260529C25325</stp>
        <tr r="S149" s="2"/>
      </tp>
      <tp t="s">
        <v>N/A</v>
        <stp/>
        <stp>VOLUME</stp>
        <stp>.NDX260529C24325</stp>
        <tr r="S189" s="2"/>
      </tp>
      <tp>
        <v>24</v>
        <stp/>
        <stp>VOLUME</stp>
        <stp>.NDX251219C25025</stp>
        <tr r="K161" s="2"/>
        <tr r="K161" s="2"/>
      </tp>
      <tp t="s">
        <v>N/A</v>
        <stp/>
        <stp>VOLUME</stp>
        <stp>.NDX251231C24825</stp>
        <tr r="O169" s="2"/>
      </tp>
      <tp t="s">
        <v>N/A</v>
        <stp/>
        <stp>VOLUME</stp>
        <stp>.NDX261002C24825</stp>
        <tr r="W169" s="2"/>
      </tp>
      <tp t="s">
        <v>N/A</v>
        <stp/>
        <stp>VOLUME</stp>
        <stp>.NDX251128C25125</stp>
        <tr r="H157" s="2"/>
      </tp>
      <tp>
        <v>1</v>
        <stp/>
        <stp>VOLUME</stp>
        <stp>.NDX251121C24825</stp>
        <tr r="T168" s="1"/>
        <tr r="T168" s="1"/>
      </tp>
      <tp t="s">
        <v>N/A</v>
        <stp/>
        <stp>VOLUME</stp>
        <stp>.NDX260529C25300</stp>
        <tr r="S150" s="2"/>
      </tp>
      <tp t="s">
        <v>N/A</v>
        <stp/>
        <stp>VOLUME</stp>
        <stp>.NDX260529C24300</stp>
        <tr r="S190" s="2"/>
      </tp>
      <tp t="s">
        <v>N/A</v>
        <stp/>
        <stp>VOLUME</stp>
        <stp>.NDX260403C24900</stp>
        <tr r="Q166" s="2"/>
      </tp>
      <tp>
        <v>39</v>
        <stp/>
        <stp>VOLUME</stp>
        <stp>.NDX251219C25000</stp>
        <tr r="K162" s="2"/>
        <tr r="K162" s="2"/>
      </tp>
      <tp t="s">
        <v>N/A</v>
        <stp/>
        <stp>VOLUME</stp>
        <stp>.NDX251231C24800</stp>
        <tr r="O170" s="2"/>
      </tp>
      <tp t="s">
        <v>N/A</v>
        <stp/>
        <stp>VOLUME</stp>
        <stp>.NDX251128C25100</stp>
        <tr r="H158" s="2"/>
      </tp>
      <tp>
        <v>9</v>
        <stp/>
        <stp>VOLUME</stp>
        <stp>.NDX251121C24800</stp>
        <tr r="T169" s="1"/>
        <tr r="T169" s="1"/>
      </tp>
      <tp t="s">
        <v>N/A</v>
        <stp/>
        <stp>VOLUME</stp>
        <stp>.NDX261002C24800</stp>
        <tr r="W170" s="2"/>
      </tp>
      <tp>
        <v>1</v>
        <stp/>
        <stp>VOLUME</stp>
        <stp>.NDX251219C25075</stp>
        <tr r="K159" s="2"/>
        <tr r="K159" s="2"/>
      </tp>
      <tp t="s">
        <v>N/A</v>
        <stp/>
        <stp>VOLUME</stp>
        <stp>.NDX251231C24875</stp>
        <tr r="O167" s="2"/>
      </tp>
      <tp t="s">
        <v>N/A</v>
        <stp/>
        <stp>VOLUME</stp>
        <stp>.NDX261002C24875</stp>
        <tr r="W167" s="2"/>
      </tp>
      <tp t="s">
        <v>N/A</v>
        <stp/>
        <stp>VOLUME</stp>
        <stp>.NDX251128C25175</stp>
        <tr r="H155" s="2"/>
      </tp>
      <tp t="s">
        <v>N/A</v>
        <stp/>
        <stp>VOLUME</stp>
        <stp>.NDX251121C24875</stp>
        <tr r="T166" s="1"/>
      </tp>
      <tp t="s">
        <v>N/A</v>
        <stp/>
        <stp>VOLUME</stp>
        <stp>.NDX260403C24975</stp>
        <tr r="Q163" s="2"/>
      </tp>
      <tp t="s">
        <v>N/A</v>
        <stp/>
        <stp>VOLUME</stp>
        <stp>.NDX260529C25375</stp>
        <tr r="S147" s="2"/>
      </tp>
      <tp t="s">
        <v>N/A</v>
        <stp/>
        <stp>VOLUME</stp>
        <stp>.NDX260529C24375</stp>
        <tr r="S187" s="2"/>
      </tp>
      <tp t="s">
        <v>N/A</v>
        <stp/>
        <stp>VOLUME</stp>
        <stp>.NDX251219C25050</stp>
        <tr r="K160" s="2"/>
      </tp>
      <tp t="s">
        <v>N/A</v>
        <stp/>
        <stp>VOLUME</stp>
        <stp>.NDX251231C24850</stp>
        <tr r="O168" s="2"/>
      </tp>
      <tp t="s">
        <v>N/A</v>
        <stp/>
        <stp>VOLUME</stp>
        <stp>.NDX251128C25150</stp>
        <tr r="H156" s="2"/>
      </tp>
      <tp t="s">
        <v>N/A</v>
        <stp/>
        <stp>VOLUME</stp>
        <stp>.NDX251121C24850</stp>
        <tr r="T167" s="1"/>
      </tp>
      <tp t="s">
        <v>N/A</v>
        <stp/>
        <stp>VOLUME</stp>
        <stp>.NDX261002C24850</stp>
        <tr r="W168" s="2"/>
      </tp>
      <tp t="s">
        <v>N/A</v>
        <stp/>
        <stp>VOLUME</stp>
        <stp>.NDX260529C25350</stp>
        <tr r="S148" s="2"/>
      </tp>
      <tp t="s">
        <v>N/A</v>
        <stp/>
        <stp>VOLUME</stp>
        <stp>.NDX260529C24350</stp>
        <tr r="S188" s="2"/>
      </tp>
      <tp t="s">
        <v>N/A</v>
        <stp/>
        <stp>VOLUME</stp>
        <stp>.NDX260403C24950</stp>
        <tr r="Q164" s="2"/>
      </tp>
      <tp>
        <v>16</v>
        <stp/>
        <stp>VOLUME</stp>
        <stp>.NDX251219P25100</stp>
        <tr r="K158" s="2"/>
        <tr r="K158" s="2"/>
      </tp>
      <tp t="s">
        <v>N/A</v>
        <stp/>
        <stp>VOLUME</stp>
        <stp>.NDX251231P24900</stp>
        <tr r="O166" s="2"/>
      </tp>
      <tp t="s">
        <v>N/A</v>
        <stp/>
        <stp>VOLUME</stp>
        <stp>.NDX251128P25000</stp>
        <tr r="H162" s="2"/>
      </tp>
      <tp>
        <v>10</v>
        <stp/>
        <stp>VOLUME</stp>
        <stp>.NDX251121P24900</stp>
        <tr r="U165" s="1"/>
        <tr r="U165" s="1"/>
      </tp>
      <tp t="s">
        <v>N/A</v>
        <stp/>
        <stp>VOLUME</stp>
        <stp>.NDX261002P24900</stp>
        <tr r="W166" s="2"/>
      </tp>
      <tp t="s">
        <v>N/A</v>
        <stp/>
        <stp>VOLUME</stp>
        <stp>.NDX260529P25200</stp>
        <tr r="S154" s="2"/>
      </tp>
      <tp t="s">
        <v>N/A</v>
        <stp/>
        <stp>VOLUME</stp>
        <stp>.NDX260403P24800</stp>
        <tr r="Q170" s="2"/>
      </tp>
      <tp>
        <v>1</v>
        <stp/>
        <stp>VOLUME</stp>
        <stp>.NDX251219P25125</stp>
        <tr r="K157" s="2"/>
        <tr r="K157" s="2"/>
      </tp>
      <tp t="s">
        <v>N/A</v>
        <stp/>
        <stp>VOLUME</stp>
        <stp>.NDX251231P24925</stp>
        <tr r="O165" s="2"/>
      </tp>
      <tp t="s">
        <v>N/A</v>
        <stp/>
        <stp>VOLUME</stp>
        <stp>.NDX261002P24925</stp>
        <tr r="W165" s="2"/>
      </tp>
      <tp t="s">
        <v>N/A</v>
        <stp/>
        <stp>VOLUME</stp>
        <stp>.NDX251128P25025</stp>
        <tr r="H161" s="2"/>
      </tp>
      <tp>
        <v>1</v>
        <stp/>
        <stp>VOLUME</stp>
        <stp>.NDX251121P24925</stp>
        <tr r="U164" s="1"/>
        <tr r="U164" s="1"/>
      </tp>
      <tp t="s">
        <v>N/A</v>
        <stp/>
        <stp>VOLUME</stp>
        <stp>.NDX260403P24825</stp>
        <tr r="Q169" s="2"/>
      </tp>
      <tp t="s">
        <v>N/A</v>
        <stp/>
        <stp>VOLUME</stp>
        <stp>.NDX260529P25225</stp>
        <tr r="S153" s="2"/>
      </tp>
      <tp t="s">
        <v>N/A</v>
        <stp/>
        <stp>VOLUME</stp>
        <stp>.NDX260529P25250</stp>
        <tr r="S152" s="2"/>
      </tp>
      <tp t="s">
        <v>N/A</v>
        <stp/>
        <stp>VOLUME</stp>
        <stp>.NDX260403P24850</stp>
        <tr r="Q168" s="2"/>
      </tp>
      <tp>
        <v>1</v>
        <stp/>
        <stp>VOLUME</stp>
        <stp>.NDX251219P25150</stp>
        <tr r="K156" s="2"/>
        <tr r="K156" s="2"/>
      </tp>
      <tp t="s">
        <v>N/A</v>
        <stp/>
        <stp>VOLUME</stp>
        <stp>.NDX251231P24950</stp>
        <tr r="O164" s="2"/>
      </tp>
      <tp t="s">
        <v>N/A</v>
        <stp/>
        <stp>VOLUME</stp>
        <stp>.NDX251128P25050</stp>
        <tr r="H160" s="2"/>
      </tp>
      <tp>
        <v>25</v>
        <stp/>
        <stp>VOLUME</stp>
        <stp>.NDX251121P24950</stp>
        <tr r="U163" s="1"/>
        <tr r="U163" s="1"/>
      </tp>
      <tp t="s">
        <v>N/A</v>
        <stp/>
        <stp>VOLUME</stp>
        <stp>.NDX261002P24950</stp>
        <tr r="W164" s="2"/>
      </tp>
      <tp t="s">
        <v>N/A</v>
        <stp/>
        <stp>VOLUME</stp>
        <stp>.NDX260403P24875</stp>
        <tr r="Q167" s="2"/>
      </tp>
      <tp t="s">
        <v>N/A</v>
        <stp/>
        <stp>VOLUME</stp>
        <stp>.NDX260529P25275</stp>
        <tr r="S151" s="2"/>
      </tp>
      <tp t="s">
        <v>N/A</v>
        <stp/>
        <stp>VOLUME</stp>
        <stp>.NDX251219P25175</stp>
        <tr r="K155" s="2"/>
      </tp>
      <tp t="s">
        <v>N/A</v>
        <stp/>
        <stp>VOLUME</stp>
        <stp>.NDX251231P24975</stp>
        <tr r="O163" s="2"/>
      </tp>
      <tp t="s">
        <v>N/A</v>
        <stp/>
        <stp>VOLUME</stp>
        <stp>.NDX261002P24975</stp>
        <tr r="W163" s="2"/>
      </tp>
      <tp t="s">
        <v>N/A</v>
        <stp/>
        <stp>VOLUME</stp>
        <stp>.NDX251128P25075</stp>
        <tr r="H159" s="2"/>
      </tp>
      <tp>
        <v>2</v>
        <stp/>
        <stp>VOLUME</stp>
        <stp>.NDX251121P24975</stp>
        <tr r="U162" s="1"/>
        <tr r="U162" s="1"/>
      </tp>
      <tp t="s">
        <v>N/A</v>
        <stp/>
        <stp>VOLUME</stp>
        <stp>.NDX260403C24825</stp>
        <tr r="Q169" s="2"/>
      </tp>
      <tp t="s">
        <v>N/A</v>
        <stp/>
        <stp>VOLUME</stp>
        <stp>.NDX260529C25225</stp>
        <tr r="S153" s="2"/>
      </tp>
      <tp>
        <v>2</v>
        <stp/>
        <stp>VOLUME</stp>
        <stp>.NDX251219C25125</stp>
        <tr r="K157" s="2"/>
        <tr r="K157" s="2"/>
      </tp>
      <tp t="s">
        <v>N/A</v>
        <stp/>
        <stp>VOLUME</stp>
        <stp>.NDX251231C24925</stp>
        <tr r="O165" s="2"/>
      </tp>
      <tp t="s">
        <v>N/A</v>
        <stp/>
        <stp>VOLUME</stp>
        <stp>.NDX261002C24925</stp>
        <tr r="W165" s="2"/>
      </tp>
      <tp t="s">
        <v>N/A</v>
        <stp/>
        <stp>VOLUME</stp>
        <stp>.NDX251128C25025</stp>
        <tr r="H161" s="2"/>
      </tp>
      <tp>
        <v>7</v>
        <stp/>
        <stp>VOLUME</stp>
        <stp>.NDX251121C24925</stp>
        <tr r="T164" s="1"/>
        <tr r="T164" s="1"/>
      </tp>
      <tp t="s">
        <v>N/A</v>
        <stp/>
        <stp>VOLUME</stp>
        <stp>.NDX260529C25200</stp>
        <tr r="S154" s="2"/>
      </tp>
      <tp t="s">
        <v>N/A</v>
        <stp/>
        <stp>VOLUME</stp>
        <stp>.NDX260403C24800</stp>
        <tr r="Q170" s="2"/>
      </tp>
      <tp>
        <v>10</v>
        <stp/>
        <stp>VOLUME</stp>
        <stp>.NDX251219C25100</stp>
        <tr r="K158" s="2"/>
        <tr r="K158" s="2"/>
      </tp>
      <tp t="s">
        <v>N/A</v>
        <stp/>
        <stp>VOLUME</stp>
        <stp>.NDX251231C24900</stp>
        <tr r="O166" s="2"/>
      </tp>
      <tp t="s">
        <v>N/A</v>
        <stp/>
        <stp>VOLUME</stp>
        <stp>.NDX251128C25000</stp>
        <tr r="H162" s="2"/>
      </tp>
      <tp>
        <v>4</v>
        <stp/>
        <stp>VOLUME</stp>
        <stp>.NDX251121C24900</stp>
        <tr r="T165" s="1"/>
        <tr r="T165" s="1"/>
      </tp>
      <tp t="s">
        <v>N/A</v>
        <stp/>
        <stp>VOLUME</stp>
        <stp>.NDX261002C24900</stp>
        <tr r="W166" s="2"/>
      </tp>
      <tp>
        <v>1</v>
        <stp/>
        <stp>VOLUME</stp>
        <stp>.NDX251219C25175</stp>
        <tr r="K155" s="2"/>
        <tr r="K155" s="2"/>
      </tp>
      <tp t="s">
        <v>N/A</v>
        <stp/>
        <stp>VOLUME</stp>
        <stp>.NDX251231C24975</stp>
        <tr r="O163" s="2"/>
      </tp>
      <tp t="s">
        <v>N/A</v>
        <stp/>
        <stp>VOLUME</stp>
        <stp>.NDX261002C24975</stp>
        <tr r="W163" s="2"/>
      </tp>
      <tp t="s">
        <v>N/A</v>
        <stp/>
        <stp>VOLUME</stp>
        <stp>.NDX251128C25075</stp>
        <tr r="H159" s="2"/>
      </tp>
      <tp>
        <v>2</v>
        <stp/>
        <stp>VOLUME</stp>
        <stp>.NDX251121C24975</stp>
        <tr r="T162" s="1"/>
        <tr r="T162" s="1"/>
      </tp>
      <tp t="s">
        <v>N/A</v>
        <stp/>
        <stp>VOLUME</stp>
        <stp>.NDX260403C24875</stp>
        <tr r="Q167" s="2"/>
      </tp>
      <tp t="s">
        <v>N/A</v>
        <stp/>
        <stp>VOLUME</stp>
        <stp>.NDX260529C25275</stp>
        <tr r="S151" s="2"/>
      </tp>
      <tp>
        <v>1</v>
        <stp/>
        <stp>VOLUME</stp>
        <stp>.NDX251219C25150</stp>
        <tr r="K156" s="2"/>
        <tr r="K156" s="2"/>
      </tp>
      <tp t="s">
        <v>N/A</v>
        <stp/>
        <stp>VOLUME</stp>
        <stp>.NDX251231C24950</stp>
        <tr r="O164" s="2"/>
      </tp>
      <tp t="s">
        <v>N/A</v>
        <stp/>
        <stp>VOLUME</stp>
        <stp>.NDX251128C25050</stp>
        <tr r="H160" s="2"/>
      </tp>
      <tp>
        <v>5</v>
        <stp/>
        <stp>VOLUME</stp>
        <stp>.NDX251121C24950</stp>
        <tr r="T163" s="1"/>
        <tr r="T163" s="1"/>
      </tp>
      <tp t="s">
        <v>N/A</v>
        <stp/>
        <stp>VOLUME</stp>
        <stp>.NDX261002C24950</stp>
        <tr r="W164" s="2"/>
      </tp>
      <tp t="s">
        <v>N/A</v>
        <stp/>
        <stp>VOLUME</stp>
        <stp>.NDX260529C25250</stp>
        <tr r="S152" s="2"/>
      </tp>
      <tp t="s">
        <v>N/A</v>
        <stp/>
        <stp>VOLUME</stp>
        <stp>.NDX260403C24850</stp>
        <tr r="Q168" s="2"/>
      </tp>
      <tp>
        <v>69</v>
        <stp/>
        <stp>VOLUME</stp>
        <stp>.NDX251219P24600</stp>
        <tr r="K178" s="2"/>
        <tr r="K178" s="2"/>
      </tp>
      <tp t="s">
        <v>N/A</v>
        <stp/>
        <stp>VOLUME</stp>
        <stp>.NDX251219P25600</stp>
        <tr r="K138" s="2"/>
      </tp>
      <tp t="s">
        <v>N/A</v>
        <stp/>
        <stp>VOLUME</stp>
        <stp>.NDX251128P24700</stp>
        <tr r="H174" s="2"/>
      </tp>
      <tp t="s">
        <v>N/A</v>
        <stp/>
        <stp>VOLUME</stp>
        <stp>.NDX260529P25500</stp>
        <tr r="S142" s="2"/>
      </tp>
      <tp t="s">
        <v>N/A</v>
        <stp/>
        <stp>VOLUME</stp>
        <stp>.NDX260529P24500</stp>
        <tr r="S182" s="2"/>
      </tp>
      <tp t="s">
        <v>N/A</v>
        <stp/>
        <stp>VOLUME</stp>
        <stp>.NDX251219P24625</stp>
        <tr r="K177" s="2"/>
      </tp>
      <tp t="s">
        <v>N/A</v>
        <stp/>
        <stp>VOLUME</stp>
        <stp>.NDX251128P24725</stp>
        <tr r="H173" s="2"/>
      </tp>
      <tp t="s">
        <v>N/A</v>
        <stp/>
        <stp>VOLUME</stp>
        <stp>.NDX260529P25525</stp>
        <tr r="S141" s="2"/>
      </tp>
      <tp t="s">
        <v>N/A</v>
        <stp/>
        <stp>VOLUME</stp>
        <stp>.NDX260529P24525</stp>
        <tr r="S181" s="2"/>
      </tp>
      <tp t="s">
        <v>N/A</v>
        <stp/>
        <stp>VOLUME</stp>
        <stp>.NDX260529P25550</stp>
        <tr r="S140" s="2"/>
      </tp>
      <tp t="s">
        <v>N/A</v>
        <stp/>
        <stp>VOLUME</stp>
        <stp>.NDX260529P24550</stp>
        <tr r="S180" s="2"/>
      </tp>
      <tp>
        <v>2</v>
        <stp/>
        <stp>VOLUME</stp>
        <stp>.NDX251219P24650</stp>
        <tr r="K176" s="2"/>
        <tr r="K176" s="2"/>
      </tp>
      <tp t="s">
        <v>N/A</v>
        <stp/>
        <stp>VOLUME</stp>
        <stp>.NDX251128P24750</stp>
        <tr r="H172" s="2"/>
      </tp>
      <tp t="s">
        <v>N/A</v>
        <stp/>
        <stp>VOLUME</stp>
        <stp>.NDX260529P25575</stp>
        <tr r="S139" s="2"/>
      </tp>
      <tp t="s">
        <v>N/A</v>
        <stp/>
        <stp>VOLUME</stp>
        <stp>.NDX260529P24575</stp>
        <tr r="S179" s="2"/>
      </tp>
      <tp t="s">
        <v>N/A</v>
        <stp/>
        <stp>VOLUME</stp>
        <stp>.NDX251219P24675</stp>
        <tr r="K175" s="2"/>
      </tp>
      <tp t="s">
        <v>N/A</v>
        <stp/>
        <stp>VOLUME</stp>
        <stp>.NDX251128P24775</stp>
        <tr r="H171" s="2"/>
      </tp>
      <tp t="s">
        <v>N/A</v>
        <stp/>
        <stp>VOLUME</stp>
        <stp>.NDX260529C25525</stp>
        <tr r="S141" s="2"/>
      </tp>
      <tp t="s">
        <v>N/A</v>
        <stp/>
        <stp>VOLUME</stp>
        <stp>.NDX260529C24525</stp>
        <tr r="S181" s="2"/>
      </tp>
      <tp>
        <v>26</v>
        <stp/>
        <stp>VOLUME</stp>
        <stp>.NDX251219C24625</stp>
        <tr r="K177" s="2"/>
        <tr r="K177" s="2"/>
      </tp>
      <tp t="s">
        <v>N/A</v>
        <stp/>
        <stp>VOLUME</stp>
        <stp>.NDX251128C24725</stp>
        <tr r="H173" s="2"/>
      </tp>
      <tp t="s">
        <v>N/A</v>
        <stp/>
        <stp>VOLUME</stp>
        <stp>.NDX260529C25500</stp>
        <tr r="S142" s="2"/>
      </tp>
      <tp t="s">
        <v>N/A</v>
        <stp/>
        <stp>VOLUME</stp>
        <stp>.NDX260529C24500</stp>
        <tr r="S182" s="2"/>
      </tp>
      <tp>
        <v>1</v>
        <stp/>
        <stp>VOLUME</stp>
        <stp>.NDX251219C24600</stp>
        <tr r="K178" s="2"/>
        <tr r="K178" s="2"/>
      </tp>
      <tp>
        <v>2</v>
        <stp/>
        <stp>VOLUME</stp>
        <stp>.NDX251219C25600</stp>
        <tr r="K138" s="2"/>
        <tr r="K138" s="2"/>
      </tp>
      <tp t="s">
        <v>N/A</v>
        <stp/>
        <stp>VOLUME</stp>
        <stp>.NDX251128C24700</stp>
        <tr r="H174" s="2"/>
      </tp>
      <tp t="s">
        <v>N/A</v>
        <stp/>
        <stp>VOLUME</stp>
        <stp>.NDX251219C24675</stp>
        <tr r="K175" s="2"/>
      </tp>
      <tp t="s">
        <v>N/A</v>
        <stp/>
        <stp>VOLUME</stp>
        <stp>.NDX251128C24775</stp>
        <tr r="H171" s="2"/>
      </tp>
      <tp t="s">
        <v>N/A</v>
        <stp/>
        <stp>VOLUME</stp>
        <stp>.NDX260529C25575</stp>
        <tr r="S139" s="2"/>
      </tp>
      <tp t="s">
        <v>N/A</v>
        <stp/>
        <stp>VOLUME</stp>
        <stp>.NDX260529C24575</stp>
        <tr r="S179" s="2"/>
      </tp>
      <tp t="s">
        <v>N/A</v>
        <stp/>
        <stp>VOLUME</stp>
        <stp>.NDX251219C24650</stp>
        <tr r="K176" s="2"/>
      </tp>
      <tp t="s">
        <v>N/A</v>
        <stp/>
        <stp>VOLUME</stp>
        <stp>.NDX251128C24750</stp>
        <tr r="H172" s="2"/>
      </tp>
      <tp t="s">
        <v>N/A</v>
        <stp/>
        <stp>VOLUME</stp>
        <stp>.NDX260529C25550</stp>
        <tr r="S140" s="2"/>
      </tp>
      <tp t="s">
        <v>N/A</v>
        <stp/>
        <stp>VOLUME</stp>
        <stp>.NDX260529C24550</stp>
        <tr r="S180" s="2"/>
      </tp>
      <tp>
        <v>14</v>
        <stp/>
        <stp>VOLUME</stp>
        <stp>.NDX251219P24700</stp>
        <tr r="K174" s="2"/>
        <tr r="K174" s="2"/>
      </tp>
      <tp t="s">
        <v>N/A</v>
        <stp/>
        <stp>VOLUME</stp>
        <stp>.NDX251128P25600</stp>
        <tr r="H138" s="2"/>
      </tp>
      <tp t="s">
        <v>N/A</v>
        <stp/>
        <stp>VOLUME</stp>
        <stp>.NDX251128P24600</stp>
        <tr r="H178" s="2"/>
      </tp>
      <tp t="s">
        <v>N/A</v>
        <stp/>
        <stp>VOLUME</stp>
        <stp>.NDX260529P25400</stp>
        <tr r="S146" s="2"/>
      </tp>
      <tp t="s">
        <v>N/A</v>
        <stp/>
        <stp>VOLUME</stp>
        <stp>.NDX260529P24400</stp>
        <tr r="S186" s="2"/>
      </tp>
      <tp>
        <v>2</v>
        <stp/>
        <stp>VOLUME</stp>
        <stp>.NDX251219P24725</stp>
        <tr r="K173" s="2"/>
        <tr r="K173" s="2"/>
      </tp>
      <tp t="s">
        <v>N/A</v>
        <stp/>
        <stp>VOLUME</stp>
        <stp>.NDX251128P24625</stp>
        <tr r="H177" s="2"/>
      </tp>
      <tp t="s">
        <v>N/A</v>
        <stp/>
        <stp>VOLUME</stp>
        <stp>.NDX260529P25425</stp>
        <tr r="S145" s="2"/>
      </tp>
      <tp t="s">
        <v>N/A</v>
        <stp/>
        <stp>VOLUME</stp>
        <stp>.NDX260529P24425</stp>
        <tr r="S185" s="2"/>
      </tp>
      <tp t="s">
        <v>N/A</v>
        <stp/>
        <stp>VOLUME</stp>
        <stp>.NDX260529P25450</stp>
        <tr r="S144" s="2"/>
      </tp>
      <tp t="s">
        <v>N/A</v>
        <stp/>
        <stp>VOLUME</stp>
        <stp>.NDX260529P24450</stp>
        <tr r="S184" s="2"/>
      </tp>
      <tp>
        <v>13</v>
        <stp/>
        <stp>VOLUME</stp>
        <stp>.NDX251219P24750</stp>
        <tr r="K172" s="2"/>
        <tr r="K172" s="2"/>
      </tp>
      <tp t="s">
        <v>N/A</v>
        <stp/>
        <stp>VOLUME</stp>
        <stp>.NDX251128P24650</stp>
        <tr r="H176" s="2"/>
      </tp>
      <tp t="s">
        <v>N/A</v>
        <stp/>
        <stp>VOLUME</stp>
        <stp>.NDX260529P25475</stp>
        <tr r="S143" s="2"/>
      </tp>
      <tp t="s">
        <v>N/A</v>
        <stp/>
        <stp>VOLUME</stp>
        <stp>.NDX260529P24475</stp>
        <tr r="S183" s="2"/>
      </tp>
      <tp>
        <v>2</v>
        <stp/>
        <stp>VOLUME</stp>
        <stp>.NDX251219P24775</stp>
        <tr r="K171" s="2"/>
        <tr r="K171" s="2"/>
      </tp>
      <tp t="s">
        <v>N/A</v>
        <stp/>
        <stp>VOLUME</stp>
        <stp>.NDX251128P24675</stp>
        <tr r="H175" s="2"/>
      </tp>
      <tp t="s">
        <v>N/A</v>
        <stp/>
        <stp>VOLUME</stp>
        <stp>.NDX260529C25425</stp>
        <tr r="S145" s="2"/>
      </tp>
      <tp t="s">
        <v>N/A</v>
        <stp/>
        <stp>VOLUME</stp>
        <stp>.NDX260529C24425</stp>
        <tr r="S185" s="2"/>
      </tp>
      <tp t="s">
        <v>N/A</v>
        <stp/>
        <stp>VOLUME</stp>
        <stp>.NDX251219C24725</stp>
        <tr r="K173" s="2"/>
      </tp>
      <tp t="s">
        <v>N/A</v>
        <stp/>
        <stp>VOLUME</stp>
        <stp>.NDX251128C24625</stp>
        <tr r="H177" s="2"/>
      </tp>
      <tp t="s">
        <v>N/A</v>
        <stp/>
        <stp>VOLUME</stp>
        <stp>.NDX260529C25400</stp>
        <tr r="S146" s="2"/>
      </tp>
      <tp t="s">
        <v>N/A</v>
        <stp/>
        <stp>VOLUME</stp>
        <stp>.NDX260529C24400</stp>
        <tr r="S186" s="2"/>
      </tp>
      <tp>
        <v>4</v>
        <stp/>
        <stp>VOLUME</stp>
        <stp>.NDX251219C24700</stp>
        <tr r="K174" s="2"/>
        <tr r="K174" s="2"/>
      </tp>
      <tp t="s">
        <v>N/A</v>
        <stp/>
        <stp>VOLUME</stp>
        <stp>.NDX251128C25600</stp>
        <tr r="H138" s="2"/>
      </tp>
      <tp t="s">
        <v>N/A</v>
        <stp/>
        <stp>VOLUME</stp>
        <stp>.NDX251128C24600</stp>
        <tr r="H178" s="2"/>
      </tp>
      <tp t="s">
        <v>N/A</v>
        <stp/>
        <stp>VOLUME</stp>
        <stp>.NDX251219C24775</stp>
        <tr r="K171" s="2"/>
      </tp>
      <tp t="s">
        <v>N/A</v>
        <stp/>
        <stp>VOLUME</stp>
        <stp>.NDX251128C24675</stp>
        <tr r="H175" s="2"/>
      </tp>
      <tp t="s">
        <v>N/A</v>
        <stp/>
        <stp>VOLUME</stp>
        <stp>.NDX260529C25475</stp>
        <tr r="S143" s="2"/>
      </tp>
      <tp t="s">
        <v>N/A</v>
        <stp/>
        <stp>VOLUME</stp>
        <stp>.NDX260529C24475</stp>
        <tr r="S183" s="2"/>
      </tp>
      <tp>
        <v>1</v>
        <stp/>
        <stp>VOLUME</stp>
        <stp>.NDX251219C24750</stp>
        <tr r="K172" s="2"/>
        <tr r="K172" s="2"/>
      </tp>
      <tp t="s">
        <v>N/A</v>
        <stp/>
        <stp>VOLUME</stp>
        <stp>.NDX251128C24650</stp>
        <tr r="H176" s="2"/>
      </tp>
      <tp t="s">
        <v>N/A</v>
        <stp/>
        <stp>VOLUME</stp>
        <stp>.NDX260529C25450</stp>
        <tr r="S144" s="2"/>
      </tp>
      <tp t="s">
        <v>N/A</v>
        <stp/>
        <stp>VOLUME</stp>
        <stp>.NDX260529C24450</stp>
        <tr r="S184" s="2"/>
      </tp>
      <tp>
        <v>4</v>
        <stp/>
        <stp>VOLUME</stp>
        <stp>.NDX251219P24400</stp>
        <tr r="K186" s="2"/>
        <tr r="K186" s="2"/>
      </tp>
      <tp t="s">
        <v>N/A</v>
        <stp/>
        <stp>VOLUME</stp>
        <stp>.NDX251219P25400</stp>
        <tr r="K146" s="2"/>
      </tp>
      <tp t="s">
        <v>N/A</v>
        <stp/>
        <stp>VOLUME</stp>
        <stp>.NDX251128P25500</stp>
        <tr r="H142" s="2"/>
      </tp>
      <tp t="s">
        <v>N/A</v>
        <stp/>
        <stp>VOLUME</stp>
        <stp>.NDX251128P24500</stp>
        <tr r="H182" s="2"/>
      </tp>
      <tp t="s">
        <v>N/A</v>
        <stp/>
        <stp>VOLUME</stp>
        <stp>.NDX260529P24700</stp>
        <tr r="S174" s="2"/>
      </tp>
      <tp>
        <v>32</v>
        <stp/>
        <stp>VOLUME</stp>
        <stp>.NDX251219P24425</stp>
        <tr r="K185" s="2"/>
        <tr r="K185" s="2"/>
      </tp>
      <tp t="s">
        <v>N/A</v>
        <stp/>
        <stp>VOLUME</stp>
        <stp>.NDX251219P25425</stp>
        <tr r="K145" s="2"/>
      </tp>
      <tp t="s">
        <v>N/A</v>
        <stp/>
        <stp>VOLUME</stp>
        <stp>.NDX251128P25525</stp>
        <tr r="H141" s="2"/>
      </tp>
      <tp t="s">
        <v>N/A</v>
        <stp/>
        <stp>VOLUME</stp>
        <stp>.NDX251128P24525</stp>
        <tr r="H181" s="2"/>
      </tp>
      <tp t="s">
        <v>N/A</v>
        <stp/>
        <stp>VOLUME</stp>
        <stp>.NDX260529P24725</stp>
        <tr r="S173" s="2"/>
      </tp>
      <tp t="s">
        <v>N/A</v>
        <stp/>
        <stp>VOLUME</stp>
        <stp>.NDX260529P24750</stp>
        <tr r="S172" s="2"/>
      </tp>
      <tp t="s">
        <v>N/A</v>
        <stp/>
        <stp>VOLUME</stp>
        <stp>.NDX251219P24450</stp>
        <tr r="K184" s="2"/>
      </tp>
      <tp t="s">
        <v>N/A</v>
        <stp/>
        <stp>VOLUME</stp>
        <stp>.NDX251219P25450</stp>
        <tr r="K144" s="2"/>
      </tp>
      <tp t="s">
        <v>N/A</v>
        <stp/>
        <stp>VOLUME</stp>
        <stp>.NDX251128P25550</stp>
        <tr r="H140" s="2"/>
      </tp>
      <tp t="s">
        <v>N/A</v>
        <stp/>
        <stp>VOLUME</stp>
        <stp>.NDX251128P24550</stp>
        <tr r="H180" s="2"/>
      </tp>
      <tp t="s">
        <v>N/A</v>
        <stp/>
        <stp>VOLUME</stp>
        <stp>.NDX260529P24775</stp>
        <tr r="S171" s="2"/>
      </tp>
      <tp t="s">
        <v>N/A</v>
        <stp/>
        <stp>VOLUME</stp>
        <stp>.NDX251219P24475</stp>
        <tr r="K183" s="2"/>
      </tp>
      <tp t="s">
        <v>N/A</v>
        <stp/>
        <stp>VOLUME</stp>
        <stp>.NDX251219P25475</stp>
        <tr r="K143" s="2"/>
      </tp>
      <tp t="s">
        <v>N/A</v>
        <stp/>
        <stp>VOLUME</stp>
        <stp>.NDX251128P25575</stp>
        <tr r="H139" s="2"/>
      </tp>
      <tp t="s">
        <v>N/A</v>
        <stp/>
        <stp>VOLUME</stp>
        <stp>.NDX251128P24575</stp>
        <tr r="H179" s="2"/>
      </tp>
      <tp t="s">
        <v>N/A</v>
        <stp/>
        <stp>VOLUME</stp>
        <stp>.NDX260529C24725</stp>
        <tr r="S173" s="2"/>
      </tp>
      <tp>
        <v>1</v>
        <stp/>
        <stp>VOLUME</stp>
        <stp>.NDX251219C24425</stp>
        <tr r="K185" s="2"/>
        <tr r="K185" s="2"/>
      </tp>
      <tp t="s">
        <v>N/A</v>
        <stp/>
        <stp>VOLUME</stp>
        <stp>.NDX251219C25425</stp>
        <tr r="K145" s="2"/>
      </tp>
      <tp t="s">
        <v>N/A</v>
        <stp/>
        <stp>VOLUME</stp>
        <stp>.NDX251128C25525</stp>
        <tr r="H141" s="2"/>
      </tp>
      <tp t="s">
        <v>N/A</v>
        <stp/>
        <stp>VOLUME</stp>
        <stp>.NDX251128C24525</stp>
        <tr r="H181" s="2"/>
      </tp>
      <tp t="s">
        <v>N/A</v>
        <stp/>
        <stp>VOLUME</stp>
        <stp>.NDX260529C24700</stp>
        <tr r="S174" s="2"/>
      </tp>
      <tp>
        <v>3</v>
        <stp/>
        <stp>VOLUME</stp>
        <stp>.NDX251219C24400</stp>
        <tr r="K186" s="2"/>
        <tr r="K186" s="2"/>
      </tp>
      <tp t="s">
        <v>N/A</v>
        <stp/>
        <stp>VOLUME</stp>
        <stp>.NDX251219C25400</stp>
        <tr r="K146" s="2"/>
      </tp>
      <tp t="s">
        <v>N/A</v>
        <stp/>
        <stp>VOLUME</stp>
        <stp>.NDX251128C25500</stp>
        <tr r="H142" s="2"/>
      </tp>
      <tp t="s">
        <v>N/A</v>
        <stp/>
        <stp>VOLUME</stp>
        <stp>.NDX251128C24500</stp>
        <tr r="H182" s="2"/>
      </tp>
      <tp>
        <v>1</v>
        <stp/>
        <stp>VOLUME</stp>
        <stp>.NDX251219C24475</stp>
        <tr r="K183" s="2"/>
        <tr r="K183" s="2"/>
      </tp>
      <tp t="s">
        <v>N/A</v>
        <stp/>
        <stp>VOLUME</stp>
        <stp>.NDX251219C25475</stp>
        <tr r="K143" s="2"/>
      </tp>
      <tp t="s">
        <v>N/A</v>
        <stp/>
        <stp>VOLUME</stp>
        <stp>.NDX251128C25575</stp>
        <tr r="H139" s="2"/>
      </tp>
      <tp t="s">
        <v>N/A</v>
        <stp/>
        <stp>VOLUME</stp>
        <stp>.NDX251128C24575</stp>
        <tr r="H179" s="2"/>
      </tp>
      <tp t="s">
        <v>N/A</v>
        <stp/>
        <stp>VOLUME</stp>
        <stp>.NDX260529C24775</stp>
        <tr r="S171" s="2"/>
      </tp>
      <tp t="s">
        <v>N/A</v>
        <stp/>
        <stp>VOLUME</stp>
        <stp>.NDX251219C24450</stp>
        <tr r="K184" s="2"/>
      </tp>
      <tp t="s">
        <v>N/A</v>
        <stp/>
        <stp>VOLUME</stp>
        <stp>.NDX251219C25450</stp>
        <tr r="K144" s="2"/>
      </tp>
      <tp t="s">
        <v>N/A</v>
        <stp/>
        <stp>VOLUME</stp>
        <stp>.NDX251128C25550</stp>
        <tr r="H140" s="2"/>
      </tp>
      <tp t="s">
        <v>N/A</v>
        <stp/>
        <stp>VOLUME</stp>
        <stp>.NDX251128C24550</stp>
        <tr r="H180" s="2"/>
      </tp>
      <tp t="s">
        <v>N/A</v>
        <stp/>
        <stp>VOLUME</stp>
        <stp>.NDX260529C24750</stp>
        <tr r="S172" s="2"/>
      </tp>
      <tp>
        <v>25226.75</v>
        <stp/>
        <stp>MARK</stp>
        <stp>/NQ:XCME</stp>
        <tr r="F44" s="1"/>
        <tr r="F136" s="1"/>
      </tp>
      <tp>
        <v>32</v>
        <stp/>
        <stp>VOLUME</stp>
        <stp>.NDX251219P24500</stp>
        <tr r="K182" s="2"/>
        <tr r="K182" s="2"/>
      </tp>
      <tp>
        <v>1</v>
        <stp/>
        <stp>VOLUME</stp>
        <stp>.NDX251219P25500</stp>
        <tr r="K142" s="2"/>
        <tr r="K142" s="2"/>
      </tp>
      <tp t="s">
        <v>N/A</v>
        <stp/>
        <stp>VOLUME</stp>
        <stp>.NDX251128P25400</stp>
        <tr r="H146" s="2"/>
      </tp>
      <tp t="s">
        <v>N/A</v>
        <stp/>
        <stp>VOLUME</stp>
        <stp>.NDX251128P24400</stp>
        <tr r="H186" s="2"/>
      </tp>
      <tp t="s">
        <v>N/A</v>
        <stp/>
        <stp>VOLUME</stp>
        <stp>.NDX260529P25600</stp>
        <tr r="S138" s="2"/>
      </tp>
      <tp t="s">
        <v>N/A</v>
        <stp/>
        <stp>VOLUME</stp>
        <stp>.NDX260529P24600</stp>
        <tr r="S178" s="2"/>
      </tp>
      <tp>
        <v>1</v>
        <stp/>
        <stp>VOLUME</stp>
        <stp>.NDX251219P24525</stp>
        <tr r="K181" s="2"/>
        <tr r="K181" s="2"/>
      </tp>
      <tp>
        <v>3</v>
        <stp/>
        <stp>VOLUME</stp>
        <stp>.NDX251219P25525</stp>
        <tr r="K141" s="2"/>
        <tr r="K141" s="2"/>
      </tp>
      <tp t="s">
        <v>N/A</v>
        <stp/>
        <stp>VOLUME</stp>
        <stp>.NDX251128P25425</stp>
        <tr r="H145" s="2"/>
      </tp>
      <tp t="s">
        <v>N/A</v>
        <stp/>
        <stp>VOLUME</stp>
        <stp>.NDX251128P24425</stp>
        <tr r="H185" s="2"/>
      </tp>
      <tp t="s">
        <v>N/A</v>
        <stp/>
        <stp>VOLUME</stp>
        <stp>.NDX260529P24625</stp>
        <tr r="S177" s="2"/>
      </tp>
      <tp t="s">
        <v>N/A</v>
        <stp/>
        <stp>VOLUME</stp>
        <stp>.NDX260529P24650</stp>
        <tr r="S176" s="2"/>
      </tp>
      <tp>
        <v>2</v>
        <stp/>
        <stp>VOLUME</stp>
        <stp>.NDX251219P24550</stp>
        <tr r="K180" s="2"/>
        <tr r="K180" s="2"/>
      </tp>
      <tp t="s">
        <v>N/A</v>
        <stp/>
        <stp>VOLUME</stp>
        <stp>.NDX251219P25550</stp>
        <tr r="K140" s="2"/>
      </tp>
      <tp t="s">
        <v>N/A</v>
        <stp/>
        <stp>VOLUME</stp>
        <stp>.NDX251128P25450</stp>
        <tr r="H144" s="2"/>
      </tp>
      <tp t="s">
        <v>N/A</v>
        <stp/>
        <stp>VOLUME</stp>
        <stp>.NDX251128P24450</stp>
        <tr r="H184" s="2"/>
      </tp>
      <tp t="s">
        <v>N/A</v>
        <stp/>
        <stp>VOLUME</stp>
        <stp>.NDX260529P24675</stp>
        <tr r="S175" s="2"/>
      </tp>
      <tp>
        <v>5</v>
        <stp/>
        <stp>VOLUME</stp>
        <stp>.NDX251219P24575</stp>
        <tr r="K179" s="2"/>
        <tr r="K179" s="2"/>
      </tp>
      <tp t="s">
        <v>N/A</v>
        <stp/>
        <stp>VOLUME</stp>
        <stp>.NDX251219P25575</stp>
        <tr r="K139" s="2"/>
      </tp>
      <tp t="s">
        <v>N/A</v>
        <stp/>
        <stp>VOLUME</stp>
        <stp>.NDX251128P25475</stp>
        <tr r="H143" s="2"/>
      </tp>
      <tp t="s">
        <v>N/A</v>
        <stp/>
        <stp>VOLUME</stp>
        <stp>.NDX251128P24475</stp>
        <tr r="H183" s="2"/>
      </tp>
      <tp t="s">
        <v>N/A</v>
        <stp/>
        <stp>VOLUME</stp>
        <stp>.NDX260529C24625</stp>
        <tr r="S177" s="2"/>
      </tp>
      <tp t="s">
        <v>N/A</v>
        <stp/>
        <stp>VOLUME</stp>
        <stp>.NDX251219C24525</stp>
        <tr r="K181" s="2"/>
      </tp>
      <tp>
        <v>1</v>
        <stp/>
        <stp>VOLUME</stp>
        <stp>.NDX251219C25525</stp>
        <tr r="K141" s="2"/>
        <tr r="K141" s="2"/>
      </tp>
      <tp t="s">
        <v>N/A</v>
        <stp/>
        <stp>VOLUME</stp>
        <stp>.NDX251128C25425</stp>
        <tr r="H145" s="2"/>
      </tp>
      <tp t="s">
        <v>N/A</v>
        <stp/>
        <stp>VOLUME</stp>
        <stp>.NDX251128C24425</stp>
        <tr r="H185" s="2"/>
      </tp>
      <tp t="s">
        <v>N/A</v>
        <stp/>
        <stp>VOLUME</stp>
        <stp>.NDX260529C25600</stp>
        <tr r="S138" s="2"/>
      </tp>
      <tp t="s">
        <v>N/A</v>
        <stp/>
        <stp>VOLUME</stp>
        <stp>.NDX260529C24600</stp>
        <tr r="S178" s="2"/>
      </tp>
      <tp>
        <v>6</v>
        <stp/>
        <stp>VOLUME</stp>
        <stp>.NDX251219C24500</stp>
        <tr r="K182" s="2"/>
        <tr r="K182" s="2"/>
      </tp>
      <tp>
        <v>43</v>
        <stp/>
        <stp>VOLUME</stp>
        <stp>.NDX251219C25500</stp>
        <tr r="K142" s="2"/>
        <tr r="K142" s="2"/>
      </tp>
      <tp t="s">
        <v>N/A</v>
        <stp/>
        <stp>VOLUME</stp>
        <stp>.NDX251128C25400</stp>
        <tr r="H146" s="2"/>
      </tp>
      <tp t="s">
        <v>N/A</v>
        <stp/>
        <stp>VOLUME</stp>
        <stp>.NDX251128C24400</stp>
        <tr r="H186" s="2"/>
      </tp>
      <tp>
        <v>29</v>
        <stp/>
        <stp>VOLUME</stp>
        <stp>.NDX251219C24575</stp>
        <tr r="K179" s="2"/>
        <tr r="K179" s="2"/>
      </tp>
      <tp>
        <v>1</v>
        <stp/>
        <stp>VOLUME</stp>
        <stp>.NDX251219C25575</stp>
        <tr r="K139" s="2"/>
        <tr r="K139" s="2"/>
      </tp>
      <tp t="s">
        <v>N/A</v>
        <stp/>
        <stp>VOLUME</stp>
        <stp>.NDX251128C25475</stp>
        <tr r="H143" s="2"/>
      </tp>
      <tp t="s">
        <v>N/A</v>
        <stp/>
        <stp>VOLUME</stp>
        <stp>.NDX251128C24475</stp>
        <tr r="H183" s="2"/>
      </tp>
      <tp t="s">
        <v>N/A</v>
        <stp/>
        <stp>VOLUME</stp>
        <stp>.NDX260529C24675</stp>
        <tr r="S175" s="2"/>
      </tp>
      <tp t="s">
        <v>N/A</v>
        <stp/>
        <stp>VOLUME</stp>
        <stp>.NDX251219C24550</stp>
        <tr r="K180" s="2"/>
      </tp>
      <tp t="s">
        <v>N/A</v>
        <stp/>
        <stp>VOLUME</stp>
        <stp>.NDX251219C25550</stp>
        <tr r="K140" s="2"/>
      </tp>
      <tp t="s">
        <v>N/A</v>
        <stp/>
        <stp>VOLUME</stp>
        <stp>.NDX251128C25450</stp>
        <tr r="H144" s="2"/>
      </tp>
      <tp t="s">
        <v>N/A</v>
        <stp/>
        <stp>VOLUME</stp>
        <stp>.NDX251128C24450</stp>
        <tr r="H184" s="2"/>
      </tp>
      <tp t="s">
        <v>N/A</v>
        <stp/>
        <stp>VOLUME</stp>
        <stp>.NDX260529C24650</stp>
        <tr r="S176" s="2"/>
      </tp>
      <tp t="s">
        <v>N/A</v>
        <stp/>
        <stp>VOLUME</stp>
        <stp>.NDX251231P25200</stp>
        <tr r="O154" s="2"/>
      </tp>
      <tp>
        <v>4</v>
        <stp/>
        <stp>VOLUME</stp>
        <stp>.NDX251121P25200</stp>
        <tr r="U153" s="1"/>
        <tr r="U153" s="1"/>
      </tp>
      <tp t="s">
        <v>N/A</v>
        <stp/>
        <stp>VOLUME</stp>
        <stp>.NDX261002P25200</stp>
        <tr r="W154" s="2"/>
      </tp>
      <tp t="s">
        <v>N/A</v>
        <stp/>
        <stp>VOLUME</stp>
        <stp>.NDX260731P25100</stp>
        <tr r="U158" s="2"/>
      </tp>
      <tp t="s">
        <v>N/A</v>
        <stp/>
        <stp>VOLUME</stp>
        <stp>.NDX260529P24900</stp>
        <tr r="S166" s="2"/>
      </tp>
      <tp t="s">
        <v>N/A</v>
        <stp/>
        <stp>VOLUME</stp>
        <stp>.NDX260403P25300</stp>
        <tr r="Q150" s="2"/>
      </tp>
      <tp t="s">
        <v>N/A</v>
        <stp/>
        <stp>VOLUME</stp>
        <stp>.NDX260403P24300</stp>
        <tr r="Q190" s="2"/>
      </tp>
      <tp t="s">
        <v>N/A</v>
        <stp/>
        <stp>VOLUME</stp>
        <stp>.NDX260130P25000</stp>
        <tr r="M162" s="2"/>
      </tp>
      <tp t="s">
        <v>N/A</v>
        <stp/>
        <stp>VOLUME</stp>
        <stp>.NDX251231P25225</stp>
        <tr r="O153" s="2"/>
      </tp>
      <tp t="s">
        <v>N/A</v>
        <stp/>
        <stp>VOLUME</stp>
        <stp>.NDX261002P25225</stp>
        <tr r="W153" s="2"/>
      </tp>
      <tp>
        <v>1</v>
        <stp/>
        <stp>VOLUME</stp>
        <stp>.NDX251121P25225</stp>
        <tr r="U152" s="1"/>
        <tr r="U152" s="1"/>
      </tp>
      <tp t="s">
        <v>N/A</v>
        <stp/>
        <stp>VOLUME</stp>
        <stp>.NDX260130P25025</stp>
        <tr r="M161" s="2"/>
      </tp>
      <tp t="s">
        <v>N/A</v>
        <stp/>
        <stp>VOLUME</stp>
        <stp>.NDX260731P25125</stp>
        <tr r="U157" s="2"/>
      </tp>
      <tp t="s">
        <v>N/A</v>
        <stp/>
        <stp>VOLUME</stp>
        <stp>.NDX260403P25325</stp>
        <tr r="Q149" s="2"/>
      </tp>
      <tp t="s">
        <v>N/A</v>
        <stp/>
        <stp>VOLUME</stp>
        <stp>.NDX260403P24325</stp>
        <tr r="Q189" s="2"/>
      </tp>
      <tp t="s">
        <v>N/A</v>
        <stp/>
        <stp>VOLUME</stp>
        <stp>.NDX260529P24925</stp>
        <tr r="S165" s="2"/>
      </tp>
      <tp t="s">
        <v>N/A</v>
        <stp/>
        <stp>VOLUME</stp>
        <stp>.NDX260731P25150</stp>
        <tr r="U156" s="2"/>
      </tp>
      <tp t="s">
        <v>N/A</v>
        <stp/>
        <stp>VOLUME</stp>
        <stp>.NDX260529P24950</stp>
        <tr r="S164" s="2"/>
      </tp>
      <tp t="s">
        <v>N/A</v>
        <stp/>
        <stp>VOLUME</stp>
        <stp>.NDX260403P25350</stp>
        <tr r="Q148" s="2"/>
      </tp>
      <tp t="s">
        <v>N/A</v>
        <stp/>
        <stp>VOLUME</stp>
        <stp>.NDX260403P24350</stp>
        <tr r="Q188" s="2"/>
      </tp>
      <tp t="s">
        <v>N/A</v>
        <stp/>
        <stp>VOLUME</stp>
        <stp>.NDX260130P25050</stp>
        <tr r="M160" s="2"/>
      </tp>
      <tp t="s">
        <v>N/A</v>
        <stp/>
        <stp>VOLUME</stp>
        <stp>.NDX251231P25250</stp>
        <tr r="O152" s="2"/>
      </tp>
      <tp>
        <v>2</v>
        <stp/>
        <stp>VOLUME</stp>
        <stp>.NDX251121P25250</stp>
        <tr r="U151" s="1"/>
        <tr r="U151" s="1"/>
      </tp>
      <tp t="s">
        <v>N/A</v>
        <stp/>
        <stp>VOLUME</stp>
        <stp>.NDX261002P25250</stp>
        <tr r="W152" s="2"/>
      </tp>
      <tp t="s">
        <v>N/A</v>
        <stp/>
        <stp>VOLUME</stp>
        <stp>.NDX260130P25075</stp>
        <tr r="M159" s="2"/>
      </tp>
      <tp t="s">
        <v>N/A</v>
        <stp/>
        <stp>VOLUME</stp>
        <stp>.NDX260731P25175</stp>
        <tr r="U155" s="2"/>
      </tp>
      <tp t="s">
        <v>N/A</v>
        <stp/>
        <stp>VOLUME</stp>
        <stp>.NDX260403P25375</stp>
        <tr r="Q147" s="2"/>
      </tp>
      <tp t="s">
        <v>N/A</v>
        <stp/>
        <stp>VOLUME</stp>
        <stp>.NDX260403P24375</stp>
        <tr r="Q187" s="2"/>
      </tp>
      <tp t="s">
        <v>N/A</v>
        <stp/>
        <stp>VOLUME</stp>
        <stp>.NDX260529P24975</stp>
        <tr r="S163" s="2"/>
      </tp>
      <tp t="s">
        <v>N/A</v>
        <stp/>
        <stp>VOLUME</stp>
        <stp>.NDX251231P25275</stp>
        <tr r="O151" s="2"/>
      </tp>
      <tp t="s">
        <v>N/A</v>
        <stp/>
        <stp>VOLUME</stp>
        <stp>.NDX261002P25275</stp>
        <tr r="W151" s="2"/>
      </tp>
      <tp t="s">
        <v>N/A</v>
        <stp/>
        <stp>VOLUME</stp>
        <stp>.NDX251121P25275</stp>
        <tr r="U150" s="1"/>
      </tp>
      <tp t="s">
        <v>N/A</v>
        <stp/>
        <stp>VOLUME</stp>
        <stp>.NDX260130C25025</stp>
        <tr r="M161" s="2"/>
      </tp>
      <tp t="s">
        <v>N/A</v>
        <stp/>
        <stp>VOLUME</stp>
        <stp>.NDX260731C25125</stp>
        <tr r="U157" s="2"/>
      </tp>
      <tp t="s">
        <v>N/A</v>
        <stp/>
        <stp>VOLUME</stp>
        <stp>.NDX260403C25325</stp>
        <tr r="Q149" s="2"/>
      </tp>
      <tp t="s">
        <v>N/A</v>
        <stp/>
        <stp>VOLUME</stp>
        <stp>.NDX260403C24325</stp>
        <tr r="Q189" s="2"/>
      </tp>
      <tp t="s">
        <v>N/A</v>
        <stp/>
        <stp>VOLUME</stp>
        <stp>.NDX260529C24925</stp>
        <tr r="S165" s="2"/>
      </tp>
      <tp t="s">
        <v>N/A</v>
        <stp/>
        <stp>VOLUME</stp>
        <stp>.NDX251231C25225</stp>
        <tr r="O153" s="2"/>
      </tp>
      <tp t="s">
        <v>N/A</v>
        <stp/>
        <stp>VOLUME</stp>
        <stp>.NDX261002C25225</stp>
        <tr r="W153" s="2"/>
      </tp>
      <tp>
        <v>22</v>
        <stp/>
        <stp>VOLUME</stp>
        <stp>.NDX251121C25225</stp>
        <tr r="T152" s="1"/>
        <tr r="T152" s="1"/>
      </tp>
      <tp t="s">
        <v>N/A</v>
        <stp/>
        <stp>VOLUME</stp>
        <stp>.NDX260731C25100</stp>
        <tr r="U158" s="2"/>
      </tp>
      <tp t="s">
        <v>N/A</v>
        <stp/>
        <stp>VOLUME</stp>
        <stp>.NDX260529C24900</stp>
        <tr r="S166" s="2"/>
      </tp>
      <tp t="s">
        <v>N/A</v>
        <stp/>
        <stp>VOLUME</stp>
        <stp>.NDX260403C25300</stp>
        <tr r="Q150" s="2"/>
      </tp>
      <tp t="s">
        <v>N/A</v>
        <stp/>
        <stp>VOLUME</stp>
        <stp>.NDX260403C24300</stp>
        <tr r="Q190" s="2"/>
      </tp>
      <tp t="s">
        <v>N/A</v>
        <stp/>
        <stp>VOLUME</stp>
        <stp>.NDX260130C25000</stp>
        <tr r="M162" s="2"/>
      </tp>
      <tp t="s">
        <v>N/A</v>
        <stp/>
        <stp>VOLUME</stp>
        <stp>.NDX251231C25200</stp>
        <tr r="O154" s="2"/>
      </tp>
      <tp>
        <v>8</v>
        <stp/>
        <stp>VOLUME</stp>
        <stp>.NDX251121C25200</stp>
        <tr r="T153" s="1"/>
        <tr r="T153" s="1"/>
      </tp>
      <tp t="s">
        <v>N/A</v>
        <stp/>
        <stp>VOLUME</stp>
        <stp>.NDX261002C25200</stp>
        <tr r="W154" s="2"/>
      </tp>
      <tp t="s">
        <v>N/A</v>
        <stp/>
        <stp>VOLUME</stp>
        <stp>.NDX251231C25275</stp>
        <tr r="O151" s="2"/>
      </tp>
      <tp t="s">
        <v>N/A</v>
        <stp/>
        <stp>VOLUME</stp>
        <stp>.NDX261002C25275</stp>
        <tr r="W151" s="2"/>
      </tp>
      <tp>
        <v>7</v>
        <stp/>
        <stp>VOLUME</stp>
        <stp>.NDX251121C25275</stp>
        <tr r="T150" s="1"/>
        <tr r="T150" s="1"/>
      </tp>
      <tp t="s">
        <v>N/A</v>
        <stp/>
        <stp>VOLUME</stp>
        <stp>.NDX260130C25075</stp>
        <tr r="M159" s="2"/>
      </tp>
      <tp t="s">
        <v>N/A</v>
        <stp/>
        <stp>VOLUME</stp>
        <stp>.NDX260731C25175</stp>
        <tr r="U155" s="2"/>
      </tp>
      <tp t="s">
        <v>N/A</v>
        <stp/>
        <stp>VOLUME</stp>
        <stp>.NDX260403C25375</stp>
        <tr r="Q147" s="2"/>
      </tp>
      <tp t="s">
        <v>N/A</v>
        <stp/>
        <stp>VOLUME</stp>
        <stp>.NDX260403C24375</stp>
        <tr r="Q187" s="2"/>
      </tp>
      <tp t="s">
        <v>N/A</v>
        <stp/>
        <stp>VOLUME</stp>
        <stp>.NDX260529C24975</stp>
        <tr r="S163" s="2"/>
      </tp>
      <tp t="s">
        <v>N/A</v>
        <stp/>
        <stp>VOLUME</stp>
        <stp>.NDX251231C25250</stp>
        <tr r="O152" s="2"/>
      </tp>
      <tp>
        <v>13</v>
        <stp/>
        <stp>VOLUME</stp>
        <stp>.NDX251121C25250</stp>
        <tr r="T151" s="1"/>
        <tr r="T151" s="1"/>
      </tp>
      <tp t="s">
        <v>N/A</v>
        <stp/>
        <stp>VOLUME</stp>
        <stp>.NDX261002C25250</stp>
        <tr r="W152" s="2"/>
      </tp>
      <tp t="s">
        <v>N/A</v>
        <stp/>
        <stp>VOLUME</stp>
        <stp>.NDX260731C25150</stp>
        <tr r="U156" s="2"/>
      </tp>
      <tp t="s">
        <v>N/A</v>
        <stp/>
        <stp>VOLUME</stp>
        <stp>.NDX260529C24950</stp>
        <tr r="S164" s="2"/>
      </tp>
      <tp t="s">
        <v>N/A</v>
        <stp/>
        <stp>VOLUME</stp>
        <stp>.NDX260403C25350</stp>
        <tr r="Q148" s="2"/>
      </tp>
      <tp t="s">
        <v>N/A</v>
        <stp/>
        <stp>VOLUME</stp>
        <stp>.NDX260403C24350</stp>
        <tr r="Q188" s="2"/>
      </tp>
      <tp t="s">
        <v>N/A</v>
        <stp/>
        <stp>VOLUME</stp>
        <stp>.NDX260130C25050</stp>
        <tr r="M160" s="2"/>
      </tp>
      <tp t="s">
        <v>N/A</v>
        <stp/>
        <stp>VOLUME</stp>
        <stp>.NDX251231P24300</stp>
        <tr r="O190" s="2"/>
      </tp>
      <tp t="s">
        <v>N/A</v>
        <stp/>
        <stp>VOLUME</stp>
        <stp>.NDX251231P25300</stp>
        <tr r="O150" s="2"/>
      </tp>
      <tp>
        <v>10</v>
        <stp/>
        <stp>VOLUME</stp>
        <stp>.NDX251121P25300</stp>
        <tr r="U149" s="1"/>
        <tr r="U149" s="1"/>
      </tp>
      <tp>
        <v>9</v>
        <stp/>
        <stp>VOLUME</stp>
        <stp>.NDX251121P24300</stp>
        <tr r="U189" s="1"/>
        <tr r="U189" s="1"/>
      </tp>
      <tp t="s">
        <v>N/A</v>
        <stp/>
        <stp>VOLUME</stp>
        <stp>.NDX261002P25300</stp>
        <tr r="W150" s="2"/>
      </tp>
      <tp t="s">
        <v>N/A</v>
        <stp/>
        <stp>VOLUME</stp>
        <stp>.NDX261002P24300</stp>
        <tr r="W190" s="2"/>
      </tp>
      <tp t="s">
        <v>N/A</v>
        <stp/>
        <stp>VOLUME</stp>
        <stp>.NDX260731P25000</stp>
        <tr r="U162" s="2"/>
      </tp>
      <tp t="s">
        <v>N/A</v>
        <stp/>
        <stp>VOLUME</stp>
        <stp>.NDX260529P24800</stp>
        <tr r="S170" s="2"/>
      </tp>
      <tp t="s">
        <v>N/A</v>
        <stp/>
        <stp>VOLUME</stp>
        <stp>.NDX260403P25200</stp>
        <tr r="Q154" s="2"/>
      </tp>
      <tp t="s">
        <v>N/A</v>
        <stp/>
        <stp>VOLUME</stp>
        <stp>.NDX260130P25100</stp>
        <tr r="M158" s="2"/>
      </tp>
      <tp t="s">
        <v>N/A</v>
        <stp/>
        <stp>VOLUME</stp>
        <stp>.NDX251231P24325</stp>
        <tr r="O189" s="2"/>
      </tp>
      <tp t="s">
        <v>N/A</v>
        <stp/>
        <stp>VOLUME</stp>
        <stp>.NDX251231P25325</stp>
        <tr r="O149" s="2"/>
      </tp>
      <tp t="s">
        <v>N/A</v>
        <stp/>
        <stp>VOLUME</stp>
        <stp>.NDX261002P25325</stp>
        <tr r="W149" s="2"/>
      </tp>
      <tp t="s">
        <v>N/A</v>
        <stp/>
        <stp>VOLUME</stp>
        <stp>.NDX261002P24325</stp>
        <tr r="W189" s="2"/>
      </tp>
      <tp t="s">
        <v>N/A</v>
        <stp/>
        <stp>VOLUME</stp>
        <stp>.NDX251121P25325</stp>
        <tr r="U148" s="1"/>
      </tp>
      <tp>
        <v>5</v>
        <stp/>
        <stp>VOLUME</stp>
        <stp>.NDX251121P24325</stp>
        <tr r="U188" s="1"/>
        <tr r="U188" s="1"/>
      </tp>
      <tp t="s">
        <v>N/A</v>
        <stp/>
        <stp>VOLUME</stp>
        <stp>.NDX260130P25125</stp>
        <tr r="M157" s="2"/>
      </tp>
      <tp t="s">
        <v>N/A</v>
        <stp/>
        <stp>VOLUME</stp>
        <stp>.NDX260731P25025</stp>
        <tr r="U161" s="2"/>
      </tp>
      <tp t="s">
        <v>N/A</v>
        <stp/>
        <stp>VOLUME</stp>
        <stp>.NDX260403P25225</stp>
        <tr r="Q153" s="2"/>
      </tp>
      <tp t="s">
        <v>N/A</v>
        <stp/>
        <stp>VOLUME</stp>
        <stp>.NDX260529P24825</stp>
        <tr r="S169" s="2"/>
      </tp>
      <tp t="s">
        <v>N/A</v>
        <stp/>
        <stp>VOLUME</stp>
        <stp>.NDX260731P25050</stp>
        <tr r="U160" s="2"/>
      </tp>
      <tp t="s">
        <v>N/A</v>
        <stp/>
        <stp>VOLUME</stp>
        <stp>.NDX260529P24850</stp>
        <tr r="S168" s="2"/>
      </tp>
      <tp t="s">
        <v>N/A</v>
        <stp/>
        <stp>VOLUME</stp>
        <stp>.NDX260403P25250</stp>
        <tr r="Q152" s="2"/>
      </tp>
      <tp t="s">
        <v>N/A</v>
        <stp/>
        <stp>VOLUME</stp>
        <stp>.NDX260130P25150</stp>
        <tr r="M156" s="2"/>
      </tp>
      <tp t="s">
        <v>N/A</v>
        <stp/>
        <stp>VOLUME</stp>
        <stp>.NDX251231P24350</stp>
        <tr r="O188" s="2"/>
      </tp>
      <tp t="s">
        <v>N/A</v>
        <stp/>
        <stp>VOLUME</stp>
        <stp>.NDX251231P25350</stp>
        <tr r="O148" s="2"/>
      </tp>
      <tp t="s">
        <v>N/A</v>
        <stp/>
        <stp>VOLUME</stp>
        <stp>.NDX251121P25350</stp>
        <tr r="U147" s="1"/>
      </tp>
      <tp>
        <v>3</v>
        <stp/>
        <stp>VOLUME</stp>
        <stp>.NDX251121P24350</stp>
        <tr r="U187" s="1"/>
        <tr r="U187" s="1"/>
      </tp>
      <tp t="s">
        <v>N/A</v>
        <stp/>
        <stp>VOLUME</stp>
        <stp>.NDX261002P25350</stp>
        <tr r="W148" s="2"/>
      </tp>
      <tp t="s">
        <v>N/A</v>
        <stp/>
        <stp>VOLUME</stp>
        <stp>.NDX261002P24350</stp>
        <tr r="W188" s="2"/>
      </tp>
      <tp t="s">
        <v>N/A</v>
        <stp/>
        <stp>VOLUME</stp>
        <stp>.NDX260130P25175</stp>
        <tr r="M155" s="2"/>
      </tp>
      <tp t="s">
        <v>N/A</v>
        <stp/>
        <stp>VOLUME</stp>
        <stp>.NDX260731P25075</stp>
        <tr r="U159" s="2"/>
      </tp>
      <tp t="s">
        <v>N/A</v>
        <stp/>
        <stp>VOLUME</stp>
        <stp>.NDX260403P25275</stp>
        <tr r="Q151" s="2"/>
      </tp>
      <tp t="s">
        <v>N/A</v>
        <stp/>
        <stp>VOLUME</stp>
        <stp>.NDX260529P24875</stp>
        <tr r="S167" s="2"/>
      </tp>
      <tp t="s">
        <v>N/A</v>
        <stp/>
        <stp>VOLUME</stp>
        <stp>.NDX251231P24375</stp>
        <tr r="O187" s="2"/>
      </tp>
      <tp t="s">
        <v>N/A</v>
        <stp/>
        <stp>VOLUME</stp>
        <stp>.NDX251231P25375</stp>
        <tr r="O147" s="2"/>
      </tp>
      <tp t="s">
        <v>N/A</v>
        <stp/>
        <stp>VOLUME</stp>
        <stp>.NDX261002P25375</stp>
        <tr r="W147" s="2"/>
      </tp>
      <tp t="s">
        <v>N/A</v>
        <stp/>
        <stp>VOLUME</stp>
        <stp>.NDX261002P24375</stp>
        <tr r="W187" s="2"/>
      </tp>
      <tp t="s">
        <v>N/A</v>
        <stp/>
        <stp>VOLUME</stp>
        <stp>.NDX251121P25375</stp>
        <tr r="U146" s="1"/>
      </tp>
      <tp>
        <v>3</v>
        <stp/>
        <stp>VOLUME</stp>
        <stp>.NDX251121P24375</stp>
        <tr r="U186" s="1"/>
        <tr r="U186" s="1"/>
      </tp>
      <tp t="s">
        <v>N/A</v>
        <stp/>
        <stp>VOLUME</stp>
        <stp>.NDX260130C25125</stp>
        <tr r="M157" s="2"/>
      </tp>
      <tp t="s">
        <v>N/A</v>
        <stp/>
        <stp>VOLUME</stp>
        <stp>.NDX260731C25025</stp>
        <tr r="U161" s="2"/>
      </tp>
      <tp t="s">
        <v>N/A</v>
        <stp/>
        <stp>VOLUME</stp>
        <stp>.NDX260403C25225</stp>
        <tr r="Q153" s="2"/>
      </tp>
      <tp t="s">
        <v>N/A</v>
        <stp/>
        <stp>VOLUME</stp>
        <stp>.NDX260529C24825</stp>
        <tr r="S169" s="2"/>
      </tp>
      <tp t="s">
        <v>N/A</v>
        <stp/>
        <stp>VOLUME</stp>
        <stp>.NDX251231C24325</stp>
        <tr r="O189" s="2"/>
      </tp>
      <tp t="s">
        <v>N/A</v>
        <stp/>
        <stp>VOLUME</stp>
        <stp>.NDX251231C25325</stp>
        <tr r="O149" s="2"/>
      </tp>
      <tp t="s">
        <v>N/A</v>
        <stp/>
        <stp>VOLUME</stp>
        <stp>.NDX261002C25325</stp>
        <tr r="W149" s="2"/>
      </tp>
      <tp t="s">
        <v>N/A</v>
        <stp/>
        <stp>VOLUME</stp>
        <stp>.NDX261002C24325</stp>
        <tr r="W189" s="2"/>
      </tp>
      <tp>
        <v>9</v>
        <stp/>
        <stp>VOLUME</stp>
        <stp>.NDX251121C25325</stp>
        <tr r="T148" s="1"/>
        <tr r="T148" s="1"/>
      </tp>
      <tp t="s">
        <v>N/A</v>
        <stp/>
        <stp>VOLUME</stp>
        <stp>.NDX251121C24325</stp>
        <tr r="T188" s="1"/>
      </tp>
      <tp t="s">
        <v>N/A</v>
        <stp/>
        <stp>VOLUME</stp>
        <stp>.NDX260731C25000</stp>
        <tr r="U162" s="2"/>
      </tp>
      <tp t="s">
        <v>N/A</v>
        <stp/>
        <stp>VOLUME</stp>
        <stp>.NDX260529C24800</stp>
        <tr r="S170" s="2"/>
      </tp>
      <tp t="s">
        <v>N/A</v>
        <stp/>
        <stp>VOLUME</stp>
        <stp>.NDX260403C25200</stp>
        <tr r="Q154" s="2"/>
      </tp>
      <tp t="s">
        <v>N/A</v>
        <stp/>
        <stp>VOLUME</stp>
        <stp>.NDX260130C25100</stp>
        <tr r="M158" s="2"/>
      </tp>
      <tp t="s">
        <v>N/A</v>
        <stp/>
        <stp>VOLUME</stp>
        <stp>.NDX251231C24300</stp>
        <tr r="O190" s="2"/>
      </tp>
      <tp t="s">
        <v>N/A</v>
        <stp/>
        <stp>VOLUME</stp>
        <stp>.NDX251231C25300</stp>
        <tr r="O150" s="2"/>
      </tp>
      <tp>
        <v>24</v>
        <stp/>
        <stp>VOLUME</stp>
        <stp>.NDX251121C25300</stp>
        <tr r="T149" s="1"/>
        <tr r="T149" s="1"/>
      </tp>
      <tp>
        <v>40</v>
        <stp/>
        <stp>VOLUME</stp>
        <stp>.NDX251121C24300</stp>
        <tr r="T189" s="1"/>
        <tr r="T189" s="1"/>
      </tp>
      <tp t="s">
        <v>N/A</v>
        <stp/>
        <stp>VOLUME</stp>
        <stp>.NDX261002C25300</stp>
        <tr r="W150" s="2"/>
      </tp>
      <tp t="s">
        <v>N/A</v>
        <stp/>
        <stp>VOLUME</stp>
        <stp>.NDX261002C24300</stp>
        <tr r="W190" s="2"/>
      </tp>
      <tp t="s">
        <v>N/A</v>
        <stp/>
        <stp>VOLUME</stp>
        <stp>.NDX251231C24375</stp>
        <tr r="O187" s="2"/>
      </tp>
      <tp t="s">
        <v>N/A</v>
        <stp/>
        <stp>VOLUME</stp>
        <stp>.NDX251231C25375</stp>
        <tr r="O147" s="2"/>
      </tp>
      <tp t="s">
        <v>N/A</v>
        <stp/>
        <stp>VOLUME</stp>
        <stp>.NDX261002C25375</stp>
        <tr r="W147" s="2"/>
      </tp>
      <tp t="s">
        <v>N/A</v>
        <stp/>
        <stp>VOLUME</stp>
        <stp>.NDX261002C24375</stp>
        <tr r="W187" s="2"/>
      </tp>
      <tp>
        <v>1</v>
        <stp/>
        <stp>VOLUME</stp>
        <stp>.NDX251121C25375</stp>
        <tr r="T146" s="1"/>
        <tr r="T146" s="1"/>
      </tp>
      <tp>
        <v>1</v>
        <stp/>
        <stp>VOLUME</stp>
        <stp>.NDX251121C24375</stp>
        <tr r="T186" s="1"/>
        <tr r="T186" s="1"/>
      </tp>
      <tp t="s">
        <v>N/A</v>
        <stp/>
        <stp>VOLUME</stp>
        <stp>.NDX260130C25175</stp>
        <tr r="M155" s="2"/>
      </tp>
      <tp t="s">
        <v>N/A</v>
        <stp/>
        <stp>VOLUME</stp>
        <stp>.NDX260731C25075</stp>
        <tr r="U159" s="2"/>
      </tp>
      <tp t="s">
        <v>N/A</v>
        <stp/>
        <stp>VOLUME</stp>
        <stp>.NDX260403C25275</stp>
        <tr r="Q151" s="2"/>
      </tp>
      <tp t="s">
        <v>N/A</v>
        <stp/>
        <stp>VOLUME</stp>
        <stp>.NDX260529C24875</stp>
        <tr r="S167" s="2"/>
      </tp>
      <tp t="s">
        <v>N/A</v>
        <stp/>
        <stp>VOLUME</stp>
        <stp>.NDX251231C24350</stp>
        <tr r="O188" s="2"/>
      </tp>
      <tp t="s">
        <v>N/A</v>
        <stp/>
        <stp>VOLUME</stp>
        <stp>.NDX251231C25350</stp>
        <tr r="O148" s="2"/>
      </tp>
      <tp>
        <v>38</v>
        <stp/>
        <stp>VOLUME</stp>
        <stp>.NDX251121C25350</stp>
        <tr r="T147" s="1"/>
        <tr r="T147" s="1"/>
      </tp>
      <tp>
        <v>5</v>
        <stp/>
        <stp>VOLUME</stp>
        <stp>.NDX251121C24350</stp>
        <tr r="T187" s="1"/>
        <tr r="T187" s="1"/>
      </tp>
      <tp t="s">
        <v>N/A</v>
        <stp/>
        <stp>VOLUME</stp>
        <stp>.NDX261002C25350</stp>
        <tr r="W148" s="2"/>
      </tp>
      <tp t="s">
        <v>N/A</v>
        <stp/>
        <stp>VOLUME</stp>
        <stp>.NDX261002C24350</stp>
        <tr r="W188" s="2"/>
      </tp>
      <tp t="s">
        <v>N/A</v>
        <stp/>
        <stp>VOLUME</stp>
        <stp>.NDX260731C25050</stp>
        <tr r="U160" s="2"/>
      </tp>
      <tp t="s">
        <v>N/A</v>
        <stp/>
        <stp>VOLUME</stp>
        <stp>.NDX260529C24850</stp>
        <tr r="S168" s="2"/>
      </tp>
      <tp t="s">
        <v>N/A</v>
        <stp/>
        <stp>VOLUME</stp>
        <stp>.NDX260403C25250</stp>
        <tr r="Q152" s="2"/>
      </tp>
      <tp t="s">
        <v>N/A</v>
        <stp/>
        <stp>VOLUME</stp>
        <stp>.NDX260130C25150</stp>
        <tr r="M156" s="2"/>
      </tp>
      <tp>
        <v>14</v>
        <stp/>
        <stp>VOLUME</stp>
        <stp>.NDX251219P24800</stp>
        <tr r="K170" s="2"/>
        <tr r="K170" s="2"/>
      </tp>
      <tp t="s">
        <v>N/A</v>
        <stp/>
        <stp>VOLUME</stp>
        <stp>.NDX251231P25000</stp>
        <tr r="O162" s="2"/>
      </tp>
      <tp>
        <v>46</v>
        <stp/>
        <stp>VOLUME</stp>
        <stp>.NDX251121P25000</stp>
        <tr r="U161" s="1"/>
        <tr r="U161" s="1"/>
      </tp>
      <tp t="s">
        <v>N/A</v>
        <stp/>
        <stp>VOLUME</stp>
        <stp>.NDX251128P24900</stp>
        <tr r="H166" s="2"/>
      </tp>
      <tp t="s">
        <v>N/A</v>
        <stp/>
        <stp>VOLUME</stp>
        <stp>.NDX261002P25000</stp>
        <tr r="W162" s="2"/>
      </tp>
      <tp t="s">
        <v>N/A</v>
        <stp/>
        <stp>VOLUME</stp>
        <stp>.NDX260731P24300</stp>
        <tr r="U190" s="2"/>
      </tp>
      <tp t="s">
        <v>N/A</v>
        <stp/>
        <stp>VOLUME</stp>
        <stp>.NDX260731P25300</stp>
        <tr r="U150" s="2"/>
      </tp>
      <tp t="s">
        <v>N/A</v>
        <stp/>
        <stp>VOLUME</stp>
        <stp>.NDX260403P25100</stp>
        <tr r="Q158" s="2"/>
      </tp>
      <tp t="s">
        <v>N/A</v>
        <stp/>
        <stp>VOLUME</stp>
        <stp>.NDX260130P25200</stp>
        <tr r="M154" s="2"/>
      </tp>
      <tp t="s">
        <v>N/A</v>
        <stp/>
        <stp>VOLUME</stp>
        <stp>.NDX251219P24825</stp>
        <tr r="K169" s="2"/>
      </tp>
      <tp t="s">
        <v>N/A</v>
        <stp/>
        <stp>VOLUME</stp>
        <stp>.NDX251231P25025</stp>
        <tr r="O161" s="2"/>
      </tp>
      <tp t="s">
        <v>N/A</v>
        <stp/>
        <stp>VOLUME</stp>
        <stp>.NDX261002P25025</stp>
        <tr r="W161" s="2"/>
      </tp>
      <tp t="s">
        <v>N/A</v>
        <stp/>
        <stp>VOLUME</stp>
        <stp>.NDX251121P25025</stp>
        <tr r="U160" s="1"/>
      </tp>
      <tp t="s">
        <v>N/A</v>
        <stp/>
        <stp>VOLUME</stp>
        <stp>.NDX251128P24925</stp>
        <tr r="H165" s="2"/>
      </tp>
      <tp t="s">
        <v>N/A</v>
        <stp/>
        <stp>VOLUME</stp>
        <stp>.NDX260130P25225</stp>
        <tr r="M153" s="2"/>
      </tp>
      <tp t="s">
        <v>N/A</v>
        <stp/>
        <stp>VOLUME</stp>
        <stp>.NDX260731P24325</stp>
        <tr r="U189" s="2"/>
      </tp>
      <tp t="s">
        <v>N/A</v>
        <stp/>
        <stp>VOLUME</stp>
        <stp>.NDX260731P25325</stp>
        <tr r="U149" s="2"/>
      </tp>
      <tp t="s">
        <v>N/A</v>
        <stp/>
        <stp>VOLUME</stp>
        <stp>.NDX260403P25125</stp>
        <tr r="Q157" s="2"/>
      </tp>
      <tp t="s">
        <v>N/A</v>
        <stp/>
        <stp>VOLUME</stp>
        <stp>.NDX260731P24350</stp>
        <tr r="U188" s="2"/>
      </tp>
      <tp t="s">
        <v>N/A</v>
        <stp/>
        <stp>VOLUME</stp>
        <stp>.NDX260731P25350</stp>
        <tr r="U148" s="2"/>
      </tp>
      <tp t="s">
        <v>N/A</v>
        <stp/>
        <stp>VOLUME</stp>
        <stp>.NDX260403P25150</stp>
        <tr r="Q156" s="2"/>
      </tp>
      <tp t="s">
        <v>N/A</v>
        <stp/>
        <stp>VOLUME</stp>
        <stp>.NDX260130P25250</stp>
        <tr r="M152" s="2"/>
      </tp>
      <tp>
        <v>2</v>
        <stp/>
        <stp>VOLUME</stp>
        <stp>.NDX251219P24850</stp>
        <tr r="K168" s="2"/>
        <tr r="K168" s="2"/>
      </tp>
      <tp t="s">
        <v>N/A</v>
        <stp/>
        <stp>VOLUME</stp>
        <stp>.NDX251231P25050</stp>
        <tr r="O160" s="2"/>
      </tp>
      <tp t="s">
        <v>N/A</v>
        <stp/>
        <stp>VOLUME</stp>
        <stp>.NDX251121P25050</stp>
        <tr r="U159" s="1"/>
      </tp>
      <tp t="s">
        <v>N/A</v>
        <stp/>
        <stp>VOLUME</stp>
        <stp>.NDX251128P24950</stp>
        <tr r="H164" s="2"/>
      </tp>
      <tp t="s">
        <v>N/A</v>
        <stp/>
        <stp>VOLUME</stp>
        <stp>.NDX261002P25050</stp>
        <tr r="W160" s="2"/>
      </tp>
      <tp t="s">
        <v>N/A</v>
        <stp/>
        <stp>VOLUME</stp>
        <stp>.NDX260130P25275</stp>
        <tr r="M151" s="2"/>
      </tp>
      <tp t="s">
        <v>N/A</v>
        <stp/>
        <stp>VOLUME</stp>
        <stp>.NDX260731P24375</stp>
        <tr r="U187" s="2"/>
      </tp>
      <tp t="s">
        <v>N/A</v>
        <stp/>
        <stp>VOLUME</stp>
        <stp>.NDX260731P25375</stp>
        <tr r="U147" s="2"/>
      </tp>
      <tp t="s">
        <v>N/A</v>
        <stp/>
        <stp>VOLUME</stp>
        <stp>.NDX260403P25175</stp>
        <tr r="Q155" s="2"/>
      </tp>
      <tp>
        <v>1</v>
        <stp/>
        <stp>VOLUME</stp>
        <stp>.NDX251219P24875</stp>
        <tr r="K167" s="2"/>
        <tr r="K167" s="2"/>
      </tp>
      <tp t="s">
        <v>N/A</v>
        <stp/>
        <stp>VOLUME</stp>
        <stp>.NDX251231P25075</stp>
        <tr r="O159" s="2"/>
      </tp>
      <tp t="s">
        <v>N/A</v>
        <stp/>
        <stp>VOLUME</stp>
        <stp>.NDX261002P25075</stp>
        <tr r="W159" s="2"/>
      </tp>
      <tp t="s">
        <v>N/A</v>
        <stp/>
        <stp>VOLUME</stp>
        <stp>.NDX251121P25075</stp>
        <tr r="U158" s="1"/>
      </tp>
      <tp t="s">
        <v>N/A</v>
        <stp/>
        <stp>VOLUME</stp>
        <stp>.NDX251128P24975</stp>
        <tr r="H163" s="2"/>
      </tp>
      <tp t="s">
        <v>N/A</v>
        <stp/>
        <stp>VOLUME</stp>
        <stp>.NDX260130C25225</stp>
        <tr r="M153" s="2"/>
      </tp>
      <tp t="s">
        <v>N/A</v>
        <stp/>
        <stp>VOLUME</stp>
        <stp>.NDX260731C24325</stp>
        <tr r="U189" s="2"/>
      </tp>
      <tp t="s">
        <v>N/A</v>
        <stp/>
        <stp>VOLUME</stp>
        <stp>.NDX260731C25325</stp>
        <tr r="U149" s="2"/>
      </tp>
      <tp t="s">
        <v>N/A</v>
        <stp/>
        <stp>VOLUME</stp>
        <stp>.NDX260403C25125</stp>
        <tr r="Q157" s="2"/>
      </tp>
      <tp t="s">
        <v>N/A</v>
        <stp/>
        <stp>VOLUME</stp>
        <stp>.NDX251219C24825</stp>
        <tr r="K169" s="2"/>
      </tp>
      <tp t="s">
        <v>N/A</v>
        <stp/>
        <stp>VOLUME</stp>
        <stp>.NDX251231C25025</stp>
        <tr r="O161" s="2"/>
      </tp>
      <tp t="s">
        <v>N/A</v>
        <stp/>
        <stp>VOLUME</stp>
        <stp>.NDX261002C25025</stp>
        <tr r="W161" s="2"/>
      </tp>
      <tp>
        <v>7</v>
        <stp/>
        <stp>VOLUME</stp>
        <stp>.NDX251121C25025</stp>
        <tr r="T160" s="1"/>
        <tr r="T160" s="1"/>
      </tp>
      <tp t="s">
        <v>N/A</v>
        <stp/>
        <stp>VOLUME</stp>
        <stp>.NDX251128C24925</stp>
        <tr r="H165" s="2"/>
      </tp>
      <tp t="s">
        <v>N/A</v>
        <stp/>
        <stp>VOLUME</stp>
        <stp>.NDX260731C24300</stp>
        <tr r="U190" s="2"/>
      </tp>
      <tp t="s">
        <v>N/A</v>
        <stp/>
        <stp>VOLUME</stp>
        <stp>.NDX260731C25300</stp>
        <tr r="U150" s="2"/>
      </tp>
      <tp t="s">
        <v>N/A</v>
        <stp/>
        <stp>VOLUME</stp>
        <stp>.NDX260403C25100</stp>
        <tr r="Q158" s="2"/>
      </tp>
      <tp t="s">
        <v>N/A</v>
        <stp/>
        <stp>VOLUME</stp>
        <stp>.NDX260130C25200</stp>
        <tr r="M154" s="2"/>
      </tp>
      <tp t="s">
        <v>N/A</v>
        <stp/>
        <stp>VOLUME</stp>
        <stp>.NDX251219C24800</stp>
        <tr r="K170" s="2"/>
      </tp>
      <tp t="s">
        <v>N/A</v>
        <stp/>
        <stp>VOLUME</stp>
        <stp>.NDX251231C25000</stp>
        <tr r="O162" s="2"/>
      </tp>
      <tp>
        <v>1</v>
        <stp/>
        <stp>VOLUME</stp>
        <stp>.NDX251121C25000</stp>
        <tr r="T161" s="1"/>
        <tr r="T161" s="1"/>
      </tp>
      <tp t="s">
        <v>N/A</v>
        <stp/>
        <stp>VOLUME</stp>
        <stp>.NDX251128C24900</stp>
        <tr r="H166" s="2"/>
      </tp>
      <tp t="s">
        <v>N/A</v>
        <stp/>
        <stp>VOLUME</stp>
        <stp>.NDX261002C25000</stp>
        <tr r="W162" s="2"/>
      </tp>
      <tp t="s">
        <v>N/A</v>
        <stp/>
        <stp>VOLUME</stp>
        <stp>.NDX251219C24875</stp>
        <tr r="K167" s="2"/>
      </tp>
      <tp t="s">
        <v>N/A</v>
        <stp/>
        <stp>VOLUME</stp>
        <stp>.NDX251231C25075</stp>
        <tr r="O159" s="2"/>
      </tp>
      <tp t="s">
        <v>N/A</v>
        <stp/>
        <stp>VOLUME</stp>
        <stp>.NDX261002C25075</stp>
        <tr r="W159" s="2"/>
      </tp>
      <tp>
        <v>4</v>
        <stp/>
        <stp>VOLUME</stp>
        <stp>.NDX251121C25075</stp>
        <tr r="T158" s="1"/>
        <tr r="T158" s="1"/>
      </tp>
      <tp t="s">
        <v>N/A</v>
        <stp/>
        <stp>VOLUME</stp>
        <stp>.NDX251128C24975</stp>
        <tr r="H163" s="2"/>
      </tp>
      <tp t="s">
        <v>N/A</v>
        <stp/>
        <stp>VOLUME</stp>
        <stp>.NDX260130C25275</stp>
        <tr r="M151" s="2"/>
      </tp>
      <tp t="s">
        <v>N/A</v>
        <stp/>
        <stp>VOLUME</stp>
        <stp>.NDX260731C24375</stp>
        <tr r="U187" s="2"/>
      </tp>
      <tp t="s">
        <v>N/A</v>
        <stp/>
        <stp>VOLUME</stp>
        <stp>.NDX260731C25375</stp>
        <tr r="U147" s="2"/>
      </tp>
      <tp t="s">
        <v>N/A</v>
        <stp/>
        <stp>VOLUME</stp>
        <stp>.NDX260403C25175</stp>
        <tr r="Q155" s="2"/>
      </tp>
      <tp t="s">
        <v>N/A</v>
        <stp/>
        <stp>VOLUME</stp>
        <stp>.NDX251219C24850</stp>
        <tr r="K168" s="2"/>
      </tp>
      <tp t="s">
        <v>N/A</v>
        <stp/>
        <stp>VOLUME</stp>
        <stp>.NDX251231C25050</stp>
        <tr r="O160" s="2"/>
      </tp>
      <tp>
        <v>3</v>
        <stp/>
        <stp>VOLUME</stp>
        <stp>.NDX251121C25050</stp>
        <tr r="T159" s="1"/>
        <tr r="T159" s="1"/>
      </tp>
      <tp t="s">
        <v>N/A</v>
        <stp/>
        <stp>VOLUME</stp>
        <stp>.NDX251128C24950</stp>
        <tr r="H164" s="2"/>
      </tp>
      <tp t="s">
        <v>N/A</v>
        <stp/>
        <stp>VOLUME</stp>
        <stp>.NDX261002C25050</stp>
        <tr r="W160" s="2"/>
      </tp>
      <tp t="s">
        <v>N/A</v>
        <stp/>
        <stp>VOLUME</stp>
        <stp>.NDX260731C24350</stp>
        <tr r="U188" s="2"/>
      </tp>
      <tp t="s">
        <v>N/A</v>
        <stp/>
        <stp>VOLUME</stp>
        <stp>.NDX260731C25350</stp>
        <tr r="U148" s="2"/>
      </tp>
      <tp t="s">
        <v>N/A</v>
        <stp/>
        <stp>VOLUME</stp>
        <stp>.NDX260403C25150</stp>
        <tr r="Q156" s="2"/>
      </tp>
      <tp t="s">
        <v>N/A</v>
        <stp/>
        <stp>VOLUME</stp>
        <stp>.NDX260130C25250</stp>
        <tr r="M152" s="2"/>
      </tp>
      <tp>
        <v>10</v>
        <stp/>
        <stp>VOLUME</stp>
        <stp>.NDX251219P24900</stp>
        <tr r="K166" s="2"/>
        <tr r="K166" s="2"/>
      </tp>
      <tp t="s">
        <v>N/A</v>
        <stp/>
        <stp>VOLUME</stp>
        <stp>.NDX251231P25100</stp>
        <tr r="O158" s="2"/>
      </tp>
      <tp>
        <v>2</v>
        <stp/>
        <stp>VOLUME</stp>
        <stp>.NDX251121P25100</stp>
        <tr r="U157" s="1"/>
        <tr r="U157" s="1"/>
      </tp>
      <tp t="s">
        <v>N/A</v>
        <stp/>
        <stp>VOLUME</stp>
        <stp>.NDX251128P24800</stp>
        <tr r="H170" s="2"/>
      </tp>
      <tp t="s">
        <v>N/A</v>
        <stp/>
        <stp>VOLUME</stp>
        <stp>.NDX261002P25100</stp>
        <tr r="W158" s="2"/>
      </tp>
      <tp t="s">
        <v>N/A</v>
        <stp/>
        <stp>VOLUME</stp>
        <stp>.NDX260731P25200</stp>
        <tr r="U154" s="2"/>
      </tp>
      <tp t="s">
        <v>N/A</v>
        <stp/>
        <stp>VOLUME</stp>
        <stp>.NDX260403P25000</stp>
        <tr r="Q162" s="2"/>
      </tp>
      <tp t="s">
        <v>N/A</v>
        <stp/>
        <stp>VOLUME</stp>
        <stp>.NDX260130P24300</stp>
        <tr r="M190" s="2"/>
      </tp>
      <tp t="s">
        <v>N/A</v>
        <stp/>
        <stp>VOLUME</stp>
        <stp>.NDX260130P25300</stp>
        <tr r="M150" s="2"/>
      </tp>
      <tp>
        <v>1</v>
        <stp/>
        <stp>VOLUME</stp>
        <stp>.NDX251219P24925</stp>
        <tr r="K165" s="2"/>
        <tr r="K165" s="2"/>
      </tp>
      <tp t="s">
        <v>N/A</v>
        <stp/>
        <stp>VOLUME</stp>
        <stp>.NDX251231P25125</stp>
        <tr r="O157" s="2"/>
      </tp>
      <tp t="s">
        <v>N/A</v>
        <stp/>
        <stp>VOLUME</stp>
        <stp>.NDX261002P25125</stp>
        <tr r="W157" s="2"/>
      </tp>
      <tp>
        <v>2</v>
        <stp/>
        <stp>VOLUME</stp>
        <stp>.NDX251121P25125</stp>
        <tr r="U156" s="1"/>
        <tr r="U156" s="1"/>
      </tp>
      <tp t="s">
        <v>N/A</v>
        <stp/>
        <stp>VOLUME</stp>
        <stp>.NDX251128P24825</stp>
        <tr r="H169" s="2"/>
      </tp>
      <tp t="s">
        <v>N/A</v>
        <stp/>
        <stp>VOLUME</stp>
        <stp>.NDX260130P24325</stp>
        <tr r="M189" s="2"/>
      </tp>
      <tp t="s">
        <v>N/A</v>
        <stp/>
        <stp>VOLUME</stp>
        <stp>.NDX260130P25325</stp>
        <tr r="M149" s="2"/>
      </tp>
      <tp t="s">
        <v>N/A</v>
        <stp/>
        <stp>VOLUME</stp>
        <stp>.NDX260731P25225</stp>
        <tr r="U153" s="2"/>
      </tp>
      <tp t="s">
        <v>N/A</v>
        <stp/>
        <stp>VOLUME</stp>
        <stp>.NDX260403P25025</stp>
        <tr r="Q161" s="2"/>
      </tp>
      <tp t="s">
        <v>N/A</v>
        <stp/>
        <stp>VOLUME</stp>
        <stp>.NDX260731P25250</stp>
        <tr r="U152" s="2"/>
      </tp>
      <tp t="s">
        <v>N/A</v>
        <stp/>
        <stp>VOLUME</stp>
        <stp>.NDX260403P25050</stp>
        <tr r="Q160" s="2"/>
      </tp>
      <tp t="s">
        <v>N/A</v>
        <stp/>
        <stp>VOLUME</stp>
        <stp>.NDX260130P24350</stp>
        <tr r="M188" s="2"/>
      </tp>
      <tp t="s">
        <v>N/A</v>
        <stp/>
        <stp>VOLUME</stp>
        <stp>.NDX260130P25350</stp>
        <tr r="M148" s="2"/>
      </tp>
      <tp t="s">
        <v>N/A</v>
        <stp/>
        <stp>VOLUME</stp>
        <stp>.NDX251219P24950</stp>
        <tr r="K164" s="2"/>
      </tp>
      <tp t="s">
        <v>N/A</v>
        <stp/>
        <stp>VOLUME</stp>
        <stp>.NDX251231P25150</stp>
        <tr r="O156" s="2"/>
      </tp>
      <tp>
        <v>3</v>
        <stp/>
        <stp>VOLUME</stp>
        <stp>.NDX251121P25150</stp>
        <tr r="U155" s="1"/>
        <tr r="U155" s="1"/>
      </tp>
      <tp t="s">
        <v>N/A</v>
        <stp/>
        <stp>VOLUME</stp>
        <stp>.NDX251128P24850</stp>
        <tr r="H168" s="2"/>
      </tp>
      <tp t="s">
        <v>N/A</v>
        <stp/>
        <stp>VOLUME</stp>
        <stp>.NDX261002P25150</stp>
        <tr r="W156" s="2"/>
      </tp>
      <tp t="s">
        <v>N/A</v>
        <stp/>
        <stp>VOLUME</stp>
        <stp>.NDX260130P24375</stp>
        <tr r="M187" s="2"/>
      </tp>
      <tp t="s">
        <v>N/A</v>
        <stp/>
        <stp>VOLUME</stp>
        <stp>.NDX260130P25375</stp>
        <tr r="M147" s="2"/>
      </tp>
      <tp t="s">
        <v>N/A</v>
        <stp/>
        <stp>VOLUME</stp>
        <stp>.NDX260731P25275</stp>
        <tr r="U151" s="2"/>
      </tp>
      <tp t="s">
        <v>N/A</v>
        <stp/>
        <stp>VOLUME</stp>
        <stp>.NDX260403P25075</stp>
        <tr r="Q159" s="2"/>
      </tp>
      <tp t="s">
        <v>N/A</v>
        <stp/>
        <stp>VOLUME</stp>
        <stp>.NDX251219P24975</stp>
        <tr r="K163" s="2"/>
      </tp>
      <tp t="s">
        <v>N/A</v>
        <stp/>
        <stp>VOLUME</stp>
        <stp>.NDX251231P25175</stp>
        <tr r="O155" s="2"/>
      </tp>
      <tp t="s">
        <v>N/A</v>
        <stp/>
        <stp>VOLUME</stp>
        <stp>.NDX261002P25175</stp>
        <tr r="W155" s="2"/>
      </tp>
      <tp>
        <v>1</v>
        <stp/>
        <stp>VOLUME</stp>
        <stp>.NDX251121P25175</stp>
        <tr r="U154" s="1"/>
        <tr r="U154" s="1"/>
      </tp>
      <tp t="s">
        <v>N/A</v>
        <stp/>
        <stp>VOLUME</stp>
        <stp>.NDX251128P24875</stp>
        <tr r="H167" s="2"/>
      </tp>
      <tp t="s">
        <v>N/A</v>
        <stp/>
        <stp>VOLUME</stp>
        <stp>.NDX260130C24325</stp>
        <tr r="M189" s="2"/>
      </tp>
      <tp t="s">
        <v>N/A</v>
        <stp/>
        <stp>VOLUME</stp>
        <stp>.NDX260130C25325</stp>
        <tr r="M149" s="2"/>
      </tp>
      <tp t="s">
        <v>N/A</v>
        <stp/>
        <stp>VOLUME</stp>
        <stp>.NDX260731C25225</stp>
        <tr r="U153" s="2"/>
      </tp>
      <tp t="s">
        <v>N/A</v>
        <stp/>
        <stp>VOLUME</stp>
        <stp>.NDX260403C25025</stp>
        <tr r="Q161" s="2"/>
      </tp>
      <tp t="s">
        <v>N/A</v>
        <stp/>
        <stp>VOLUME</stp>
        <stp>.NDX251219C24925</stp>
        <tr r="K165" s="2"/>
      </tp>
      <tp t="s">
        <v>N/A</v>
        <stp/>
        <stp>VOLUME</stp>
        <stp>.NDX251231C25125</stp>
        <tr r="O157" s="2"/>
      </tp>
      <tp t="s">
        <v>N/A</v>
        <stp/>
        <stp>VOLUME</stp>
        <stp>.NDX261002C25125</stp>
        <tr r="W157" s="2"/>
      </tp>
      <tp>
        <v>13</v>
        <stp/>
        <stp>VOLUME</stp>
        <stp>.NDX251121C25125</stp>
        <tr r="T156" s="1"/>
        <tr r="T156" s="1"/>
      </tp>
      <tp t="s">
        <v>N/A</v>
        <stp/>
        <stp>VOLUME</stp>
        <stp>.NDX251128C24825</stp>
        <tr r="H169" s="2"/>
      </tp>
      <tp t="s">
        <v>N/A</v>
        <stp/>
        <stp>VOLUME</stp>
        <stp>.NDX260731C25200</stp>
        <tr r="U154" s="2"/>
      </tp>
      <tp t="s">
        <v>N/A</v>
        <stp/>
        <stp>VOLUME</stp>
        <stp>.NDX260403C25000</stp>
        <tr r="Q162" s="2"/>
      </tp>
      <tp t="s">
        <v>N/A</v>
        <stp/>
        <stp>VOLUME</stp>
        <stp>.NDX260130C24300</stp>
        <tr r="M190" s="2"/>
      </tp>
      <tp t="s">
        <v>N/A</v>
        <stp/>
        <stp>VOLUME</stp>
        <stp>.NDX260130C25300</stp>
        <tr r="M150" s="2"/>
      </tp>
      <tp>
        <v>3</v>
        <stp/>
        <stp>VOLUME</stp>
        <stp>.NDX251219C24900</stp>
        <tr r="K166" s="2"/>
        <tr r="K166" s="2"/>
      </tp>
      <tp t="s">
        <v>N/A</v>
        <stp/>
        <stp>VOLUME</stp>
        <stp>.NDX251231C25100</stp>
        <tr r="O158" s="2"/>
      </tp>
      <tp>
        <v>23</v>
        <stp/>
        <stp>VOLUME</stp>
        <stp>.NDX251121C25100</stp>
        <tr r="T157" s="1"/>
        <tr r="T157" s="1"/>
      </tp>
      <tp t="s">
        <v>N/A</v>
        <stp/>
        <stp>VOLUME</stp>
        <stp>.NDX251128C24800</stp>
        <tr r="H170" s="2"/>
      </tp>
      <tp t="s">
        <v>N/A</v>
        <stp/>
        <stp>VOLUME</stp>
        <stp>.NDX261002C25100</stp>
        <tr r="W158" s="2"/>
      </tp>
      <tp t="s">
        <v>N/A</v>
        <stp/>
        <stp>VOLUME</stp>
        <stp>.NDX251219C24975</stp>
        <tr r="K163" s="2"/>
      </tp>
      <tp t="s">
        <v>N/A</v>
        <stp/>
        <stp>VOLUME</stp>
        <stp>.NDX251231C25175</stp>
        <tr r="O155" s="2"/>
      </tp>
      <tp t="s">
        <v>N/A</v>
        <stp/>
        <stp>VOLUME</stp>
        <stp>.NDX261002C25175</stp>
        <tr r="W155" s="2"/>
      </tp>
      <tp>
        <v>3</v>
        <stp/>
        <stp>VOLUME</stp>
        <stp>.NDX251121C25175</stp>
        <tr r="T154" s="1"/>
        <tr r="T154" s="1"/>
      </tp>
      <tp t="s">
        <v>N/A</v>
        <stp/>
        <stp>VOLUME</stp>
        <stp>.NDX251128C24875</stp>
        <tr r="H167" s="2"/>
      </tp>
      <tp t="s">
        <v>N/A</v>
        <stp/>
        <stp>VOLUME</stp>
        <stp>.NDX260130C24375</stp>
        <tr r="M187" s="2"/>
      </tp>
      <tp t="s">
        <v>N/A</v>
        <stp/>
        <stp>VOLUME</stp>
        <stp>.NDX260130C25375</stp>
        <tr r="M147" s="2"/>
      </tp>
      <tp t="s">
        <v>N/A</v>
        <stp/>
        <stp>VOLUME</stp>
        <stp>.NDX260731C25275</stp>
        <tr r="U151" s="2"/>
      </tp>
      <tp t="s">
        <v>N/A</v>
        <stp/>
        <stp>VOLUME</stp>
        <stp>.NDX260403C25075</stp>
        <tr r="Q159" s="2"/>
      </tp>
      <tp t="s">
        <v>N/A</v>
        <stp/>
        <stp>VOLUME</stp>
        <stp>.NDX251219C24950</stp>
        <tr r="K164" s="2"/>
      </tp>
      <tp t="s">
        <v>N/A</v>
        <stp/>
        <stp>VOLUME</stp>
        <stp>.NDX251231C25150</stp>
        <tr r="O156" s="2"/>
      </tp>
      <tp>
        <v>6</v>
        <stp/>
        <stp>VOLUME</stp>
        <stp>.NDX251121C25150</stp>
        <tr r="T155" s="1"/>
        <tr r="T155" s="1"/>
      </tp>
      <tp t="s">
        <v>N/A</v>
        <stp/>
        <stp>VOLUME</stp>
        <stp>.NDX251128C24850</stp>
        <tr r="H168" s="2"/>
      </tp>
      <tp t="s">
        <v>N/A</v>
        <stp/>
        <stp>VOLUME</stp>
        <stp>.NDX261002C25150</stp>
        <tr r="W156" s="2"/>
      </tp>
      <tp t="s">
        <v>N/A</v>
        <stp/>
        <stp>VOLUME</stp>
        <stp>.NDX260731C25250</stp>
        <tr r="U152" s="2"/>
      </tp>
      <tp t="s">
        <v>N/A</v>
        <stp/>
        <stp>VOLUME</stp>
        <stp>.NDX260403C25050</stp>
        <tr r="Q160" s="2"/>
      </tp>
      <tp t="s">
        <v>N/A</v>
        <stp/>
        <stp>VOLUME</stp>
        <stp>.NDX260130C24350</stp>
        <tr r="M188" s="2"/>
      </tp>
      <tp t="s">
        <v>N/A</v>
        <stp/>
        <stp>VOLUME</stp>
        <stp>.NDX260130C25350</stp>
        <tr r="M148" s="2"/>
      </tp>
      <tp t="s">
        <v>N/A</v>
        <stp/>
        <stp>VOLUME</stp>
        <stp>.NDX251231P24600</stp>
        <tr r="O178" s="2"/>
      </tp>
      <tp t="s">
        <v>N/A</v>
        <stp/>
        <stp>VOLUME</stp>
        <stp>.NDX251231P25600</stp>
        <tr r="O138" s="2"/>
      </tp>
      <tp t="s">
        <v>N/A</v>
        <stp/>
        <stp>VOLUME</stp>
        <stp>.NDX251121P25600</stp>
        <tr r="U137" s="1"/>
      </tp>
      <tp>
        <v>7</v>
        <stp/>
        <stp>VOLUME</stp>
        <stp>.NDX251121P24600</stp>
        <tr r="U177" s="1"/>
        <tr r="U177" s="1"/>
      </tp>
      <tp t="s">
        <v>N/A</v>
        <stp/>
        <stp>VOLUME</stp>
        <stp>.NDX261002P25600</stp>
        <tr r="W138" s="2"/>
      </tp>
      <tp t="s">
        <v>N/A</v>
        <stp/>
        <stp>VOLUME</stp>
        <stp>.NDX261002P24600</stp>
        <tr r="W178" s="2"/>
      </tp>
      <tp t="s">
        <v>N/A</v>
        <stp/>
        <stp>VOLUME</stp>
        <stp>.NDX260731P24500</stp>
        <tr r="U182" s="2"/>
      </tp>
      <tp t="s">
        <v>N/A</v>
        <stp/>
        <stp>VOLUME</stp>
        <stp>.NDX260731P25500</stp>
        <tr r="U142" s="2"/>
      </tp>
      <tp t="s">
        <v>N/A</v>
        <stp/>
        <stp>VOLUME</stp>
        <stp>.NDX260403P24700</stp>
        <tr r="Q174" s="2"/>
      </tp>
      <tp t="s">
        <v>N/A</v>
        <stp/>
        <stp>VOLUME</stp>
        <stp>.NDX260130P24400</stp>
        <tr r="M186" s="2"/>
      </tp>
      <tp t="s">
        <v>N/A</v>
        <stp/>
        <stp>VOLUME</stp>
        <stp>.NDX260130P25400</stp>
        <tr r="M146" s="2"/>
      </tp>
      <tp t="s">
        <v>N/A</v>
        <stp/>
        <stp>VOLUME</stp>
        <stp>.NDX251231P24625</stp>
        <tr r="O177" s="2"/>
      </tp>
      <tp t="s">
        <v>N/A</v>
        <stp/>
        <stp>VOLUME</stp>
        <stp>.NDX261002P24625</stp>
        <tr r="W177" s="2"/>
      </tp>
      <tp>
        <v>5</v>
        <stp/>
        <stp>VOLUME</stp>
        <stp>.NDX251121P24625</stp>
        <tr r="U176" s="1"/>
        <tr r="U176" s="1"/>
      </tp>
      <tp t="s">
        <v>N/A</v>
        <stp/>
        <stp>VOLUME</stp>
        <stp>.NDX260130P24425</stp>
        <tr r="M185" s="2"/>
      </tp>
      <tp t="s">
        <v>N/A</v>
        <stp/>
        <stp>VOLUME</stp>
        <stp>.NDX260130P25425</stp>
        <tr r="M145" s="2"/>
      </tp>
      <tp t="s">
        <v>N/A</v>
        <stp/>
        <stp>VOLUME</stp>
        <stp>.NDX260731P24525</stp>
        <tr r="U181" s="2"/>
      </tp>
      <tp t="s">
        <v>N/A</v>
        <stp/>
        <stp>VOLUME</stp>
        <stp>.NDX260731P25525</stp>
        <tr r="U141" s="2"/>
      </tp>
      <tp t="s">
        <v>N/A</v>
        <stp/>
        <stp>VOLUME</stp>
        <stp>.NDX260403P24725</stp>
        <tr r="Q173" s="2"/>
      </tp>
      <tp t="s">
        <v>N/A</v>
        <stp/>
        <stp>VOLUME</stp>
        <stp>.NDX260731P24550</stp>
        <tr r="U180" s="2"/>
      </tp>
      <tp t="s">
        <v>N/A</v>
        <stp/>
        <stp>VOLUME</stp>
        <stp>.NDX260731P25550</stp>
        <tr r="U140" s="2"/>
      </tp>
      <tp t="s">
        <v>N/A</v>
        <stp/>
        <stp>VOLUME</stp>
        <stp>.NDX260403P24750</stp>
        <tr r="Q172" s="2"/>
      </tp>
      <tp t="s">
        <v>N/A</v>
        <stp/>
        <stp>VOLUME</stp>
        <stp>.NDX260130P24450</stp>
        <tr r="M184" s="2"/>
      </tp>
      <tp t="s">
        <v>N/A</v>
        <stp/>
        <stp>VOLUME</stp>
        <stp>.NDX260130P25450</stp>
        <tr r="M144" s="2"/>
      </tp>
      <tp t="s">
        <v>N/A</v>
        <stp/>
        <stp>VOLUME</stp>
        <stp>.NDX251231P24650</stp>
        <tr r="O176" s="2"/>
      </tp>
      <tp>
        <v>3</v>
        <stp/>
        <stp>VOLUME</stp>
        <stp>.NDX251121P24650</stp>
        <tr r="U175" s="1"/>
        <tr r="U175" s="1"/>
      </tp>
      <tp t="s">
        <v>N/A</v>
        <stp/>
        <stp>VOLUME</stp>
        <stp>.NDX261002P24650</stp>
        <tr r="W176" s="2"/>
      </tp>
      <tp t="s">
        <v>N/A</v>
        <stp/>
        <stp>VOLUME</stp>
        <stp>.NDX260130P24475</stp>
        <tr r="M183" s="2"/>
      </tp>
      <tp t="s">
        <v>N/A</v>
        <stp/>
        <stp>VOLUME</stp>
        <stp>.NDX260130P25475</stp>
        <tr r="M143" s="2"/>
      </tp>
      <tp t="s">
        <v>N/A</v>
        <stp/>
        <stp>VOLUME</stp>
        <stp>.NDX260731P24575</stp>
        <tr r="U179" s="2"/>
      </tp>
      <tp t="s">
        <v>N/A</v>
        <stp/>
        <stp>VOLUME</stp>
        <stp>.NDX260731P25575</stp>
        <tr r="U139" s="2"/>
      </tp>
      <tp t="s">
        <v>N/A</v>
        <stp/>
        <stp>VOLUME</stp>
        <stp>.NDX260403P24775</stp>
        <tr r="Q171" s="2"/>
      </tp>
      <tp t="s">
        <v>N/A</v>
        <stp/>
        <stp>VOLUME</stp>
        <stp>.NDX251231P24675</stp>
        <tr r="O175" s="2"/>
      </tp>
      <tp t="s">
        <v>N/A</v>
        <stp/>
        <stp>VOLUME</stp>
        <stp>.NDX261002P24675</stp>
        <tr r="W175" s="2"/>
      </tp>
      <tp>
        <v>3</v>
        <stp/>
        <stp>VOLUME</stp>
        <stp>.NDX251121P24675</stp>
        <tr r="U174" s="1"/>
        <tr r="U174" s="1"/>
      </tp>
      <tp t="s">
        <v>N/A</v>
        <stp/>
        <stp>VOLUME</stp>
        <stp>.NDX260130C24425</stp>
        <tr r="M185" s="2"/>
      </tp>
      <tp t="s">
        <v>N/A</v>
        <stp/>
        <stp>VOLUME</stp>
        <stp>.NDX260130C25425</stp>
        <tr r="M145" s="2"/>
      </tp>
      <tp t="s">
        <v>N/A</v>
        <stp/>
        <stp>VOLUME</stp>
        <stp>.NDX260731C24525</stp>
        <tr r="U181" s="2"/>
      </tp>
      <tp t="s">
        <v>N/A</v>
        <stp/>
        <stp>VOLUME</stp>
        <stp>.NDX260731C25525</stp>
        <tr r="U141" s="2"/>
      </tp>
      <tp t="s">
        <v>N/A</v>
        <stp/>
        <stp>VOLUME</stp>
        <stp>.NDX260403C24725</stp>
        <tr r="Q173" s="2"/>
      </tp>
      <tp t="s">
        <v>N/A</v>
        <stp/>
        <stp>VOLUME</stp>
        <stp>.NDX251231C24625</stp>
        <tr r="O177" s="2"/>
      </tp>
      <tp t="s">
        <v>N/A</v>
        <stp/>
        <stp>VOLUME</stp>
        <stp>.NDX261002C24625</stp>
        <tr r="W177" s="2"/>
      </tp>
      <tp t="s">
        <v>N/A</v>
        <stp/>
        <stp>VOLUME</stp>
        <stp>.NDX251121C24625</stp>
        <tr r="T176" s="1"/>
      </tp>
      <tp t="s">
        <v>N/A</v>
        <stp/>
        <stp>VOLUME</stp>
        <stp>.NDX260731C24500</stp>
        <tr r="U182" s="2"/>
      </tp>
      <tp t="s">
        <v>N/A</v>
        <stp/>
        <stp>VOLUME</stp>
        <stp>.NDX260731C25500</stp>
        <tr r="U142" s="2"/>
      </tp>
      <tp t="s">
        <v>N/A</v>
        <stp/>
        <stp>VOLUME</stp>
        <stp>.NDX260403C24700</stp>
        <tr r="Q174" s="2"/>
      </tp>
      <tp t="s">
        <v>N/A</v>
        <stp/>
        <stp>VOLUME</stp>
        <stp>.NDX260130C24400</stp>
        <tr r="M186" s="2"/>
      </tp>
      <tp t="s">
        <v>N/A</v>
        <stp/>
        <stp>VOLUME</stp>
        <stp>.NDX260130C25400</stp>
        <tr r="M146" s="2"/>
      </tp>
      <tp t="s">
        <v>N/A</v>
        <stp/>
        <stp>VOLUME</stp>
        <stp>.NDX251231C24600</stp>
        <tr r="O178" s="2"/>
      </tp>
      <tp t="s">
        <v>N/A</v>
        <stp/>
        <stp>VOLUME</stp>
        <stp>.NDX251231C25600</stp>
        <tr r="O138" s="2"/>
      </tp>
      <tp>
        <v>10</v>
        <stp/>
        <stp>VOLUME</stp>
        <stp>.NDX251121C25600</stp>
        <tr r="T137" s="1"/>
        <tr r="T137" s="1"/>
      </tp>
      <tp>
        <v>12</v>
        <stp/>
        <stp>VOLUME</stp>
        <stp>.NDX251121C24600</stp>
        <tr r="T177" s="1"/>
        <tr r="T177" s="1"/>
      </tp>
      <tp t="s">
        <v>N/A</v>
        <stp/>
        <stp>VOLUME</stp>
        <stp>.NDX261002C25600</stp>
        <tr r="W138" s="2"/>
      </tp>
      <tp t="s">
        <v>N/A</v>
        <stp/>
        <stp>VOLUME</stp>
        <stp>.NDX261002C24600</stp>
        <tr r="W178" s="2"/>
      </tp>
      <tp t="s">
        <v>N/A</v>
        <stp/>
        <stp>VOLUME</stp>
        <stp>.NDX251231C24675</stp>
        <tr r="O175" s="2"/>
      </tp>
      <tp t="s">
        <v>N/A</v>
        <stp/>
        <stp>VOLUME</stp>
        <stp>.NDX261002C24675</stp>
        <tr r="W175" s="2"/>
      </tp>
      <tp>
        <v>15</v>
        <stp/>
        <stp>VOLUME</stp>
        <stp>.NDX251121C24675</stp>
        <tr r="T174" s="1"/>
        <tr r="T174" s="1"/>
      </tp>
      <tp t="s">
        <v>N/A</v>
        <stp/>
        <stp>VOLUME</stp>
        <stp>.NDX260130C24475</stp>
        <tr r="M183" s="2"/>
      </tp>
      <tp t="s">
        <v>N/A</v>
        <stp/>
        <stp>VOLUME</stp>
        <stp>.NDX260130C25475</stp>
        <tr r="M143" s="2"/>
      </tp>
      <tp t="s">
        <v>N/A</v>
        <stp/>
        <stp>VOLUME</stp>
        <stp>.NDX260731C24575</stp>
        <tr r="U179" s="2"/>
      </tp>
      <tp t="s">
        <v>N/A</v>
        <stp/>
        <stp>VOLUME</stp>
        <stp>.NDX260731C25575</stp>
        <tr r="U139" s="2"/>
      </tp>
      <tp t="s">
        <v>N/A</v>
        <stp/>
        <stp>VOLUME</stp>
        <stp>.NDX260403C24775</stp>
        <tr r="Q171" s="2"/>
      </tp>
      <tp t="s">
        <v>N/A</v>
        <stp/>
        <stp>VOLUME</stp>
        <stp>.NDX251231C24650</stp>
        <tr r="O176" s="2"/>
      </tp>
      <tp t="s">
        <v>N/A</v>
        <stp/>
        <stp>VOLUME</stp>
        <stp>.NDX251121C24650</stp>
        <tr r="T175" s="1"/>
      </tp>
      <tp t="s">
        <v>N/A</v>
        <stp/>
        <stp>VOLUME</stp>
        <stp>.NDX261002C24650</stp>
        <tr r="W176" s="2"/>
      </tp>
      <tp t="s">
        <v>N/A</v>
        <stp/>
        <stp>VOLUME</stp>
        <stp>.NDX260731C24550</stp>
        <tr r="U180" s="2"/>
      </tp>
      <tp t="s">
        <v>N/A</v>
        <stp/>
        <stp>VOLUME</stp>
        <stp>.NDX260731C25550</stp>
        <tr r="U140" s="2"/>
      </tp>
      <tp t="s">
        <v>N/A</v>
        <stp/>
        <stp>VOLUME</stp>
        <stp>.NDX260403C24750</stp>
        <tr r="Q172" s="2"/>
      </tp>
      <tp t="s">
        <v>N/A</v>
        <stp/>
        <stp>VOLUME</stp>
        <stp>.NDX260130C24450</stp>
        <tr r="M184" s="2"/>
      </tp>
      <tp t="s">
        <v>N/A</v>
        <stp/>
        <stp>VOLUME</stp>
        <stp>.NDX260130C25450</stp>
        <tr r="M144" s="2"/>
      </tp>
      <tp t="s">
        <v>N/A</v>
        <stp/>
        <stp>VOLUME</stp>
        <stp>.NDX251231P24700</stp>
        <tr r="O174" s="2"/>
      </tp>
      <tp>
        <v>4</v>
        <stp/>
        <stp>VOLUME</stp>
        <stp>.NDX251121P24700</stp>
        <tr r="U173" s="1"/>
        <tr r="U173" s="1"/>
      </tp>
      <tp t="s">
        <v>N/A</v>
        <stp/>
        <stp>VOLUME</stp>
        <stp>.NDX261002P24700</stp>
        <tr r="W174" s="2"/>
      </tp>
      <tp t="s">
        <v>N/A</v>
        <stp/>
        <stp>VOLUME</stp>
        <stp>.NDX260731P24400</stp>
        <tr r="U186" s="2"/>
      </tp>
      <tp t="s">
        <v>N/A</v>
        <stp/>
        <stp>VOLUME</stp>
        <stp>.NDX260731P25400</stp>
        <tr r="U146" s="2"/>
      </tp>
      <tp t="s">
        <v>N/A</v>
        <stp/>
        <stp>VOLUME</stp>
        <stp>.NDX260403P25600</stp>
        <tr r="Q138" s="2"/>
      </tp>
      <tp t="s">
        <v>N/A</v>
        <stp/>
        <stp>VOLUME</stp>
        <stp>.NDX260403P24600</stp>
        <tr r="Q178" s="2"/>
      </tp>
      <tp t="s">
        <v>N/A</v>
        <stp/>
        <stp>VOLUME</stp>
        <stp>.NDX260130P24500</stp>
        <tr r="M182" s="2"/>
      </tp>
      <tp t="s">
        <v>N/A</v>
        <stp/>
        <stp>VOLUME</stp>
        <stp>.NDX260130P25500</stp>
        <tr r="M142" s="2"/>
      </tp>
      <tp t="s">
        <v>N/A</v>
        <stp/>
        <stp>VOLUME</stp>
        <stp>.NDX251231P24725</stp>
        <tr r="O173" s="2"/>
      </tp>
      <tp t="s">
        <v>N/A</v>
        <stp/>
        <stp>VOLUME</stp>
        <stp>.NDX261002P24725</stp>
        <tr r="W173" s="2"/>
      </tp>
      <tp>
        <v>1</v>
        <stp/>
        <stp>VOLUME</stp>
        <stp>.NDX251121P24725</stp>
        <tr r="U172" s="1"/>
        <tr r="U172" s="1"/>
      </tp>
      <tp t="s">
        <v>N/A</v>
        <stp/>
        <stp>VOLUME</stp>
        <stp>.NDX260130P24525</stp>
        <tr r="M181" s="2"/>
      </tp>
      <tp t="s">
        <v>N/A</v>
        <stp/>
        <stp>VOLUME</stp>
        <stp>.NDX260130P25525</stp>
        <tr r="M141" s="2"/>
      </tp>
      <tp t="s">
        <v>N/A</v>
        <stp/>
        <stp>VOLUME</stp>
        <stp>.NDX260731P24425</stp>
        <tr r="U185" s="2"/>
      </tp>
      <tp t="s">
        <v>N/A</v>
        <stp/>
        <stp>VOLUME</stp>
        <stp>.NDX260731P25425</stp>
        <tr r="U145" s="2"/>
      </tp>
      <tp t="s">
        <v>N/A</v>
        <stp/>
        <stp>VOLUME</stp>
        <stp>.NDX260403P24625</stp>
        <tr r="Q177" s="2"/>
      </tp>
      <tp t="s">
        <v>N/A</v>
        <stp/>
        <stp>VOLUME</stp>
        <stp>.NDX260731P24450</stp>
        <tr r="U184" s="2"/>
      </tp>
      <tp t="s">
        <v>N/A</v>
        <stp/>
        <stp>VOLUME</stp>
        <stp>.NDX260731P25450</stp>
        <tr r="U144" s="2"/>
      </tp>
      <tp t="s">
        <v>N/A</v>
        <stp/>
        <stp>VOLUME</stp>
        <stp>.NDX260403P24650</stp>
        <tr r="Q176" s="2"/>
      </tp>
      <tp t="s">
        <v>N/A</v>
        <stp/>
        <stp>VOLUME</stp>
        <stp>.NDX260130P24550</stp>
        <tr r="M180" s="2"/>
      </tp>
      <tp t="s">
        <v>N/A</v>
        <stp/>
        <stp>VOLUME</stp>
        <stp>.NDX260130P25550</stp>
        <tr r="M140" s="2"/>
      </tp>
      <tp t="s">
        <v>N/A</v>
        <stp/>
        <stp>VOLUME</stp>
        <stp>.NDX251231P24750</stp>
        <tr r="O172" s="2"/>
      </tp>
      <tp>
        <v>8</v>
        <stp/>
        <stp>VOLUME</stp>
        <stp>.NDX251121P24750</stp>
        <tr r="U171" s="1"/>
        <tr r="U171" s="1"/>
      </tp>
      <tp t="s">
        <v>N/A</v>
        <stp/>
        <stp>VOLUME</stp>
        <stp>.NDX261002P24750</stp>
        <tr r="W172" s="2"/>
      </tp>
      <tp t="s">
        <v>N/A</v>
        <stp/>
        <stp>VOLUME</stp>
        <stp>.NDX260130P24575</stp>
        <tr r="M179" s="2"/>
      </tp>
      <tp t="s">
        <v>N/A</v>
        <stp/>
        <stp>VOLUME</stp>
        <stp>.NDX260130P25575</stp>
        <tr r="M139" s="2"/>
      </tp>
      <tp t="s">
        <v>N/A</v>
        <stp/>
        <stp>VOLUME</stp>
        <stp>.NDX260731P24475</stp>
        <tr r="U183" s="2"/>
      </tp>
      <tp t="s">
        <v>N/A</v>
        <stp/>
        <stp>VOLUME</stp>
        <stp>.NDX260731P25475</stp>
        <tr r="U143" s="2"/>
      </tp>
      <tp t="s">
        <v>N/A</v>
        <stp/>
        <stp>VOLUME</stp>
        <stp>.NDX260403P24675</stp>
        <tr r="Q175" s="2"/>
      </tp>
      <tp t="s">
        <v>N/A</v>
        <stp/>
        <stp>VOLUME</stp>
        <stp>.NDX251231P24775</stp>
        <tr r="O171" s="2"/>
      </tp>
      <tp t="s">
        <v>N/A</v>
        <stp/>
        <stp>VOLUME</stp>
        <stp>.NDX261002P24775</stp>
        <tr r="W171" s="2"/>
      </tp>
      <tp>
        <v>13</v>
        <stp/>
        <stp>VOLUME</stp>
        <stp>.NDX251121P24775</stp>
        <tr r="U170" s="1"/>
        <tr r="U170" s="1"/>
      </tp>
      <tp t="s">
        <v>N/A</v>
        <stp/>
        <stp>VOLUME</stp>
        <stp>.NDX260130C24525</stp>
        <tr r="M181" s="2"/>
      </tp>
      <tp t="s">
        <v>N/A</v>
        <stp/>
        <stp>VOLUME</stp>
        <stp>.NDX260130C25525</stp>
        <tr r="M141" s="2"/>
      </tp>
      <tp t="s">
        <v>N/A</v>
        <stp/>
        <stp>VOLUME</stp>
        <stp>.NDX260731C24425</stp>
        <tr r="U185" s="2"/>
      </tp>
      <tp t="s">
        <v>N/A</v>
        <stp/>
        <stp>VOLUME</stp>
        <stp>.NDX260731C25425</stp>
        <tr r="U145" s="2"/>
      </tp>
      <tp t="s">
        <v>N/A</v>
        <stp/>
        <stp>VOLUME</stp>
        <stp>.NDX260403C24625</stp>
        <tr r="Q177" s="2"/>
      </tp>
      <tp t="s">
        <v>N/A</v>
        <stp/>
        <stp>VOLUME</stp>
        <stp>.NDX251231C24725</stp>
        <tr r="O173" s="2"/>
      </tp>
      <tp t="s">
        <v>N/A</v>
        <stp/>
        <stp>VOLUME</stp>
        <stp>.NDX261002C24725</stp>
        <tr r="W173" s="2"/>
      </tp>
      <tp t="s">
        <v>N/A</v>
        <stp/>
        <stp>VOLUME</stp>
        <stp>.NDX251121C24725</stp>
        <tr r="T172" s="1"/>
      </tp>
      <tp t="s">
        <v>N/A</v>
        <stp/>
        <stp>VOLUME</stp>
        <stp>.NDX260731C24400</stp>
        <tr r="U186" s="2"/>
      </tp>
      <tp t="s">
        <v>N/A</v>
        <stp/>
        <stp>VOLUME</stp>
        <stp>.NDX260731C25400</stp>
        <tr r="U146" s="2"/>
      </tp>
      <tp t="s">
        <v>N/A</v>
        <stp/>
        <stp>VOLUME</stp>
        <stp>.NDX260403C25600</stp>
        <tr r="Q138" s="2"/>
      </tp>
      <tp t="s">
        <v>N/A</v>
        <stp/>
        <stp>VOLUME</stp>
        <stp>.NDX260403C24600</stp>
        <tr r="Q178" s="2"/>
      </tp>
      <tp t="s">
        <v>N/A</v>
        <stp/>
        <stp>VOLUME</stp>
        <stp>.NDX260130C24500</stp>
        <tr r="M182" s="2"/>
      </tp>
      <tp t="s">
        <v>N/A</v>
        <stp/>
        <stp>VOLUME</stp>
        <stp>.NDX260130C25500</stp>
        <tr r="M142" s="2"/>
      </tp>
      <tp t="s">
        <v>N/A</v>
        <stp/>
        <stp>VOLUME</stp>
        <stp>.NDX251231C24700</stp>
        <tr r="O174" s="2"/>
      </tp>
      <tp>
        <v>1</v>
        <stp/>
        <stp>VOLUME</stp>
        <stp>.NDX251121C24700</stp>
        <tr r="T173" s="1"/>
        <tr r="T173" s="1"/>
      </tp>
      <tp t="s">
        <v>N/A</v>
        <stp/>
        <stp>VOLUME</stp>
        <stp>.NDX261002C24700</stp>
        <tr r="W174" s="2"/>
      </tp>
      <tp t="s">
        <v>N/A</v>
        <stp/>
        <stp>VOLUME</stp>
        <stp>.NDX251231C24775</stp>
        <tr r="O171" s="2"/>
      </tp>
      <tp t="s">
        <v>N/A</v>
        <stp/>
        <stp>VOLUME</stp>
        <stp>.NDX261002C24775</stp>
        <tr r="W171" s="2"/>
      </tp>
      <tp>
        <v>3</v>
        <stp/>
        <stp>VOLUME</stp>
        <stp>.NDX251121C24775</stp>
        <tr r="T170" s="1"/>
        <tr r="T170" s="1"/>
      </tp>
      <tp t="s">
        <v>N/A</v>
        <stp/>
        <stp>VOLUME</stp>
        <stp>.NDX260130C24575</stp>
        <tr r="M179" s="2"/>
      </tp>
      <tp t="s">
        <v>N/A</v>
        <stp/>
        <stp>VOLUME</stp>
        <stp>.NDX260130C25575</stp>
        <tr r="M139" s="2"/>
      </tp>
      <tp t="s">
        <v>N/A</v>
        <stp/>
        <stp>VOLUME</stp>
        <stp>.NDX260731C24475</stp>
        <tr r="U183" s="2"/>
      </tp>
      <tp t="s">
        <v>N/A</v>
        <stp/>
        <stp>VOLUME</stp>
        <stp>.NDX260731C25475</stp>
        <tr r="U143" s="2"/>
      </tp>
      <tp t="s">
        <v>N/A</v>
        <stp/>
        <stp>VOLUME</stp>
        <stp>.NDX260403C24675</stp>
        <tr r="Q175" s="2"/>
      </tp>
      <tp t="s">
        <v>N/A</v>
        <stp/>
        <stp>VOLUME</stp>
        <stp>.NDX251231C24750</stp>
        <tr r="O172" s="2"/>
      </tp>
      <tp t="s">
        <v>N/A</v>
        <stp/>
        <stp>VOLUME</stp>
        <stp>.NDX251121C24750</stp>
        <tr r="T171" s="1"/>
      </tp>
      <tp t="s">
        <v>N/A</v>
        <stp/>
        <stp>VOLUME</stp>
        <stp>.NDX261002C24750</stp>
        <tr r="W172" s="2"/>
      </tp>
      <tp t="s">
        <v>N/A</v>
        <stp/>
        <stp>VOLUME</stp>
        <stp>.NDX260731C24450</stp>
        <tr r="U184" s="2"/>
      </tp>
      <tp t="s">
        <v>N/A</v>
        <stp/>
        <stp>VOLUME</stp>
        <stp>.NDX260731C25450</stp>
        <tr r="U144" s="2"/>
      </tp>
      <tp t="s">
        <v>N/A</v>
        <stp/>
        <stp>VOLUME</stp>
        <stp>.NDX260403C24650</stp>
        <tr r="Q176" s="2"/>
      </tp>
      <tp t="s">
        <v>N/A</v>
        <stp/>
        <stp>VOLUME</stp>
        <stp>.NDX260130C24550</stp>
        <tr r="M180" s="2"/>
      </tp>
      <tp t="s">
        <v>N/A</v>
        <stp/>
        <stp>VOLUME</stp>
        <stp>.NDX260130C25550</stp>
        <tr r="M140" s="2"/>
      </tp>
      <tp>
        <v>6765</v>
        <stp/>
        <stp>MARK</stp>
        <stp>/ES:XCME</stp>
        <tr r="F3" s="1"/>
        <tr r="F84" s="1"/>
      </tp>
      <tp t="s">
        <v>N/A</v>
        <stp/>
        <stp>VOLUME</stp>
        <stp>.NDX251231P24400</stp>
        <tr r="O186" s="2"/>
      </tp>
      <tp t="s">
        <v>N/A</v>
        <stp/>
        <stp>VOLUME</stp>
        <stp>.NDX251231P25400</stp>
        <tr r="O146" s="2"/>
      </tp>
      <tp t="s">
        <v>N/A</v>
        <stp/>
        <stp>VOLUME</stp>
        <stp>.NDX251121P25400</stp>
        <tr r="U145" s="1"/>
      </tp>
      <tp>
        <v>17</v>
        <stp/>
        <stp>VOLUME</stp>
        <stp>.NDX251121P24400</stp>
        <tr r="U185" s="1"/>
        <tr r="U185" s="1"/>
      </tp>
      <tp t="s">
        <v>N/A</v>
        <stp/>
        <stp>VOLUME</stp>
        <stp>.NDX261002P25400</stp>
        <tr r="W146" s="2"/>
      </tp>
      <tp t="s">
        <v>N/A</v>
        <stp/>
        <stp>VOLUME</stp>
        <stp>.NDX261002P24400</stp>
        <tr r="W186" s="2"/>
      </tp>
      <tp t="s">
        <v>N/A</v>
        <stp/>
        <stp>VOLUME</stp>
        <stp>.NDX260731P24700</stp>
        <tr r="U174" s="2"/>
      </tp>
      <tp t="s">
        <v>N/A</v>
        <stp/>
        <stp>VOLUME</stp>
        <stp>.NDX260403P25500</stp>
        <tr r="Q142" s="2"/>
      </tp>
      <tp t="s">
        <v>N/A</v>
        <stp/>
        <stp>VOLUME</stp>
        <stp>.NDX260403P24500</stp>
        <tr r="Q182" s="2"/>
      </tp>
      <tp t="s">
        <v>N/A</v>
        <stp/>
        <stp>VOLUME</stp>
        <stp>.NDX260130P24600</stp>
        <tr r="M178" s="2"/>
      </tp>
      <tp t="s">
        <v>N/A</v>
        <stp/>
        <stp>VOLUME</stp>
        <stp>.NDX260130P25600</stp>
        <tr r="M138" s="2"/>
      </tp>
      <tp t="s">
        <v>N/A</v>
        <stp/>
        <stp>VOLUME</stp>
        <stp>.NDX251231P24425</stp>
        <tr r="O185" s="2"/>
      </tp>
      <tp t="s">
        <v>N/A</v>
        <stp/>
        <stp>VOLUME</stp>
        <stp>.NDX251231P25425</stp>
        <tr r="O145" s="2"/>
      </tp>
      <tp t="s">
        <v>N/A</v>
        <stp/>
        <stp>VOLUME</stp>
        <stp>.NDX261002P25425</stp>
        <tr r="W145" s="2"/>
      </tp>
      <tp t="s">
        <v>N/A</v>
        <stp/>
        <stp>VOLUME</stp>
        <stp>.NDX261002P24425</stp>
        <tr r="W185" s="2"/>
      </tp>
      <tp t="s">
        <v>N/A</v>
        <stp/>
        <stp>VOLUME</stp>
        <stp>.NDX251121P25425</stp>
        <tr r="U144" s="1"/>
      </tp>
      <tp>
        <v>4</v>
        <stp/>
        <stp>VOLUME</stp>
        <stp>.NDX251121P24425</stp>
        <tr r="U184" s="1"/>
        <tr r="U184" s="1"/>
      </tp>
      <tp t="s">
        <v>N/A</v>
        <stp/>
        <stp>VOLUME</stp>
        <stp>.NDX260130P24625</stp>
        <tr r="M177" s="2"/>
      </tp>
      <tp t="s">
        <v>N/A</v>
        <stp/>
        <stp>VOLUME</stp>
        <stp>.NDX260731P24725</stp>
        <tr r="U173" s="2"/>
      </tp>
      <tp t="s">
        <v>N/A</v>
        <stp/>
        <stp>VOLUME</stp>
        <stp>.NDX260403P25525</stp>
        <tr r="Q141" s="2"/>
      </tp>
      <tp t="s">
        <v>N/A</v>
        <stp/>
        <stp>VOLUME</stp>
        <stp>.NDX260403P24525</stp>
        <tr r="Q181" s="2"/>
      </tp>
      <tp t="s">
        <v>N/A</v>
        <stp/>
        <stp>VOLUME</stp>
        <stp>.NDX260731P24750</stp>
        <tr r="U172" s="2"/>
      </tp>
      <tp t="s">
        <v>N/A</v>
        <stp/>
        <stp>VOLUME</stp>
        <stp>.NDX260403P25550</stp>
        <tr r="Q140" s="2"/>
      </tp>
      <tp t="s">
        <v>N/A</v>
        <stp/>
        <stp>VOLUME</stp>
        <stp>.NDX260403P24550</stp>
        <tr r="Q180" s="2"/>
      </tp>
      <tp t="s">
        <v>N/A</v>
        <stp/>
        <stp>VOLUME</stp>
        <stp>.NDX260130P24650</stp>
        <tr r="M176" s="2"/>
      </tp>
      <tp t="s">
        <v>N/A</v>
        <stp/>
        <stp>VOLUME</stp>
        <stp>.NDX251231P24450</stp>
        <tr r="O184" s="2"/>
      </tp>
      <tp t="s">
        <v>N/A</v>
        <stp/>
        <stp>VOLUME</stp>
        <stp>.NDX251231P25450</stp>
        <tr r="O144" s="2"/>
      </tp>
      <tp t="s">
        <v>N/A</v>
        <stp/>
        <stp>VOLUME</stp>
        <stp>.NDX251121P25450</stp>
        <tr r="U143" s="1"/>
      </tp>
      <tp>
        <v>26</v>
        <stp/>
        <stp>VOLUME</stp>
        <stp>.NDX251121P24450</stp>
        <tr r="U183" s="1"/>
        <tr r="U183" s="1"/>
      </tp>
      <tp t="s">
        <v>N/A</v>
        <stp/>
        <stp>VOLUME</stp>
        <stp>.NDX261002P25450</stp>
        <tr r="W144" s="2"/>
      </tp>
      <tp t="s">
        <v>N/A</v>
        <stp/>
        <stp>VOLUME</stp>
        <stp>.NDX261002P24450</stp>
        <tr r="W184" s="2"/>
      </tp>
      <tp t="s">
        <v>N/A</v>
        <stp/>
        <stp>VOLUME</stp>
        <stp>.NDX260130P24675</stp>
        <tr r="M175" s="2"/>
      </tp>
      <tp t="s">
        <v>N/A</v>
        <stp/>
        <stp>VOLUME</stp>
        <stp>.NDX260731P24775</stp>
        <tr r="U171" s="2"/>
      </tp>
      <tp t="s">
        <v>N/A</v>
        <stp/>
        <stp>VOLUME</stp>
        <stp>.NDX260403P25575</stp>
        <tr r="Q139" s="2"/>
      </tp>
      <tp t="s">
        <v>N/A</v>
        <stp/>
        <stp>VOLUME</stp>
        <stp>.NDX260403P24575</stp>
        <tr r="Q179" s="2"/>
      </tp>
      <tp t="s">
        <v>N/A</v>
        <stp/>
        <stp>VOLUME</stp>
        <stp>.NDX251231P24475</stp>
        <tr r="O183" s="2"/>
      </tp>
      <tp t="s">
        <v>N/A</v>
        <stp/>
        <stp>VOLUME</stp>
        <stp>.NDX251231P25475</stp>
        <tr r="O143" s="2"/>
      </tp>
      <tp t="s">
        <v>N/A</v>
        <stp/>
        <stp>VOLUME</stp>
        <stp>.NDX261002P25475</stp>
        <tr r="W143" s="2"/>
      </tp>
      <tp t="s">
        <v>N/A</v>
        <stp/>
        <stp>VOLUME</stp>
        <stp>.NDX261002P24475</stp>
        <tr r="W183" s="2"/>
      </tp>
      <tp t="s">
        <v>N/A</v>
        <stp/>
        <stp>VOLUME</stp>
        <stp>.NDX251121P25475</stp>
        <tr r="U142" s="1"/>
      </tp>
      <tp>
        <v>6</v>
        <stp/>
        <stp>VOLUME</stp>
        <stp>.NDX251121P24475</stp>
        <tr r="U182" s="1"/>
        <tr r="U182" s="1"/>
      </tp>
      <tp t="s">
        <v>N/A</v>
        <stp/>
        <stp>VOLUME</stp>
        <stp>.NDX260130C24625</stp>
        <tr r="M177" s="2"/>
      </tp>
      <tp t="s">
        <v>N/A</v>
        <stp/>
        <stp>VOLUME</stp>
        <stp>.NDX260731C24725</stp>
        <tr r="U173" s="2"/>
      </tp>
      <tp t="s">
        <v>N/A</v>
        <stp/>
        <stp>VOLUME</stp>
        <stp>.NDX260403C25525</stp>
        <tr r="Q141" s="2"/>
      </tp>
      <tp t="s">
        <v>N/A</v>
        <stp/>
        <stp>VOLUME</stp>
        <stp>.NDX260403C24525</stp>
        <tr r="Q181" s="2"/>
      </tp>
      <tp t="s">
        <v>N/A</v>
        <stp/>
        <stp>VOLUME</stp>
        <stp>.NDX251231C24425</stp>
        <tr r="O185" s="2"/>
      </tp>
      <tp t="s">
        <v>N/A</v>
        <stp/>
        <stp>VOLUME</stp>
        <stp>.NDX251231C25425</stp>
        <tr r="O145" s="2"/>
      </tp>
      <tp t="s">
        <v>N/A</v>
        <stp/>
        <stp>VOLUME</stp>
        <stp>.NDX261002C25425</stp>
        <tr r="W145" s="2"/>
      </tp>
      <tp t="s">
        <v>N/A</v>
        <stp/>
        <stp>VOLUME</stp>
        <stp>.NDX261002C24425</stp>
        <tr r="W185" s="2"/>
      </tp>
      <tp t="s">
        <v>N/A</v>
        <stp/>
        <stp>VOLUME</stp>
        <stp>.NDX251121C25425</stp>
        <tr r="T144" s="1"/>
      </tp>
      <tp t="s">
        <v>N/A</v>
        <stp/>
        <stp>VOLUME</stp>
        <stp>.NDX251121C24425</stp>
        <tr r="T184" s="1"/>
      </tp>
      <tp t="s">
        <v>N/A</v>
        <stp/>
        <stp>VOLUME</stp>
        <stp>.NDX260731C24700</stp>
        <tr r="U174" s="2"/>
      </tp>
      <tp t="s">
        <v>N/A</v>
        <stp/>
        <stp>VOLUME</stp>
        <stp>.NDX260403C25500</stp>
        <tr r="Q142" s="2"/>
      </tp>
      <tp t="s">
        <v>N/A</v>
        <stp/>
        <stp>VOLUME</stp>
        <stp>.NDX260403C24500</stp>
        <tr r="Q182" s="2"/>
      </tp>
      <tp t="s">
        <v>N/A</v>
        <stp/>
        <stp>VOLUME</stp>
        <stp>.NDX260130C24600</stp>
        <tr r="M178" s="2"/>
      </tp>
      <tp t="s">
        <v>N/A</v>
        <stp/>
        <stp>VOLUME</stp>
        <stp>.NDX260130C25600</stp>
        <tr r="M138" s="2"/>
      </tp>
      <tp t="s">
        <v>N/A</v>
        <stp/>
        <stp>VOLUME</stp>
        <stp>.NDX251231C24400</stp>
        <tr r="O186" s="2"/>
      </tp>
      <tp t="s">
        <v>N/A</v>
        <stp/>
        <stp>VOLUME</stp>
        <stp>.NDX251231C25400</stp>
        <tr r="O146" s="2"/>
      </tp>
      <tp>
        <v>10</v>
        <stp/>
        <stp>VOLUME</stp>
        <stp>.NDX251121C25400</stp>
        <tr r="T145" s="1"/>
        <tr r="T145" s="1"/>
      </tp>
      <tp>
        <v>3</v>
        <stp/>
        <stp>VOLUME</stp>
        <stp>.NDX251121C24400</stp>
        <tr r="T185" s="1"/>
        <tr r="T185" s="1"/>
      </tp>
      <tp t="s">
        <v>N/A</v>
        <stp/>
        <stp>VOLUME</stp>
        <stp>.NDX261002C25400</stp>
        <tr r="W146" s="2"/>
      </tp>
      <tp t="s">
        <v>N/A</v>
        <stp/>
        <stp>VOLUME</stp>
        <stp>.NDX261002C24400</stp>
        <tr r="W186" s="2"/>
      </tp>
      <tp t="s">
        <v>N/A</v>
        <stp/>
        <stp>VOLUME</stp>
        <stp>.NDX251231C24475</stp>
        <tr r="O183" s="2"/>
      </tp>
      <tp t="s">
        <v>N/A</v>
        <stp/>
        <stp>VOLUME</stp>
        <stp>.NDX251231C25475</stp>
        <tr r="O143" s="2"/>
      </tp>
      <tp t="s">
        <v>N/A</v>
        <stp/>
        <stp>VOLUME</stp>
        <stp>.NDX261002C25475</stp>
        <tr r="W143" s="2"/>
      </tp>
      <tp t="s">
        <v>N/A</v>
        <stp/>
        <stp>VOLUME</stp>
        <stp>.NDX261002C24475</stp>
        <tr r="W183" s="2"/>
      </tp>
      <tp t="s">
        <v>N/A</v>
        <stp/>
        <stp>VOLUME</stp>
        <stp>.NDX251121C25475</stp>
        <tr r="T142" s="1"/>
      </tp>
      <tp t="s">
        <v>N/A</v>
        <stp/>
        <stp>VOLUME</stp>
        <stp>.NDX251121C24475</stp>
        <tr r="T182" s="1"/>
      </tp>
      <tp t="s">
        <v>N/A</v>
        <stp/>
        <stp>VOLUME</stp>
        <stp>.NDX260130C24675</stp>
        <tr r="M175" s="2"/>
      </tp>
      <tp t="s">
        <v>N/A</v>
        <stp/>
        <stp>VOLUME</stp>
        <stp>.NDX260731C24775</stp>
        <tr r="U171" s="2"/>
      </tp>
      <tp t="s">
        <v>N/A</v>
        <stp/>
        <stp>VOLUME</stp>
        <stp>.NDX260403C25575</stp>
        <tr r="Q139" s="2"/>
      </tp>
      <tp t="s">
        <v>N/A</v>
        <stp/>
        <stp>VOLUME</stp>
        <stp>.NDX260403C24575</stp>
        <tr r="Q179" s="2"/>
      </tp>
      <tp t="s">
        <v>N/A</v>
        <stp/>
        <stp>VOLUME</stp>
        <stp>.NDX251231C24450</stp>
        <tr r="O184" s="2"/>
      </tp>
      <tp t="s">
        <v>N/A</v>
        <stp/>
        <stp>VOLUME</stp>
        <stp>.NDX251231C25450</stp>
        <tr r="O144" s="2"/>
      </tp>
      <tp>
        <v>4</v>
        <stp/>
        <stp>VOLUME</stp>
        <stp>.NDX251121C25450</stp>
        <tr r="T143" s="1"/>
        <tr r="T143" s="1"/>
      </tp>
      <tp t="s">
        <v>N/A</v>
        <stp/>
        <stp>VOLUME</stp>
        <stp>.NDX251121C24450</stp>
        <tr r="T183" s="1"/>
      </tp>
      <tp t="s">
        <v>N/A</v>
        <stp/>
        <stp>VOLUME</stp>
        <stp>.NDX261002C25450</stp>
        <tr r="W144" s="2"/>
      </tp>
      <tp t="s">
        <v>N/A</v>
        <stp/>
        <stp>VOLUME</stp>
        <stp>.NDX261002C24450</stp>
        <tr r="W184" s="2"/>
      </tp>
      <tp t="s">
        <v>N/A</v>
        <stp/>
        <stp>VOLUME</stp>
        <stp>.NDX260731C24750</stp>
        <tr r="U172" s="2"/>
      </tp>
      <tp t="s">
        <v>N/A</v>
        <stp/>
        <stp>VOLUME</stp>
        <stp>.NDX260403C25550</stp>
        <tr r="Q140" s="2"/>
      </tp>
      <tp t="s">
        <v>N/A</v>
        <stp/>
        <stp>VOLUME</stp>
        <stp>.NDX260403C24550</stp>
        <tr r="Q180" s="2"/>
      </tp>
      <tp t="s">
        <v>N/A</v>
        <stp/>
        <stp>VOLUME</stp>
        <stp>.NDX260130C24650</stp>
        <tr r="M176" s="2"/>
      </tp>
      <tp t="s">
        <v>N/A</v>
        <stp/>
        <stp>VOLUME</stp>
        <stp>.NDX251231P24500</stp>
        <tr r="O182" s="2"/>
      </tp>
      <tp t="s">
        <v>N/A</v>
        <stp/>
        <stp>VOLUME</stp>
        <stp>.NDX251231P25500</stp>
        <tr r="O142" s="2"/>
      </tp>
      <tp>
        <v>1</v>
        <stp/>
        <stp>VOLUME</stp>
        <stp>.NDX251121P25500</stp>
        <tr r="U141" s="1"/>
        <tr r="U141" s="1"/>
      </tp>
      <tp>
        <v>83</v>
        <stp/>
        <stp>VOLUME</stp>
        <stp>.NDX251121P24500</stp>
        <tr r="U181" s="1"/>
        <tr r="U181" s="1"/>
      </tp>
      <tp t="s">
        <v>N/A</v>
        <stp/>
        <stp>VOLUME</stp>
        <stp>.NDX261002P25500</stp>
        <tr r="W142" s="2"/>
      </tp>
      <tp t="s">
        <v>N/A</v>
        <stp/>
        <stp>VOLUME</stp>
        <stp>.NDX261002P24500</stp>
        <tr r="W182" s="2"/>
      </tp>
      <tp t="s">
        <v>N/A</v>
        <stp/>
        <stp>VOLUME</stp>
        <stp>.NDX260731P24600</stp>
        <tr r="U178" s="2"/>
      </tp>
      <tp t="s">
        <v>N/A</v>
        <stp/>
        <stp>VOLUME</stp>
        <stp>.NDX260731P25600</stp>
        <tr r="U138" s="2"/>
      </tp>
      <tp t="s">
        <v>N/A</v>
        <stp/>
        <stp>VOLUME</stp>
        <stp>.NDX260403P25400</stp>
        <tr r="Q146" s="2"/>
      </tp>
      <tp t="s">
        <v>N/A</v>
        <stp/>
        <stp>VOLUME</stp>
        <stp>.NDX260403P24400</stp>
        <tr r="Q186" s="2"/>
      </tp>
      <tp t="s">
        <v>N/A</v>
        <stp/>
        <stp>VOLUME</stp>
        <stp>.NDX260130P24700</stp>
        <tr r="M174" s="2"/>
      </tp>
      <tp t="s">
        <v>N/A</v>
        <stp/>
        <stp>VOLUME</stp>
        <stp>.NDX251231P24525</stp>
        <tr r="O181" s="2"/>
      </tp>
      <tp t="s">
        <v>N/A</v>
        <stp/>
        <stp>VOLUME</stp>
        <stp>.NDX251231P25525</stp>
        <tr r="O141" s="2"/>
      </tp>
      <tp t="s">
        <v>N/A</v>
        <stp/>
        <stp>VOLUME</stp>
        <stp>.NDX261002P25525</stp>
        <tr r="W141" s="2"/>
      </tp>
      <tp t="s">
        <v>N/A</v>
        <stp/>
        <stp>VOLUME</stp>
        <stp>.NDX261002P24525</stp>
        <tr r="W181" s="2"/>
      </tp>
      <tp t="s">
        <v>N/A</v>
        <stp/>
        <stp>VOLUME</stp>
        <stp>.NDX251121P25525</stp>
        <tr r="U140" s="1"/>
      </tp>
      <tp>
        <v>6</v>
        <stp/>
        <stp>VOLUME</stp>
        <stp>.NDX251121P24525</stp>
        <tr r="U180" s="1"/>
        <tr r="U180" s="1"/>
      </tp>
      <tp t="s">
        <v>N/A</v>
        <stp/>
        <stp>VOLUME</stp>
        <stp>.NDX260130P24725</stp>
        <tr r="M173" s="2"/>
      </tp>
      <tp t="s">
        <v>N/A</v>
        <stp/>
        <stp>VOLUME</stp>
        <stp>.NDX260731P24625</stp>
        <tr r="U177" s="2"/>
      </tp>
      <tp t="s">
        <v>N/A</v>
        <stp/>
        <stp>VOLUME</stp>
        <stp>.NDX260403P25425</stp>
        <tr r="Q145" s="2"/>
      </tp>
      <tp t="s">
        <v>N/A</v>
        <stp/>
        <stp>VOLUME</stp>
        <stp>.NDX260403P24425</stp>
        <tr r="Q185" s="2"/>
      </tp>
      <tp t="s">
        <v>N/A</v>
        <stp/>
        <stp>VOLUME</stp>
        <stp>.NDX260731P24650</stp>
        <tr r="U176" s="2"/>
      </tp>
      <tp t="s">
        <v>N/A</v>
        <stp/>
        <stp>VOLUME</stp>
        <stp>.NDX260403P25450</stp>
        <tr r="Q144" s="2"/>
      </tp>
      <tp t="s">
        <v>N/A</v>
        <stp/>
        <stp>VOLUME</stp>
        <stp>.NDX260403P24450</stp>
        <tr r="Q184" s="2"/>
      </tp>
      <tp t="s">
        <v>N/A</v>
        <stp/>
        <stp>VOLUME</stp>
        <stp>.NDX260130P24750</stp>
        <tr r="M172" s="2"/>
      </tp>
      <tp t="s">
        <v>N/A</v>
        <stp/>
        <stp>VOLUME</stp>
        <stp>.NDX251231P24550</stp>
        <tr r="O180" s="2"/>
      </tp>
      <tp t="s">
        <v>N/A</v>
        <stp/>
        <stp>VOLUME</stp>
        <stp>.NDX251231P25550</stp>
        <tr r="O140" s="2"/>
      </tp>
      <tp t="s">
        <v>N/A</v>
        <stp/>
        <stp>VOLUME</stp>
        <stp>.NDX251121P25550</stp>
        <tr r="U139" s="1"/>
      </tp>
      <tp>
        <v>5</v>
        <stp/>
        <stp>VOLUME</stp>
        <stp>.NDX251121P24550</stp>
        <tr r="U179" s="1"/>
        <tr r="U179" s="1"/>
      </tp>
      <tp t="s">
        <v>N/A</v>
        <stp/>
        <stp>VOLUME</stp>
        <stp>.NDX261002P25550</stp>
        <tr r="W140" s="2"/>
      </tp>
      <tp t="s">
        <v>N/A</v>
        <stp/>
        <stp>VOLUME</stp>
        <stp>.NDX261002P24550</stp>
        <tr r="W180" s="2"/>
      </tp>
      <tp t="s">
        <v>N/A</v>
        <stp/>
        <stp>VOLUME</stp>
        <stp>.NDX260130P24775</stp>
        <tr r="M171" s="2"/>
      </tp>
      <tp t="s">
        <v>N/A</v>
        <stp/>
        <stp>VOLUME</stp>
        <stp>.NDX260731P24675</stp>
        <tr r="U175" s="2"/>
      </tp>
      <tp t="s">
        <v>N/A</v>
        <stp/>
        <stp>VOLUME</stp>
        <stp>.NDX260403P25475</stp>
        <tr r="Q143" s="2"/>
      </tp>
      <tp t="s">
        <v>N/A</v>
        <stp/>
        <stp>VOLUME</stp>
        <stp>.NDX260403P24475</stp>
        <tr r="Q183" s="2"/>
      </tp>
      <tp t="s">
        <v>N/A</v>
        <stp/>
        <stp>VOLUME</stp>
        <stp>.NDX251231P24575</stp>
        <tr r="O179" s="2"/>
      </tp>
      <tp t="s">
        <v>N/A</v>
        <stp/>
        <stp>VOLUME</stp>
        <stp>.NDX251231P25575</stp>
        <tr r="O139" s="2"/>
      </tp>
      <tp t="s">
        <v>N/A</v>
        <stp/>
        <stp>VOLUME</stp>
        <stp>.NDX261002P25575</stp>
        <tr r="W139" s="2"/>
      </tp>
      <tp t="s">
        <v>N/A</v>
        <stp/>
        <stp>VOLUME</stp>
        <stp>.NDX261002P24575</stp>
        <tr r="W179" s="2"/>
      </tp>
      <tp t="s">
        <v>N/A</v>
        <stp/>
        <stp>VOLUME</stp>
        <stp>.NDX251121P25575</stp>
        <tr r="U138" s="1"/>
      </tp>
      <tp>
        <v>7</v>
        <stp/>
        <stp>VOLUME</stp>
        <stp>.NDX251121P24575</stp>
        <tr r="U178" s="1"/>
        <tr r="U178" s="1"/>
      </tp>
      <tp t="s">
        <v>N/A</v>
        <stp/>
        <stp>VOLUME</stp>
        <stp>.NDX260130C24725</stp>
        <tr r="M173" s="2"/>
      </tp>
      <tp t="s">
        <v>N/A</v>
        <stp/>
        <stp>VOLUME</stp>
        <stp>.NDX260731C24625</stp>
        <tr r="U177" s="2"/>
      </tp>
      <tp t="s">
        <v>N/A</v>
        <stp/>
        <stp>VOLUME</stp>
        <stp>.NDX260403C25425</stp>
        <tr r="Q145" s="2"/>
      </tp>
      <tp t="s">
        <v>N/A</v>
        <stp/>
        <stp>VOLUME</stp>
        <stp>.NDX260403C24425</stp>
        <tr r="Q185" s="2"/>
      </tp>
      <tp t="s">
        <v>N/A</v>
        <stp/>
        <stp>VOLUME</stp>
        <stp>.NDX251231C24525</stp>
        <tr r="O181" s="2"/>
      </tp>
      <tp t="s">
        <v>N/A</v>
        <stp/>
        <stp>VOLUME</stp>
        <stp>.NDX251231C25525</stp>
        <tr r="O141" s="2"/>
      </tp>
      <tp t="s">
        <v>N/A</v>
        <stp/>
        <stp>VOLUME</stp>
        <stp>.NDX261002C25525</stp>
        <tr r="W141" s="2"/>
      </tp>
      <tp t="s">
        <v>N/A</v>
        <stp/>
        <stp>VOLUME</stp>
        <stp>.NDX261002C24525</stp>
        <tr r="W181" s="2"/>
      </tp>
      <tp>
        <v>15</v>
        <stp/>
        <stp>VOLUME</stp>
        <stp>.NDX251121C25525</stp>
        <tr r="T140" s="1"/>
        <tr r="T140" s="1"/>
      </tp>
      <tp t="s">
        <v>N/A</v>
        <stp/>
        <stp>VOLUME</stp>
        <stp>.NDX251121C24525</stp>
        <tr r="T180" s="1"/>
      </tp>
      <tp t="s">
        <v>N/A</v>
        <stp/>
        <stp>VOLUME</stp>
        <stp>.NDX260731C24600</stp>
        <tr r="U178" s="2"/>
      </tp>
      <tp t="s">
        <v>N/A</v>
        <stp/>
        <stp>VOLUME</stp>
        <stp>.NDX260731C25600</stp>
        <tr r="U138" s="2"/>
      </tp>
      <tp t="s">
        <v>N/A</v>
        <stp/>
        <stp>VOLUME</stp>
        <stp>.NDX260403C25400</stp>
        <tr r="Q146" s="2"/>
      </tp>
      <tp t="s">
        <v>N/A</v>
        <stp/>
        <stp>VOLUME</stp>
        <stp>.NDX260403C24400</stp>
        <tr r="Q186" s="2"/>
      </tp>
      <tp t="s">
        <v>N/A</v>
        <stp/>
        <stp>VOLUME</stp>
        <stp>.NDX260130C24700</stp>
        <tr r="M174" s="2"/>
      </tp>
      <tp t="s">
        <v>N/A</v>
        <stp/>
        <stp>VOLUME</stp>
        <stp>.NDX251231C24500</stp>
        <tr r="O182" s="2"/>
      </tp>
      <tp t="s">
        <v>N/A</v>
        <stp/>
        <stp>VOLUME</stp>
        <stp>.NDX251231C25500</stp>
        <tr r="O142" s="2"/>
      </tp>
      <tp>
        <v>17</v>
        <stp/>
        <stp>VOLUME</stp>
        <stp>.NDX251121C25500</stp>
        <tr r="T141" s="1"/>
        <tr r="T141" s="1"/>
      </tp>
      <tp t="s">
        <v>N/A</v>
        <stp/>
        <stp>VOLUME</stp>
        <stp>.NDX251121C24500</stp>
        <tr r="T181" s="1"/>
      </tp>
      <tp t="s">
        <v>N/A</v>
        <stp/>
        <stp>VOLUME</stp>
        <stp>.NDX261002C25500</stp>
        <tr r="W142" s="2"/>
      </tp>
      <tp t="s">
        <v>N/A</v>
        <stp/>
        <stp>VOLUME</stp>
        <stp>.NDX261002C24500</stp>
        <tr r="W182" s="2"/>
      </tp>
      <tp t="s">
        <v>N/A</v>
        <stp/>
        <stp>VOLUME</stp>
        <stp>.NDX251231C24575</stp>
        <tr r="O179" s="2"/>
      </tp>
      <tp t="s">
        <v>N/A</v>
        <stp/>
        <stp>VOLUME</stp>
        <stp>.NDX251231C25575</stp>
        <tr r="O139" s="2"/>
      </tp>
      <tp t="s">
        <v>N/A</v>
        <stp/>
        <stp>VOLUME</stp>
        <stp>.NDX261002C25575</stp>
        <tr r="W139" s="2"/>
      </tp>
      <tp t="s">
        <v>N/A</v>
        <stp/>
        <stp>VOLUME</stp>
        <stp>.NDX261002C24575</stp>
        <tr r="W179" s="2"/>
      </tp>
      <tp>
        <v>4</v>
        <stp/>
        <stp>VOLUME</stp>
        <stp>.NDX251121C25575</stp>
        <tr r="T138" s="1"/>
        <tr r="T138" s="1"/>
      </tp>
      <tp t="s">
        <v>N/A</v>
        <stp/>
        <stp>VOLUME</stp>
        <stp>.NDX251121C24575</stp>
        <tr r="T178" s="1"/>
      </tp>
      <tp t="s">
        <v>N/A</v>
        <stp/>
        <stp>VOLUME</stp>
        <stp>.NDX260130C24775</stp>
        <tr r="M171" s="2"/>
      </tp>
      <tp t="s">
        <v>N/A</v>
        <stp/>
        <stp>VOLUME</stp>
        <stp>.NDX260731C24675</stp>
        <tr r="U175" s="2"/>
      </tp>
      <tp t="s">
        <v>N/A</v>
        <stp/>
        <stp>VOLUME</stp>
        <stp>.NDX260403C25475</stp>
        <tr r="Q143" s="2"/>
      </tp>
      <tp t="s">
        <v>N/A</v>
        <stp/>
        <stp>VOLUME</stp>
        <stp>.NDX260403C24475</stp>
        <tr r="Q183" s="2"/>
      </tp>
      <tp t="s">
        <v>N/A</v>
        <stp/>
        <stp>VOLUME</stp>
        <stp>.NDX251231C24550</stp>
        <tr r="O180" s="2"/>
      </tp>
      <tp t="s">
        <v>N/A</v>
        <stp/>
        <stp>VOLUME</stp>
        <stp>.NDX251231C25550</stp>
        <tr r="O140" s="2"/>
      </tp>
      <tp>
        <v>4</v>
        <stp/>
        <stp>VOLUME</stp>
        <stp>.NDX251121C25550</stp>
        <tr r="T139" s="1"/>
        <tr r="T139" s="1"/>
      </tp>
      <tp t="s">
        <v>N/A</v>
        <stp/>
        <stp>VOLUME</stp>
        <stp>.NDX251121C24550</stp>
        <tr r="T179" s="1"/>
      </tp>
      <tp t="s">
        <v>N/A</v>
        <stp/>
        <stp>VOLUME</stp>
        <stp>.NDX261002C25550</stp>
        <tr r="W140" s="2"/>
      </tp>
      <tp t="s">
        <v>N/A</v>
        <stp/>
        <stp>VOLUME</stp>
        <stp>.NDX261002C24550</stp>
        <tr r="W180" s="2"/>
      </tp>
      <tp t="s">
        <v>N/A</v>
        <stp/>
        <stp>VOLUME</stp>
        <stp>.NDX260731C24650</stp>
        <tr r="U176" s="2"/>
      </tp>
      <tp t="s">
        <v>N/A</v>
        <stp/>
        <stp>VOLUME</stp>
        <stp>.NDX260403C25450</stp>
        <tr r="Q144" s="2"/>
      </tp>
      <tp t="s">
        <v>N/A</v>
        <stp/>
        <stp>VOLUME</stp>
        <stp>.NDX260403C24450</stp>
        <tr r="Q184" s="2"/>
      </tp>
      <tp t="s">
        <v>N/A</v>
        <stp/>
        <stp>VOLUME</stp>
        <stp>.NDX260130C24750</stp>
        <tr r="M17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volatileDependencies" Target="volatileDependencies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EX/GEX-main/SPY_CBO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EX/GEX-main/QQQ_CBO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GEX/GEX-main/SPX_CBO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D2">
            <v>630.49395550451425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D2">
            <v>562.2370746087829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oja1"/>
    </sheetNames>
    <sheetDataSet>
      <sheetData sheetId="0">
        <row r="2">
          <cell r="AD2">
            <v>6247.6750637224113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W190"/>
  <sheetViews>
    <sheetView zoomScale="90" zoomScaleNormal="90"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B43" sqref="B43"/>
    </sheetView>
  </sheetViews>
  <sheetFormatPr baseColWidth="10" defaultRowHeight="12.75" outlineLevelCol="1" x14ac:dyDescent="0.2"/>
  <cols>
    <col min="1" max="1" width="12.140625" style="18" customWidth="1"/>
    <col min="2" max="5" width="9.140625" style="18" customWidth="1" outlineLevel="1"/>
    <col min="6" max="6" width="12" style="18" customWidth="1"/>
    <col min="7" max="7" width="3" style="1" customWidth="1"/>
    <col min="8" max="23" width="12" style="1" customWidth="1"/>
    <col min="24" max="16384" width="11.42578125" style="52"/>
  </cols>
  <sheetData>
    <row r="1" spans="1:23" ht="13.5" thickBot="1" x14ac:dyDescent="0.25">
      <c r="A1" s="15" t="s">
        <v>19</v>
      </c>
      <c r="B1" s="16" t="s">
        <v>4</v>
      </c>
      <c r="C1" s="16" t="s">
        <v>5</v>
      </c>
      <c r="D1" s="16" t="s">
        <v>6</v>
      </c>
      <c r="E1" s="17" t="s">
        <v>18</v>
      </c>
      <c r="F1" s="18">
        <f>+[1]Sheet1!$AD$2</f>
        <v>630.49395550451425</v>
      </c>
      <c r="G1" s="19"/>
      <c r="H1" s="20" t="str">
        <f>+B2</f>
        <v>251110</v>
      </c>
      <c r="I1" s="20" t="str">
        <f>+H1</f>
        <v>251110</v>
      </c>
      <c r="J1" s="20" t="str">
        <f>+C2</f>
        <v>251114</v>
      </c>
      <c r="K1" s="20" t="str">
        <f>+J1</f>
        <v>251114</v>
      </c>
      <c r="L1" s="20" t="str">
        <f>+D2</f>
        <v>251121</v>
      </c>
      <c r="M1" s="20" t="str">
        <f>+L1</f>
        <v>251121</v>
      </c>
      <c r="N1" s="21">
        <f>+A3</f>
        <v>672.36</v>
      </c>
      <c r="P1" s="20" t="str">
        <f>+H1</f>
        <v>251110</v>
      </c>
      <c r="Q1" s="20"/>
      <c r="R1" s="20" t="str">
        <f>+J1</f>
        <v>251114</v>
      </c>
      <c r="S1" s="20"/>
      <c r="T1" s="20" t="str">
        <f>+L1</f>
        <v>251121</v>
      </c>
      <c r="U1" s="20">
        <f>+N1</f>
        <v>672.36</v>
      </c>
      <c r="V1" s="60"/>
      <c r="W1" s="21">
        <f ca="1">MAX(W4:W38)</f>
        <v>213626</v>
      </c>
    </row>
    <row r="2" spans="1:23" ht="13.5" thickBot="1" x14ac:dyDescent="0.25">
      <c r="A2" s="22" t="s">
        <v>12</v>
      </c>
      <c r="B2" s="16" t="str">
        <f>+TEXT(B42,"YYMMDD")</f>
        <v>251110</v>
      </c>
      <c r="C2" s="16" t="str">
        <f>+TEXT(C42,"YYMMDD")</f>
        <v>251114</v>
      </c>
      <c r="D2" s="16" t="str">
        <f>+TEXT(D42,"YYMMDD")</f>
        <v>251121</v>
      </c>
      <c r="E2" s="16"/>
      <c r="F2" s="16" t="s">
        <v>0</v>
      </c>
      <c r="G2" s="19"/>
      <c r="H2" s="20" t="s">
        <v>1</v>
      </c>
      <c r="I2" s="23" t="s">
        <v>1</v>
      </c>
      <c r="J2" s="20" t="s">
        <v>1</v>
      </c>
      <c r="K2" s="23" t="s">
        <v>1</v>
      </c>
      <c r="L2" s="20" t="s">
        <v>1</v>
      </c>
      <c r="M2" s="23" t="s">
        <v>1</v>
      </c>
      <c r="N2" s="21" t="s">
        <v>11</v>
      </c>
      <c r="P2" s="20" t="s">
        <v>7</v>
      </c>
      <c r="Q2" s="23" t="str">
        <f>+P2</f>
        <v>VOLUME</v>
      </c>
      <c r="R2" s="20" t="s">
        <v>7</v>
      </c>
      <c r="S2" s="23" t="s">
        <v>7</v>
      </c>
      <c r="T2" s="20" t="s">
        <v>7</v>
      </c>
      <c r="U2" s="23" t="s">
        <v>7</v>
      </c>
      <c r="V2" s="21"/>
      <c r="W2" s="21" t="s">
        <v>14</v>
      </c>
    </row>
    <row r="3" spans="1:23" s="51" customFormat="1" ht="13.5" thickBot="1" x14ac:dyDescent="0.25">
      <c r="A3" s="24">
        <f>+A40</f>
        <v>672.36</v>
      </c>
      <c r="B3" s="25">
        <f>+H3/I3</f>
        <v>-0.95509487081050271</v>
      </c>
      <c r="C3" s="25">
        <f>+J3/K3</f>
        <v>-0.59722692450022441</v>
      </c>
      <c r="D3" s="25">
        <f>+L3/M3</f>
        <v>-0.66167468744031388</v>
      </c>
      <c r="E3" s="26">
        <v>0</v>
      </c>
      <c r="F3" s="24">
        <f>RTD("tos.rtd", ,"MARK", F2)</f>
        <v>6765</v>
      </c>
      <c r="G3" s="1"/>
      <c r="H3" s="11">
        <f t="shared" ref="H3:M3" si="0">SUM(H4:H38)</f>
        <v>82099</v>
      </c>
      <c r="I3" s="27">
        <f t="shared" si="0"/>
        <v>-85959</v>
      </c>
      <c r="J3" s="11">
        <f t="shared" si="0"/>
        <v>75852</v>
      </c>
      <c r="K3" s="27">
        <f t="shared" si="0"/>
        <v>-127007</v>
      </c>
      <c r="L3" s="11">
        <f t="shared" si="0"/>
        <v>211325</v>
      </c>
      <c r="M3" s="27">
        <f t="shared" si="0"/>
        <v>-319379</v>
      </c>
      <c r="N3" s="27">
        <f>SUM(N4:N38)</f>
        <v>-163069</v>
      </c>
      <c r="O3" s="1">
        <v>0</v>
      </c>
      <c r="P3" s="11">
        <f t="shared" ref="P3:U3" si="1">SUM(P4:P38)</f>
        <v>791834</v>
      </c>
      <c r="Q3" s="27">
        <f t="shared" si="1"/>
        <v>-701778</v>
      </c>
      <c r="R3" s="11">
        <f t="shared" si="1"/>
        <v>241878</v>
      </c>
      <c r="S3" s="27">
        <f t="shared" si="1"/>
        <v>-167850</v>
      </c>
      <c r="T3" s="11">
        <f t="shared" si="1"/>
        <v>117466</v>
      </c>
      <c r="U3" s="27">
        <f t="shared" si="1"/>
        <v>-126387</v>
      </c>
      <c r="V3" s="29"/>
      <c r="W3" s="27">
        <f ca="1">SUM(W4:W38)</f>
        <v>359278</v>
      </c>
    </row>
    <row r="4" spans="1:23" s="51" customFormat="1" ht="13.5" thickBot="1" x14ac:dyDescent="0.25">
      <c r="A4" s="2">
        <f>ROUND(A3/$A$39,0)*$A$39+17*$A$39</f>
        <v>689</v>
      </c>
      <c r="B4" s="1">
        <f t="shared" ref="B4:B38" si="2">+IF($A$1="ABS",H4-I4,H4+I4)</f>
        <v>1990</v>
      </c>
      <c r="C4" s="1">
        <f t="shared" ref="C4:C38" si="3">+IF($A$1="ABS",J4-K4,J4+K4)</f>
        <v>409</v>
      </c>
      <c r="D4" s="1">
        <f t="shared" ref="D4:D38" si="4">+IF($A$1="ABS",L4-M4,L4+M4)</f>
        <v>1237</v>
      </c>
      <c r="E4" s="1">
        <f t="shared" ref="E4:E38" si="5">SUM(B4:D4)</f>
        <v>3636</v>
      </c>
      <c r="F4" s="4">
        <f t="shared" ref="F4:F38" si="6">+$F$3/$A$3*A4</f>
        <v>6932.4245939675175</v>
      </c>
      <c r="G4" s="1"/>
      <c r="H4" s="5">
        <f>IF(RTD("tos.rtd",,H$2,"."&amp;$A$2&amp;$H$1&amp;"C"&amp;$A4)="N/A",0,RTD("tos.rtd",,H$2,"."&amp;$A$2&amp;$H$1&amp;"C"&amp;$A4))</f>
        <v>1997</v>
      </c>
      <c r="I4" s="6">
        <f>-IF(RTD("tos.rtd",,I$2,"."&amp;$A$2&amp;$H$1&amp;"P"&amp;$A4)="N/A",0,RTD("tos.rtd",,I$2,"."&amp;$A$2&amp;$H$1&amp;"P"&amp;$A4))</f>
        <v>-7</v>
      </c>
      <c r="J4" s="5">
        <f>IF(RTD("tos.rtd",,J$2,"."&amp;$A$2&amp;$J$1&amp;"C"&amp;$A4)="N/A",0,RTD("tos.rtd",,J$2,"."&amp;$A$2&amp;$J$1&amp;"C"&amp;$A4))</f>
        <v>1589</v>
      </c>
      <c r="K4" s="6">
        <f>-IF(RTD("tos.rtd",,K$2,"."&amp;$A$2&amp;$J$1&amp;"P"&amp;$A4)="N/A",0,RTD("tos.rtd",,K$2,"."&amp;$A$2&amp;$J$1&amp;"P"&amp;$A4))</f>
        <v>-1180</v>
      </c>
      <c r="L4" s="5">
        <f>IF(RTD("tos.rtd",,L$2,"."&amp;$A$2&amp;$L$1&amp;"C"&amp;$A4)="N/A",0,RTD("tos.rtd",,L$2,"."&amp;$A$2&amp;$L$1&amp;"C"&amp;$A4))</f>
        <v>2324</v>
      </c>
      <c r="M4" s="6">
        <f>-IF(RTD("tos.rtd",,M$2,"."&amp;$A$2&amp;$L$1&amp;"P"&amp;$A4)="N/A",0,RTD("tos.rtd",,M$2,"."&amp;$A$2&amp;$L$1&amp;"P"&amp;$A4))</f>
        <v>-1087</v>
      </c>
      <c r="N4" s="1">
        <f>SUM(H4:M4)</f>
        <v>3636</v>
      </c>
      <c r="O4" s="7">
        <f t="shared" ref="O4:O38" si="7">+A4</f>
        <v>689</v>
      </c>
      <c r="P4" s="28">
        <f>IF(RTD("tos.rtd",,P$2,"."&amp;$A$2&amp;$H$1&amp;"C"&amp;$A4)="N/A",0,RTD("tos.rtd",,P$2,"."&amp;$A$2&amp;$H$1&amp;"C"&amp;$A4))</f>
        <v>593</v>
      </c>
      <c r="Q4" s="29">
        <f>-IF(RTD("tos.rtd",,Q$2,"."&amp;$A$2&amp;$H$1&amp;"P"&amp;$A4)="N/A",0,RTD("tos.rtd",,Q$2,"."&amp;$A$2&amp;$H$1&amp;"P"&amp;$A4))</f>
        <v>-44</v>
      </c>
      <c r="R4" s="28">
        <f>IF(RTD("tos.rtd",,R$2,"."&amp;$A$2&amp;$J$1&amp;"C"&amp;$A4)="N/A",0,RTD("tos.rtd",,R$2,"."&amp;$A$2&amp;$J$1&amp;"C"&amp;$A4))</f>
        <v>1371</v>
      </c>
      <c r="S4" s="29">
        <f>-IF(RTD("tos.rtd",,S$2,"."&amp;$A$2&amp;$J$1&amp;"P"&amp;$A4)="N/A",0,RTD("tos.rtd",,S$2,"."&amp;$A$2&amp;$J$1&amp;"P"&amp;$A4))</f>
        <v>-89</v>
      </c>
      <c r="T4" s="28">
        <f>IF(RTD("tos.rtd",,T$2,"."&amp;$A$2&amp;$L$1&amp;"C"&amp;$A4)="N/A",0,RTD("tos.rtd",,T$2,"."&amp;$A$2&amp;$L$1&amp;"C"&amp;$A4))</f>
        <v>1140</v>
      </c>
      <c r="U4" s="29">
        <f>-IF(RTD("tos.rtd",,U$2,"."&amp;$A$2&amp;$L$1&amp;"P"&amp;$A4)="N/A",0,RTD("tos.rtd",,U$2,"."&amp;$A$2&amp;$L$1&amp;"P"&amp;$A4))</f>
        <v>-73</v>
      </c>
      <c r="V4" s="1">
        <f ca="1">+Hoja2!Y5</f>
        <v>3001</v>
      </c>
      <c r="W4" s="1">
        <f ca="1">SUM(P4:V4)</f>
        <v>5899</v>
      </c>
    </row>
    <row r="5" spans="1:23" s="51" customFormat="1" ht="13.5" thickBot="1" x14ac:dyDescent="0.25">
      <c r="A5" s="2">
        <f>+A4-$A$39</f>
        <v>688</v>
      </c>
      <c r="B5" s="1">
        <f t="shared" si="2"/>
        <v>4243</v>
      </c>
      <c r="C5" s="1">
        <f t="shared" si="3"/>
        <v>1741</v>
      </c>
      <c r="D5" s="1">
        <f t="shared" si="4"/>
        <v>3601</v>
      </c>
      <c r="E5" s="1">
        <f>SUM(B5:D5)</f>
        <v>9585</v>
      </c>
      <c r="F5" s="4">
        <f>+$F$3/$A$3*A5</f>
        <v>6922.3630198108149</v>
      </c>
      <c r="G5" s="1"/>
      <c r="H5" s="5">
        <f>IF(RTD("tos.rtd",,H$2,"."&amp;$A$2&amp;$H$1&amp;"C"&amp;$A5)="N/A",0,RTD("tos.rtd",,H$2,"."&amp;$A$2&amp;$H$1&amp;"C"&amp;$A5))</f>
        <v>4258</v>
      </c>
      <c r="I5" s="6">
        <f>-IF(RTD("tos.rtd",,I$2,"."&amp;$A$2&amp;$H$1&amp;"P"&amp;$A5)="N/A",0,RTD("tos.rtd",,I$2,"."&amp;$A$2&amp;$H$1&amp;"P"&amp;$A5))</f>
        <v>-15</v>
      </c>
      <c r="J5" s="5">
        <f>IF(RTD("tos.rtd",,J$2,"."&amp;$A$2&amp;$J$1&amp;"C"&amp;$A5)="N/A",0,RTD("tos.rtd",,J$2,"."&amp;$A$2&amp;$J$1&amp;"C"&amp;$A5))</f>
        <v>3007</v>
      </c>
      <c r="K5" s="6">
        <f>-IF(RTD("tos.rtd",,K$2,"."&amp;$A$2&amp;$J$1&amp;"P"&amp;$A5)="N/A",0,RTD("tos.rtd",,K$2,"."&amp;$A$2&amp;$J$1&amp;"P"&amp;$A5))</f>
        <v>-1266</v>
      </c>
      <c r="L5" s="5">
        <f>IF(RTD("tos.rtd",,L$2,"."&amp;$A$2&amp;$L$1&amp;"C"&amp;$A5)="N/A",0,RTD("tos.rtd",,L$2,"."&amp;$A$2&amp;$L$1&amp;"C"&amp;$A5))</f>
        <v>6256</v>
      </c>
      <c r="M5" s="6">
        <f>-IF(RTD("tos.rtd",,M$2,"."&amp;$A$2&amp;$L$1&amp;"P"&amp;$A5)="N/A",0,RTD("tos.rtd",,M$2,"."&amp;$A$2&amp;$L$1&amp;"P"&amp;$A5))</f>
        <v>-2655</v>
      </c>
      <c r="N5" s="1">
        <f>SUM(H5:M5)</f>
        <v>9585</v>
      </c>
      <c r="O5" s="7">
        <f t="shared" si="7"/>
        <v>688</v>
      </c>
      <c r="P5" s="5">
        <f>IF(RTD("tos.rtd",,P$2,"."&amp;$A$2&amp;$H$1&amp;"C"&amp;$A5)="N/A",0,RTD("tos.rtd",,P$2,"."&amp;$A$2&amp;$H$1&amp;"C"&amp;$A5))</f>
        <v>2525</v>
      </c>
      <c r="Q5" s="6">
        <f>-IF(RTD("tos.rtd",,Q$2,"."&amp;$A$2&amp;$H$1&amp;"P"&amp;$A5)="N/A",0,RTD("tos.rtd",,Q$2,"."&amp;$A$2&amp;$H$1&amp;"P"&amp;$A5))</f>
        <v>-309</v>
      </c>
      <c r="R5" s="5">
        <f>IF(RTD("tos.rtd",,R$2,"."&amp;$A$2&amp;$J$1&amp;"C"&amp;$A5)="N/A",0,RTD("tos.rtd",,R$2,"."&amp;$A$2&amp;$J$1&amp;"C"&amp;$A5))</f>
        <v>2552</v>
      </c>
      <c r="S5" s="6">
        <f>-IF(RTD("tos.rtd",,S$2,"."&amp;$A$2&amp;$J$1&amp;"P"&amp;$A5)="N/A",0,RTD("tos.rtd",,S$2,"."&amp;$A$2&amp;$J$1&amp;"P"&amp;$A5))</f>
        <v>-19</v>
      </c>
      <c r="T5" s="5">
        <f>IF(RTD("tos.rtd",,T$2,"."&amp;$A$2&amp;$L$1&amp;"C"&amp;$A5)="N/A",0,RTD("tos.rtd",,T$2,"."&amp;$A$2&amp;$L$1&amp;"C"&amp;$A5))</f>
        <v>3042</v>
      </c>
      <c r="U5" s="6">
        <f>-IF(RTD("tos.rtd",,U$2,"."&amp;$A$2&amp;$L$1&amp;"P"&amp;$A5)="N/A",0,RTD("tos.rtd",,U$2,"."&amp;$A$2&amp;$L$1&amp;"P"&amp;$A5))</f>
        <v>-270</v>
      </c>
      <c r="V5" s="1">
        <f ca="1">+Hoja2!Y6</f>
        <v>4683</v>
      </c>
      <c r="W5" s="1">
        <f t="shared" ref="W5:W38" ca="1" si="8">SUM(P5:V5)</f>
        <v>12204</v>
      </c>
    </row>
    <row r="6" spans="1:23" s="51" customFormat="1" ht="13.5" thickBot="1" x14ac:dyDescent="0.25">
      <c r="A6" s="2">
        <f t="shared" ref="A6:A38" si="9">+A5-$A$39</f>
        <v>687</v>
      </c>
      <c r="B6" s="1">
        <f t="shared" si="2"/>
        <v>1390</v>
      </c>
      <c r="C6" s="1">
        <f t="shared" si="3"/>
        <v>4747</v>
      </c>
      <c r="D6" s="1">
        <f t="shared" si="4"/>
        <v>37</v>
      </c>
      <c r="E6" s="1">
        <f>SUM(B6:D6)</f>
        <v>6174</v>
      </c>
      <c r="F6" s="4">
        <f>+$F$3/$A$3*A6</f>
        <v>6912.3014456541132</v>
      </c>
      <c r="G6" s="1"/>
      <c r="H6" s="5">
        <f>IF(RTD("tos.rtd",,H$2,"."&amp;$A$2&amp;$H$1&amp;"C"&amp;$A6)="N/A",0,RTD("tos.rtd",,H$2,"."&amp;$A$2&amp;$H$1&amp;"C"&amp;$A6))</f>
        <v>1391</v>
      </c>
      <c r="I6" s="6">
        <f>-IF(RTD("tos.rtd",,I$2,"."&amp;$A$2&amp;$H$1&amp;"P"&amp;$A6)="N/A",0,RTD("tos.rtd",,I$2,"."&amp;$A$2&amp;$H$1&amp;"P"&amp;$A6))</f>
        <v>-1</v>
      </c>
      <c r="J6" s="5">
        <f>IF(RTD("tos.rtd",,J$2,"."&amp;$A$2&amp;$J$1&amp;"C"&amp;$A6)="N/A",0,RTD("tos.rtd",,J$2,"."&amp;$A$2&amp;$J$1&amp;"C"&amp;$A6))</f>
        <v>5771</v>
      </c>
      <c r="K6" s="6">
        <f>-IF(RTD("tos.rtd",,K$2,"."&amp;$A$2&amp;$J$1&amp;"P"&amp;$A6)="N/A",0,RTD("tos.rtd",,K$2,"."&amp;$A$2&amp;$J$1&amp;"P"&amp;$A6))</f>
        <v>-1024</v>
      </c>
      <c r="L6" s="5">
        <f>IF(RTD("tos.rtd",,L$2,"."&amp;$A$2&amp;$L$1&amp;"C"&amp;$A6)="N/A",0,RTD("tos.rtd",,L$2,"."&amp;$A$2&amp;$L$1&amp;"C"&amp;$A6))</f>
        <v>1834</v>
      </c>
      <c r="M6" s="6">
        <f>-IF(RTD("tos.rtd",,M$2,"."&amp;$A$2&amp;$L$1&amp;"P"&amp;$A6)="N/A",0,RTD("tos.rtd",,M$2,"."&amp;$A$2&amp;$L$1&amp;"P"&amp;$A6))</f>
        <v>-1797</v>
      </c>
      <c r="N6" s="1">
        <f t="shared" ref="N6:N38" si="10">SUM(H6:M6)</f>
        <v>6174</v>
      </c>
      <c r="O6" s="7">
        <f t="shared" si="7"/>
        <v>687</v>
      </c>
      <c r="P6" s="5">
        <f>IF(RTD("tos.rtd",,P$2,"."&amp;$A$2&amp;$H$1&amp;"C"&amp;$A6)="N/A",0,RTD("tos.rtd",,P$2,"."&amp;$A$2&amp;$H$1&amp;"C"&amp;$A6))</f>
        <v>1915</v>
      </c>
      <c r="Q6" s="6">
        <f>-IF(RTD("tos.rtd",,Q$2,"."&amp;$A$2&amp;$H$1&amp;"P"&amp;$A6)="N/A",0,RTD("tos.rtd",,Q$2,"."&amp;$A$2&amp;$H$1&amp;"P"&amp;$A6))</f>
        <v>-51</v>
      </c>
      <c r="R6" s="5">
        <f>IF(RTD("tos.rtd",,R$2,"."&amp;$A$2&amp;$J$1&amp;"C"&amp;$A6)="N/A",0,RTD("tos.rtd",,R$2,"."&amp;$A$2&amp;$J$1&amp;"C"&amp;$A6))</f>
        <v>3790</v>
      </c>
      <c r="S6" s="6">
        <f>-IF(RTD("tos.rtd",,S$2,"."&amp;$A$2&amp;$J$1&amp;"P"&amp;$A6)="N/A",0,RTD("tos.rtd",,S$2,"."&amp;$A$2&amp;$J$1&amp;"P"&amp;$A6))</f>
        <v>-170</v>
      </c>
      <c r="T6" s="5">
        <f>IF(RTD("tos.rtd",,T$2,"."&amp;$A$2&amp;$L$1&amp;"C"&amp;$A6)="N/A",0,RTD("tos.rtd",,T$2,"."&amp;$A$2&amp;$L$1&amp;"C"&amp;$A6))</f>
        <v>1448</v>
      </c>
      <c r="U6" s="6">
        <f>-IF(RTD("tos.rtd",,U$2,"."&amp;$A$2&amp;$L$1&amp;"P"&amp;$A6)="N/A",0,RTD("tos.rtd",,U$2,"."&amp;$A$2&amp;$L$1&amp;"P"&amp;$A6))</f>
        <v>-32</v>
      </c>
      <c r="V6" s="1">
        <f ca="1">+Hoja2!Y7</f>
        <v>4548</v>
      </c>
      <c r="W6" s="1">
        <f t="shared" ca="1" si="8"/>
        <v>11448</v>
      </c>
    </row>
    <row r="7" spans="1:23" s="51" customFormat="1" ht="13.5" thickBot="1" x14ac:dyDescent="0.25">
      <c r="A7" s="2">
        <f t="shared" si="9"/>
        <v>686</v>
      </c>
      <c r="B7" s="1">
        <f t="shared" si="2"/>
        <v>4021</v>
      </c>
      <c r="C7" s="1">
        <f t="shared" si="3"/>
        <v>1282</v>
      </c>
      <c r="D7" s="1">
        <f t="shared" si="4"/>
        <v>2671</v>
      </c>
      <c r="E7" s="1">
        <f t="shared" si="5"/>
        <v>7974</v>
      </c>
      <c r="F7" s="4">
        <f t="shared" si="6"/>
        <v>6902.2398714974115</v>
      </c>
      <c r="G7" s="1"/>
      <c r="H7" s="5">
        <f>IF(RTD("tos.rtd",,H$2,"."&amp;$A$2&amp;$H$1&amp;"C"&amp;$A7)="N/A",0,RTD("tos.rtd",,H$2,"."&amp;$A$2&amp;$H$1&amp;"C"&amp;$A7))</f>
        <v>4066</v>
      </c>
      <c r="I7" s="6">
        <f>-IF(RTD("tos.rtd",,I$2,"."&amp;$A$2&amp;$H$1&amp;"P"&amp;$A7)="N/A",0,RTD("tos.rtd",,I$2,"."&amp;$A$2&amp;$H$1&amp;"P"&amp;$A7))</f>
        <v>-45</v>
      </c>
      <c r="J7" s="5">
        <f>IF(RTD("tos.rtd",,J$2,"."&amp;$A$2&amp;$J$1&amp;"C"&amp;$A7)="N/A",0,RTD("tos.rtd",,J$2,"."&amp;$A$2&amp;$J$1&amp;"C"&amp;$A7))</f>
        <v>2277</v>
      </c>
      <c r="K7" s="6">
        <f>-IF(RTD("tos.rtd",,K$2,"."&amp;$A$2&amp;$J$1&amp;"P"&amp;$A7)="N/A",0,RTD("tos.rtd",,K$2,"."&amp;$A$2&amp;$J$1&amp;"P"&amp;$A7))</f>
        <v>-995</v>
      </c>
      <c r="L7" s="5">
        <f>IF(RTD("tos.rtd",,L$2,"."&amp;$A$2&amp;$L$1&amp;"C"&amp;$A7)="N/A",0,RTD("tos.rtd",,L$2,"."&amp;$A$2&amp;$L$1&amp;"C"&amp;$A7))</f>
        <v>5024</v>
      </c>
      <c r="M7" s="6">
        <f>-IF(RTD("tos.rtd",,M$2,"."&amp;$A$2&amp;$L$1&amp;"P"&amp;$A7)="N/A",0,RTD("tos.rtd",,M$2,"."&amp;$A$2&amp;$L$1&amp;"P"&amp;$A7))</f>
        <v>-2353</v>
      </c>
      <c r="N7" s="1">
        <f t="shared" si="10"/>
        <v>7974</v>
      </c>
      <c r="O7" s="7">
        <f t="shared" si="7"/>
        <v>686</v>
      </c>
      <c r="P7" s="5">
        <f>IF(RTD("tos.rtd",,P$2,"."&amp;$A$2&amp;$H$1&amp;"C"&amp;$A7)="N/A",0,RTD("tos.rtd",,P$2,"."&amp;$A$2&amp;$H$1&amp;"C"&amp;$A7))</f>
        <v>3715</v>
      </c>
      <c r="Q7" s="6">
        <f>-IF(RTD("tos.rtd",,Q$2,"."&amp;$A$2&amp;$H$1&amp;"P"&amp;$A7)="N/A",0,RTD("tos.rtd",,Q$2,"."&amp;$A$2&amp;$H$1&amp;"P"&amp;$A7))</f>
        <v>-759</v>
      </c>
      <c r="R7" s="5">
        <f>IF(RTD("tos.rtd",,R$2,"."&amp;$A$2&amp;$J$1&amp;"C"&amp;$A7)="N/A",0,RTD("tos.rtd",,R$2,"."&amp;$A$2&amp;$J$1&amp;"C"&amp;$A7))</f>
        <v>4475</v>
      </c>
      <c r="S7" s="6">
        <f>-IF(RTD("tos.rtd",,S$2,"."&amp;$A$2&amp;$J$1&amp;"P"&amp;$A7)="N/A",0,RTD("tos.rtd",,S$2,"."&amp;$A$2&amp;$J$1&amp;"P"&amp;$A7))</f>
        <v>-239</v>
      </c>
      <c r="T7" s="5">
        <f>IF(RTD("tos.rtd",,T$2,"."&amp;$A$2&amp;$L$1&amp;"C"&amp;$A7)="N/A",0,RTD("tos.rtd",,T$2,"."&amp;$A$2&amp;$L$1&amp;"C"&amp;$A7))</f>
        <v>1800</v>
      </c>
      <c r="U7" s="6">
        <f>-IF(RTD("tos.rtd",,U$2,"."&amp;$A$2&amp;$L$1&amp;"P"&amp;$A7)="N/A",0,RTD("tos.rtd",,U$2,"."&amp;$A$2&amp;$L$1&amp;"P"&amp;$A7))</f>
        <v>-84</v>
      </c>
      <c r="V7" s="1">
        <f ca="1">+Hoja2!Y8</f>
        <v>9798</v>
      </c>
      <c r="W7" s="1">
        <f t="shared" ca="1" si="8"/>
        <v>18706</v>
      </c>
    </row>
    <row r="8" spans="1:23" s="51" customFormat="1" ht="13.5" thickBot="1" x14ac:dyDescent="0.25">
      <c r="A8" s="2">
        <f t="shared" si="9"/>
        <v>685</v>
      </c>
      <c r="B8" s="1">
        <f t="shared" si="2"/>
        <v>9403</v>
      </c>
      <c r="C8" s="1">
        <f t="shared" si="3"/>
        <v>2019</v>
      </c>
      <c r="D8" s="1">
        <f t="shared" si="4"/>
        <v>10553</v>
      </c>
      <c r="E8" s="1">
        <f t="shared" si="5"/>
        <v>21975</v>
      </c>
      <c r="F8" s="4">
        <f t="shared" si="6"/>
        <v>6892.1782973407098</v>
      </c>
      <c r="G8" s="1"/>
      <c r="H8" s="5">
        <f>IF(RTD("tos.rtd",,H$2,"."&amp;$A$2&amp;$H$1&amp;"C"&amp;$A8)="N/A",0,RTD("tos.rtd",,H$2,"."&amp;$A$2&amp;$H$1&amp;"C"&amp;$A8))</f>
        <v>9523</v>
      </c>
      <c r="I8" s="6">
        <f>-IF(RTD("tos.rtd",,I$2,"."&amp;$A$2&amp;$H$1&amp;"P"&amp;$A8)="N/A",0,RTD("tos.rtd",,I$2,"."&amp;$A$2&amp;$H$1&amp;"P"&amp;$A8))</f>
        <v>-120</v>
      </c>
      <c r="J8" s="5">
        <f>IF(RTD("tos.rtd",,J$2,"."&amp;$A$2&amp;$J$1&amp;"C"&amp;$A8)="N/A",0,RTD("tos.rtd",,J$2,"."&amp;$A$2&amp;$J$1&amp;"C"&amp;$A8))</f>
        <v>9060</v>
      </c>
      <c r="K8" s="6">
        <f>-IF(RTD("tos.rtd",,K$2,"."&amp;$A$2&amp;$J$1&amp;"P"&amp;$A8)="N/A",0,RTD("tos.rtd",,K$2,"."&amp;$A$2&amp;$J$1&amp;"P"&amp;$A8))</f>
        <v>-7041</v>
      </c>
      <c r="L8" s="5">
        <f>IF(RTD("tos.rtd",,L$2,"."&amp;$A$2&amp;$L$1&amp;"C"&amp;$A8)="N/A",0,RTD("tos.rtd",,L$2,"."&amp;$A$2&amp;$L$1&amp;"C"&amp;$A8))</f>
        <v>16785</v>
      </c>
      <c r="M8" s="6">
        <f>-IF(RTD("tos.rtd",,M$2,"."&amp;$A$2&amp;$L$1&amp;"P"&amp;$A8)="N/A",0,RTD("tos.rtd",,M$2,"."&amp;$A$2&amp;$L$1&amp;"P"&amp;$A8))</f>
        <v>-6232</v>
      </c>
      <c r="N8" s="1">
        <f t="shared" si="10"/>
        <v>21975</v>
      </c>
      <c r="O8" s="7">
        <f t="shared" si="7"/>
        <v>685</v>
      </c>
      <c r="P8" s="5">
        <f>IF(RTD("tos.rtd",,P$2,"."&amp;$A$2&amp;$H$1&amp;"C"&amp;$A8)="N/A",0,RTD("tos.rtd",,P$2,"."&amp;$A$2&amp;$H$1&amp;"C"&amp;$A8))</f>
        <v>9694</v>
      </c>
      <c r="Q8" s="6">
        <f>-IF(RTD("tos.rtd",,Q$2,"."&amp;$A$2&amp;$H$1&amp;"P"&amp;$A8)="N/A",0,RTD("tos.rtd",,Q$2,"."&amp;$A$2&amp;$H$1&amp;"P"&amp;$A8))</f>
        <v>-640</v>
      </c>
      <c r="R8" s="5">
        <f>IF(RTD("tos.rtd",,R$2,"."&amp;$A$2&amp;$J$1&amp;"C"&amp;$A8)="N/A",0,RTD("tos.rtd",,R$2,"."&amp;$A$2&amp;$J$1&amp;"C"&amp;$A8))</f>
        <v>9166</v>
      </c>
      <c r="S8" s="6">
        <f>-IF(RTD("tos.rtd",,S$2,"."&amp;$A$2&amp;$J$1&amp;"P"&amp;$A8)="N/A",0,RTD("tos.rtd",,S$2,"."&amp;$A$2&amp;$J$1&amp;"P"&amp;$A8))</f>
        <v>-383</v>
      </c>
      <c r="T8" s="5">
        <f>IF(RTD("tos.rtd",,T$2,"."&amp;$A$2&amp;$L$1&amp;"C"&amp;$A8)="N/A",0,RTD("tos.rtd",,T$2,"."&amp;$A$2&amp;$L$1&amp;"C"&amp;$A8))</f>
        <v>12720</v>
      </c>
      <c r="U8" s="6">
        <f>-IF(RTD("tos.rtd",,U$2,"."&amp;$A$2&amp;$L$1&amp;"P"&amp;$A8)="N/A",0,RTD("tos.rtd",,U$2,"."&amp;$A$2&amp;$L$1&amp;"P"&amp;$A8))</f>
        <v>-489</v>
      </c>
      <c r="V8" s="1">
        <f ca="1">+Hoja2!Y9</f>
        <v>25311</v>
      </c>
      <c r="W8" s="1">
        <f t="shared" ca="1" si="8"/>
        <v>55379</v>
      </c>
    </row>
    <row r="9" spans="1:23" s="51" customFormat="1" ht="13.5" thickBot="1" x14ac:dyDescent="0.25">
      <c r="A9" s="2">
        <f t="shared" si="9"/>
        <v>684</v>
      </c>
      <c r="B9" s="1">
        <f t="shared" si="2"/>
        <v>2805</v>
      </c>
      <c r="C9" s="1">
        <f t="shared" si="3"/>
        <v>2060</v>
      </c>
      <c r="D9" s="1">
        <f t="shared" si="4"/>
        <v>1486</v>
      </c>
      <c r="E9" s="1">
        <f t="shared" ref="E9:E14" si="11">SUM(B9:D9)</f>
        <v>6351</v>
      </c>
      <c r="F9" s="4">
        <f t="shared" ref="F9:F14" si="12">+$F$3/$A$3*A9</f>
        <v>6882.1167231840082</v>
      </c>
      <c r="G9" s="1"/>
      <c r="H9" s="5">
        <f>IF(RTD("tos.rtd",,H$2,"."&amp;$A$2&amp;$H$1&amp;"C"&amp;$A9)="N/A",0,RTD("tos.rtd",,H$2,"."&amp;$A$2&amp;$H$1&amp;"C"&amp;$A9))</f>
        <v>2863</v>
      </c>
      <c r="I9" s="6">
        <f>-IF(RTD("tos.rtd",,I$2,"."&amp;$A$2&amp;$H$1&amp;"P"&amp;$A9)="N/A",0,RTD("tos.rtd",,I$2,"."&amp;$A$2&amp;$H$1&amp;"P"&amp;$A9))</f>
        <v>-58</v>
      </c>
      <c r="J9" s="5">
        <f>IF(RTD("tos.rtd",,J$2,"."&amp;$A$2&amp;$J$1&amp;"C"&amp;$A9)="N/A",0,RTD("tos.rtd",,J$2,"."&amp;$A$2&amp;$J$1&amp;"C"&amp;$A9))</f>
        <v>3097</v>
      </c>
      <c r="K9" s="6">
        <f>-IF(RTD("tos.rtd",,K$2,"."&amp;$A$2&amp;$J$1&amp;"P"&amp;$A9)="N/A",0,RTD("tos.rtd",,K$2,"."&amp;$A$2&amp;$J$1&amp;"P"&amp;$A9))</f>
        <v>-1037</v>
      </c>
      <c r="L9" s="5">
        <f>IF(RTD("tos.rtd",,L$2,"."&amp;$A$2&amp;$L$1&amp;"C"&amp;$A9)="N/A",0,RTD("tos.rtd",,L$2,"."&amp;$A$2&amp;$L$1&amp;"C"&amp;$A9))</f>
        <v>3826</v>
      </c>
      <c r="M9" s="6">
        <f>-IF(RTD("tos.rtd",,M$2,"."&amp;$A$2&amp;$L$1&amp;"P"&amp;$A9)="N/A",0,RTD("tos.rtd",,M$2,"."&amp;$A$2&amp;$L$1&amp;"P"&amp;$A9))</f>
        <v>-2340</v>
      </c>
      <c r="N9" s="1">
        <f t="shared" ref="N9:N14" si="13">SUM(H9:M9)</f>
        <v>6351</v>
      </c>
      <c r="O9" s="7">
        <f t="shared" si="7"/>
        <v>684</v>
      </c>
      <c r="P9" s="5">
        <f>IF(RTD("tos.rtd",,P$2,"."&amp;$A$2&amp;$H$1&amp;"C"&amp;$A9)="N/A",0,RTD("tos.rtd",,P$2,"."&amp;$A$2&amp;$H$1&amp;"C"&amp;$A9))</f>
        <v>4102</v>
      </c>
      <c r="Q9" s="6">
        <f>-IF(RTD("tos.rtd",,Q$2,"."&amp;$A$2&amp;$H$1&amp;"P"&amp;$A9)="N/A",0,RTD("tos.rtd",,Q$2,"."&amp;$A$2&amp;$H$1&amp;"P"&amp;$A9))</f>
        <v>-27</v>
      </c>
      <c r="R9" s="5">
        <f>IF(RTD("tos.rtd",,R$2,"."&amp;$A$2&amp;$J$1&amp;"C"&amp;$A9)="N/A",0,RTD("tos.rtd",,R$2,"."&amp;$A$2&amp;$J$1&amp;"C"&amp;$A9))</f>
        <v>2394</v>
      </c>
      <c r="S9" s="6">
        <f>-IF(RTD("tos.rtd",,S$2,"."&amp;$A$2&amp;$J$1&amp;"P"&amp;$A9)="N/A",0,RTD("tos.rtd",,S$2,"."&amp;$A$2&amp;$J$1&amp;"P"&amp;$A9))</f>
        <v>-501</v>
      </c>
      <c r="T9" s="5">
        <f>IF(RTD("tos.rtd",,T$2,"."&amp;$A$2&amp;$L$1&amp;"C"&amp;$A9)="N/A",0,RTD("tos.rtd",,T$2,"."&amp;$A$2&amp;$L$1&amp;"C"&amp;$A9))</f>
        <v>1539</v>
      </c>
      <c r="U9" s="6">
        <f>-IF(RTD("tos.rtd",,U$2,"."&amp;$A$2&amp;$L$1&amp;"P"&amp;$A9)="N/A",0,RTD("tos.rtd",,U$2,"."&amp;$A$2&amp;$L$1&amp;"P"&amp;$A9))</f>
        <v>-60</v>
      </c>
      <c r="V9" s="1">
        <f ca="1">+Hoja2!Y10</f>
        <v>8593</v>
      </c>
      <c r="W9" s="1">
        <f t="shared" ca="1" si="8"/>
        <v>16040</v>
      </c>
    </row>
    <row r="10" spans="1:23" s="51" customFormat="1" ht="13.5" thickBot="1" x14ac:dyDescent="0.25">
      <c r="A10" s="2">
        <f t="shared" si="9"/>
        <v>683</v>
      </c>
      <c r="B10" s="1">
        <f t="shared" si="2"/>
        <v>1812</v>
      </c>
      <c r="C10" s="1">
        <f t="shared" si="3"/>
        <v>1035</v>
      </c>
      <c r="D10" s="1">
        <f t="shared" si="4"/>
        <v>-305</v>
      </c>
      <c r="E10" s="1">
        <f t="shared" si="11"/>
        <v>2542</v>
      </c>
      <c r="F10" s="4">
        <f t="shared" si="12"/>
        <v>6872.0551490273065</v>
      </c>
      <c r="G10" s="1"/>
      <c r="H10" s="5">
        <f>IF(RTD("tos.rtd",,H$2,"."&amp;$A$2&amp;$H$1&amp;"C"&amp;$A10)="N/A",0,RTD("tos.rtd",,H$2,"."&amp;$A$2&amp;$H$1&amp;"C"&amp;$A10))</f>
        <v>2091</v>
      </c>
      <c r="I10" s="6">
        <f>-IF(RTD("tos.rtd",,I$2,"."&amp;$A$2&amp;$H$1&amp;"P"&amp;$A10)="N/A",0,RTD("tos.rtd",,I$2,"."&amp;$A$2&amp;$H$1&amp;"P"&amp;$A10))</f>
        <v>-279</v>
      </c>
      <c r="J10" s="5">
        <f>IF(RTD("tos.rtd",,J$2,"."&amp;$A$2&amp;$J$1&amp;"C"&amp;$A10)="N/A",0,RTD("tos.rtd",,J$2,"."&amp;$A$2&amp;$J$1&amp;"C"&amp;$A10))</f>
        <v>1898</v>
      </c>
      <c r="K10" s="6">
        <f>-IF(RTD("tos.rtd",,K$2,"."&amp;$A$2&amp;$J$1&amp;"P"&amp;$A10)="N/A",0,RTD("tos.rtd",,K$2,"."&amp;$A$2&amp;$J$1&amp;"P"&amp;$A10))</f>
        <v>-863</v>
      </c>
      <c r="L10" s="5">
        <f>IF(RTD("tos.rtd",,L$2,"."&amp;$A$2&amp;$L$1&amp;"C"&amp;$A10)="N/A",0,RTD("tos.rtd",,L$2,"."&amp;$A$2&amp;$L$1&amp;"C"&amp;$A10))</f>
        <v>4181</v>
      </c>
      <c r="M10" s="6">
        <f>-IF(RTD("tos.rtd",,M$2,"."&amp;$A$2&amp;$L$1&amp;"P"&amp;$A10)="N/A",0,RTD("tos.rtd",,M$2,"."&amp;$A$2&amp;$L$1&amp;"P"&amp;$A10))</f>
        <v>-4486</v>
      </c>
      <c r="N10" s="1">
        <f t="shared" si="13"/>
        <v>2542</v>
      </c>
      <c r="O10" s="7">
        <f t="shared" si="7"/>
        <v>683</v>
      </c>
      <c r="P10" s="5">
        <f>IF(RTD("tos.rtd",,P$2,"."&amp;$A$2&amp;$H$1&amp;"C"&amp;$A10)="N/A",0,RTD("tos.rtd",,P$2,"."&amp;$A$2&amp;$H$1&amp;"C"&amp;$A10))</f>
        <v>5745</v>
      </c>
      <c r="Q10" s="6">
        <f>-IF(RTD("tos.rtd",,Q$2,"."&amp;$A$2&amp;$H$1&amp;"P"&amp;$A10)="N/A",0,RTD("tos.rtd",,Q$2,"."&amp;$A$2&amp;$H$1&amp;"P"&amp;$A10))</f>
        <v>-115</v>
      </c>
      <c r="R10" s="5">
        <f>IF(RTD("tos.rtd",,R$2,"."&amp;$A$2&amp;$J$1&amp;"C"&amp;$A10)="N/A",0,RTD("tos.rtd",,R$2,"."&amp;$A$2&amp;$J$1&amp;"C"&amp;$A10))</f>
        <v>2136</v>
      </c>
      <c r="S10" s="6">
        <f>-IF(RTD("tos.rtd",,S$2,"."&amp;$A$2&amp;$J$1&amp;"P"&amp;$A10)="N/A",0,RTD("tos.rtd",,S$2,"."&amp;$A$2&amp;$J$1&amp;"P"&amp;$A10))</f>
        <v>-66</v>
      </c>
      <c r="T10" s="5">
        <f>IF(RTD("tos.rtd",,T$2,"."&amp;$A$2&amp;$L$1&amp;"C"&amp;$A10)="N/A",0,RTD("tos.rtd",,T$2,"."&amp;$A$2&amp;$L$1&amp;"C"&amp;$A10))</f>
        <v>1765</v>
      </c>
      <c r="U10" s="6">
        <f>-IF(RTD("tos.rtd",,U$2,"."&amp;$A$2&amp;$L$1&amp;"P"&amp;$A10)="N/A",0,RTD("tos.rtd",,U$2,"."&amp;$A$2&amp;$L$1&amp;"P"&amp;$A10))</f>
        <v>-114</v>
      </c>
      <c r="V10" s="1">
        <f ca="1">+Hoja2!Y11</f>
        <v>18266</v>
      </c>
      <c r="W10" s="1">
        <f t="shared" ca="1" si="8"/>
        <v>27617</v>
      </c>
    </row>
    <row r="11" spans="1:23" s="51" customFormat="1" ht="13.5" thickBot="1" x14ac:dyDescent="0.25">
      <c r="A11" s="2">
        <f t="shared" si="9"/>
        <v>682</v>
      </c>
      <c r="B11" s="1">
        <f t="shared" si="2"/>
        <v>6639</v>
      </c>
      <c r="C11" s="1">
        <f t="shared" si="3"/>
        <v>710</v>
      </c>
      <c r="D11" s="1">
        <f t="shared" si="4"/>
        <v>426</v>
      </c>
      <c r="E11" s="1">
        <f t="shared" si="11"/>
        <v>7775</v>
      </c>
      <c r="F11" s="4">
        <f t="shared" si="12"/>
        <v>6861.9935748706048</v>
      </c>
      <c r="G11" s="1"/>
      <c r="H11" s="5">
        <f>IF(RTD("tos.rtd",,H$2,"."&amp;$A$2&amp;$H$1&amp;"C"&amp;$A11)="N/A",0,RTD("tos.rtd",,H$2,"."&amp;$A$2&amp;$H$1&amp;"C"&amp;$A11))</f>
        <v>7117</v>
      </c>
      <c r="I11" s="6">
        <f>-IF(RTD("tos.rtd",,I$2,"."&amp;$A$2&amp;$H$1&amp;"P"&amp;$A11)="N/A",0,RTD("tos.rtd",,I$2,"."&amp;$A$2&amp;$H$1&amp;"P"&amp;$A11))</f>
        <v>-478</v>
      </c>
      <c r="J11" s="5">
        <f>IF(RTD("tos.rtd",,J$2,"."&amp;$A$2&amp;$J$1&amp;"C"&amp;$A11)="N/A",0,RTD("tos.rtd",,J$2,"."&amp;$A$2&amp;$J$1&amp;"C"&amp;$A11))</f>
        <v>2069</v>
      </c>
      <c r="K11" s="6">
        <f>-IF(RTD("tos.rtd",,K$2,"."&amp;$A$2&amp;$J$1&amp;"P"&amp;$A11)="N/A",0,RTD("tos.rtd",,K$2,"."&amp;$A$2&amp;$J$1&amp;"P"&amp;$A11))</f>
        <v>-1359</v>
      </c>
      <c r="L11" s="5">
        <f>IF(RTD("tos.rtd",,L$2,"."&amp;$A$2&amp;$L$1&amp;"C"&amp;$A11)="N/A",0,RTD("tos.rtd",,L$2,"."&amp;$A$2&amp;$L$1&amp;"C"&amp;$A11))</f>
        <v>4965</v>
      </c>
      <c r="M11" s="6">
        <f>-IF(RTD("tos.rtd",,M$2,"."&amp;$A$2&amp;$L$1&amp;"P"&amp;$A11)="N/A",0,RTD("tos.rtd",,M$2,"."&amp;$A$2&amp;$L$1&amp;"P"&amp;$A11))</f>
        <v>-4539</v>
      </c>
      <c r="N11" s="1">
        <f t="shared" si="13"/>
        <v>7775</v>
      </c>
      <c r="O11" s="7">
        <f t="shared" si="7"/>
        <v>682</v>
      </c>
      <c r="P11" s="5">
        <f>IF(RTD("tos.rtd",,P$2,"."&amp;$A$2&amp;$H$1&amp;"C"&amp;$A11)="N/A",0,RTD("tos.rtd",,P$2,"."&amp;$A$2&amp;$H$1&amp;"C"&amp;$A11))</f>
        <v>12001</v>
      </c>
      <c r="Q11" s="6">
        <f>-IF(RTD("tos.rtd",,Q$2,"."&amp;$A$2&amp;$H$1&amp;"P"&amp;$A11)="N/A",0,RTD("tos.rtd",,Q$2,"."&amp;$A$2&amp;$H$1&amp;"P"&amp;$A11))</f>
        <v>-81</v>
      </c>
      <c r="R11" s="5">
        <f>IF(RTD("tos.rtd",,R$2,"."&amp;$A$2&amp;$J$1&amp;"C"&amp;$A11)="N/A",0,RTD("tos.rtd",,R$2,"."&amp;$A$2&amp;$J$1&amp;"C"&amp;$A11))</f>
        <v>4763</v>
      </c>
      <c r="S11" s="6">
        <f>-IF(RTD("tos.rtd",,S$2,"."&amp;$A$2&amp;$J$1&amp;"P"&amp;$A11)="N/A",0,RTD("tos.rtd",,S$2,"."&amp;$A$2&amp;$J$1&amp;"P"&amp;$A11))</f>
        <v>-331</v>
      </c>
      <c r="T11" s="5">
        <f>IF(RTD("tos.rtd",,T$2,"."&amp;$A$2&amp;$L$1&amp;"C"&amp;$A11)="N/A",0,RTD("tos.rtd",,T$2,"."&amp;$A$2&amp;$L$1&amp;"C"&amp;$A11))</f>
        <v>1613</v>
      </c>
      <c r="U11" s="6">
        <f>-IF(RTD("tos.rtd",,U$2,"."&amp;$A$2&amp;$L$1&amp;"P"&amp;$A11)="N/A",0,RTD("tos.rtd",,U$2,"."&amp;$A$2&amp;$L$1&amp;"P"&amp;$A11))</f>
        <v>-450</v>
      </c>
      <c r="V11" s="1">
        <f ca="1">+Hoja2!Y12</f>
        <v>21300</v>
      </c>
      <c r="W11" s="1">
        <f t="shared" ca="1" si="8"/>
        <v>38815</v>
      </c>
    </row>
    <row r="12" spans="1:23" s="51" customFormat="1" ht="13.5" thickBot="1" x14ac:dyDescent="0.25">
      <c r="A12" s="2">
        <f t="shared" si="9"/>
        <v>681</v>
      </c>
      <c r="B12" s="1">
        <f t="shared" si="2"/>
        <v>2291</v>
      </c>
      <c r="C12" s="1">
        <f t="shared" si="3"/>
        <v>1033</v>
      </c>
      <c r="D12" s="1">
        <f t="shared" si="4"/>
        <v>1902</v>
      </c>
      <c r="E12" s="1">
        <f t="shared" si="11"/>
        <v>5226</v>
      </c>
      <c r="F12" s="4">
        <f t="shared" si="12"/>
        <v>6851.9320007139031</v>
      </c>
      <c r="G12" s="1"/>
      <c r="H12" s="5">
        <f>IF(RTD("tos.rtd",,H$2,"."&amp;$A$2&amp;$H$1&amp;"C"&amp;$A12)="N/A",0,RTD("tos.rtd",,H$2,"."&amp;$A$2&amp;$H$1&amp;"C"&amp;$A12))</f>
        <v>2884</v>
      </c>
      <c r="I12" s="6">
        <f>-IF(RTD("tos.rtd",,I$2,"."&amp;$A$2&amp;$H$1&amp;"P"&amp;$A12)="N/A",0,RTD("tos.rtd",,I$2,"."&amp;$A$2&amp;$H$1&amp;"P"&amp;$A12))</f>
        <v>-593</v>
      </c>
      <c r="J12" s="5">
        <f>IF(RTD("tos.rtd",,J$2,"."&amp;$A$2&amp;$J$1&amp;"C"&amp;$A12)="N/A",0,RTD("tos.rtd",,J$2,"."&amp;$A$2&amp;$J$1&amp;"C"&amp;$A12))</f>
        <v>1720</v>
      </c>
      <c r="K12" s="6">
        <f>-IF(RTD("tos.rtd",,K$2,"."&amp;$A$2&amp;$J$1&amp;"P"&amp;$A12)="N/A",0,RTD("tos.rtd",,K$2,"."&amp;$A$2&amp;$J$1&amp;"P"&amp;$A12))</f>
        <v>-687</v>
      </c>
      <c r="L12" s="5">
        <f>IF(RTD("tos.rtd",,L$2,"."&amp;$A$2&amp;$L$1&amp;"C"&amp;$A12)="N/A",0,RTD("tos.rtd",,L$2,"."&amp;$A$2&amp;$L$1&amp;"C"&amp;$A12))</f>
        <v>3779</v>
      </c>
      <c r="M12" s="6">
        <f>-IF(RTD("tos.rtd",,M$2,"."&amp;$A$2&amp;$L$1&amp;"P"&amp;$A12)="N/A",0,RTD("tos.rtd",,M$2,"."&amp;$A$2&amp;$L$1&amp;"P"&amp;$A12))</f>
        <v>-1877</v>
      </c>
      <c r="N12" s="1">
        <f t="shared" si="13"/>
        <v>5226</v>
      </c>
      <c r="O12" s="7">
        <f t="shared" si="7"/>
        <v>681</v>
      </c>
      <c r="P12" s="5">
        <f>IF(RTD("tos.rtd",,P$2,"."&amp;$A$2&amp;$H$1&amp;"C"&amp;$A12)="N/A",0,RTD("tos.rtd",,P$2,"."&amp;$A$2&amp;$H$1&amp;"C"&amp;$A12))</f>
        <v>15662</v>
      </c>
      <c r="Q12" s="6">
        <f>-IF(RTD("tos.rtd",,Q$2,"."&amp;$A$2&amp;$H$1&amp;"P"&amp;$A12)="N/A",0,RTD("tos.rtd",,Q$2,"."&amp;$A$2&amp;$H$1&amp;"P"&amp;$A12))</f>
        <v>-220</v>
      </c>
      <c r="R12" s="5">
        <f>IF(RTD("tos.rtd",,R$2,"."&amp;$A$2&amp;$J$1&amp;"C"&amp;$A12)="N/A",0,RTD("tos.rtd",,R$2,"."&amp;$A$2&amp;$J$1&amp;"C"&amp;$A12))</f>
        <v>3335</v>
      </c>
      <c r="S12" s="6">
        <f>-IF(RTD("tos.rtd",,S$2,"."&amp;$A$2&amp;$J$1&amp;"P"&amp;$A12)="N/A",0,RTD("tos.rtd",,S$2,"."&amp;$A$2&amp;$J$1&amp;"P"&amp;$A12))</f>
        <v>-219</v>
      </c>
      <c r="T12" s="5">
        <f>IF(RTD("tos.rtd",,T$2,"."&amp;$A$2&amp;$L$1&amp;"C"&amp;$A12)="N/A",0,RTD("tos.rtd",,T$2,"."&amp;$A$2&amp;$L$1&amp;"C"&amp;$A12))</f>
        <v>1424</v>
      </c>
      <c r="U12" s="6">
        <f>-IF(RTD("tos.rtd",,U$2,"."&amp;$A$2&amp;$L$1&amp;"P"&amp;$A12)="N/A",0,RTD("tos.rtd",,U$2,"."&amp;$A$2&amp;$L$1&amp;"P"&amp;$A12))</f>
        <v>-35</v>
      </c>
      <c r="V12" s="1">
        <f ca="1">+Hoja2!Y13</f>
        <v>21809</v>
      </c>
      <c r="W12" s="1">
        <f t="shared" ca="1" si="8"/>
        <v>41756</v>
      </c>
    </row>
    <row r="13" spans="1:23" s="51" customFormat="1" ht="13.5" thickBot="1" x14ac:dyDescent="0.25">
      <c r="A13" s="2">
        <f t="shared" si="9"/>
        <v>680</v>
      </c>
      <c r="B13" s="1">
        <f t="shared" si="2"/>
        <v>7072</v>
      </c>
      <c r="C13" s="1">
        <f t="shared" si="3"/>
        <v>5161</v>
      </c>
      <c r="D13" s="1">
        <f t="shared" si="4"/>
        <v>19860</v>
      </c>
      <c r="E13" s="1">
        <f t="shared" si="11"/>
        <v>32093</v>
      </c>
      <c r="F13" s="4">
        <f t="shared" si="12"/>
        <v>6841.8704265572014</v>
      </c>
      <c r="G13" s="1"/>
      <c r="H13" s="5">
        <f>IF(RTD("tos.rtd",,H$2,"."&amp;$A$2&amp;$H$1&amp;"C"&amp;$A13)="N/A",0,RTD("tos.rtd",,H$2,"."&amp;$A$2&amp;$H$1&amp;"C"&amp;$A13))</f>
        <v>10150</v>
      </c>
      <c r="I13" s="6">
        <f>-IF(RTD("tos.rtd",,I$2,"."&amp;$A$2&amp;$H$1&amp;"P"&amp;$A13)="N/A",0,RTD("tos.rtd",,I$2,"."&amp;$A$2&amp;$H$1&amp;"P"&amp;$A13))</f>
        <v>-3078</v>
      </c>
      <c r="J13" s="5">
        <f>IF(RTD("tos.rtd",,J$2,"."&amp;$A$2&amp;$J$1&amp;"C"&amp;$A13)="N/A",0,RTD("tos.rtd",,J$2,"."&amp;$A$2&amp;$J$1&amp;"C"&amp;$A13))</f>
        <v>8795</v>
      </c>
      <c r="K13" s="6">
        <f>-IF(RTD("tos.rtd",,K$2,"."&amp;$A$2&amp;$J$1&amp;"P"&amp;$A13)="N/A",0,RTD("tos.rtd",,K$2,"."&amp;$A$2&amp;$J$1&amp;"P"&amp;$A13))</f>
        <v>-3634</v>
      </c>
      <c r="L13" s="5">
        <f>IF(RTD("tos.rtd",,L$2,"."&amp;$A$2&amp;$L$1&amp;"C"&amp;$A13)="N/A",0,RTD("tos.rtd",,L$2,"."&amp;$A$2&amp;$L$1&amp;"C"&amp;$A13))</f>
        <v>31225</v>
      </c>
      <c r="M13" s="6">
        <f>-IF(RTD("tos.rtd",,M$2,"."&amp;$A$2&amp;$L$1&amp;"P"&amp;$A13)="N/A",0,RTD("tos.rtd",,M$2,"."&amp;$A$2&amp;$L$1&amp;"P"&amp;$A13))</f>
        <v>-11365</v>
      </c>
      <c r="N13" s="1">
        <f t="shared" si="13"/>
        <v>32093</v>
      </c>
      <c r="O13" s="7">
        <f t="shared" si="7"/>
        <v>680</v>
      </c>
      <c r="P13" s="5">
        <f>IF(RTD("tos.rtd",,P$2,"."&amp;$A$2&amp;$H$1&amp;"C"&amp;$A13)="N/A",0,RTD("tos.rtd",,P$2,"."&amp;$A$2&amp;$H$1&amp;"C"&amp;$A13))</f>
        <v>37037</v>
      </c>
      <c r="Q13" s="6">
        <f>-IF(RTD("tos.rtd",,Q$2,"."&amp;$A$2&amp;$H$1&amp;"P"&amp;$A13)="N/A",0,RTD("tos.rtd",,Q$2,"."&amp;$A$2&amp;$H$1&amp;"P"&amp;$A13))</f>
        <v>-1436</v>
      </c>
      <c r="R13" s="5">
        <f>IF(RTD("tos.rtd",,R$2,"."&amp;$A$2&amp;$J$1&amp;"C"&amp;$A13)="N/A",0,RTD("tos.rtd",,R$2,"."&amp;$A$2&amp;$J$1&amp;"C"&amp;$A13))</f>
        <v>48542</v>
      </c>
      <c r="S13" s="6">
        <f>-IF(RTD("tos.rtd",,S$2,"."&amp;$A$2&amp;$J$1&amp;"P"&amp;$A13)="N/A",0,RTD("tos.rtd",,S$2,"."&amp;$A$2&amp;$J$1&amp;"P"&amp;$A13))</f>
        <v>-1165</v>
      </c>
      <c r="T13" s="5">
        <f>IF(RTD("tos.rtd",,T$2,"."&amp;$A$2&amp;$L$1&amp;"C"&amp;$A13)="N/A",0,RTD("tos.rtd",,T$2,"."&amp;$A$2&amp;$L$1&amp;"C"&amp;$A13))</f>
        <v>16301</v>
      </c>
      <c r="U13" s="6">
        <f>-IF(RTD("tos.rtd",,U$2,"."&amp;$A$2&amp;$L$1&amp;"P"&amp;$A13)="N/A",0,RTD("tos.rtd",,U$2,"."&amp;$A$2&amp;$L$1&amp;"P"&amp;$A13))</f>
        <v>-2226</v>
      </c>
      <c r="V13" s="1">
        <f ca="1">+Hoja2!Y14</f>
        <v>75942</v>
      </c>
      <c r="W13" s="1">
        <f t="shared" ca="1" si="8"/>
        <v>172995</v>
      </c>
    </row>
    <row r="14" spans="1:23" s="51" customFormat="1" ht="13.5" thickBot="1" x14ac:dyDescent="0.25">
      <c r="A14" s="2">
        <f t="shared" si="9"/>
        <v>679</v>
      </c>
      <c r="B14" s="1">
        <f t="shared" si="2"/>
        <v>-574</v>
      </c>
      <c r="C14" s="1">
        <f t="shared" si="3"/>
        <v>1063</v>
      </c>
      <c r="D14" s="1">
        <f t="shared" si="4"/>
        <v>-339</v>
      </c>
      <c r="E14" s="1">
        <f t="shared" si="11"/>
        <v>150</v>
      </c>
      <c r="F14" s="4">
        <f t="shared" si="12"/>
        <v>6831.8088524004997</v>
      </c>
      <c r="G14" s="1"/>
      <c r="H14" s="5">
        <f>IF(RTD("tos.rtd",,H$2,"."&amp;$A$2&amp;$H$1&amp;"C"&amp;$A14)="N/A",0,RTD("tos.rtd",,H$2,"."&amp;$A$2&amp;$H$1&amp;"C"&amp;$A14))</f>
        <v>2597</v>
      </c>
      <c r="I14" s="6">
        <f>-IF(RTD("tos.rtd",,I$2,"."&amp;$A$2&amp;$H$1&amp;"P"&amp;$A14)="N/A",0,RTD("tos.rtd",,I$2,"."&amp;$A$2&amp;$H$1&amp;"P"&amp;$A14))</f>
        <v>-3171</v>
      </c>
      <c r="J14" s="5">
        <f>IF(RTD("tos.rtd",,J$2,"."&amp;$A$2&amp;$J$1&amp;"C"&amp;$A14)="N/A",0,RTD("tos.rtd",,J$2,"."&amp;$A$2&amp;$J$1&amp;"C"&amp;$A14))</f>
        <v>2057</v>
      </c>
      <c r="K14" s="6">
        <f>-IF(RTD("tos.rtd",,K$2,"."&amp;$A$2&amp;$J$1&amp;"P"&amp;$A14)="N/A",0,RTD("tos.rtd",,K$2,"."&amp;$A$2&amp;$J$1&amp;"P"&amp;$A14))</f>
        <v>-994</v>
      </c>
      <c r="L14" s="5">
        <f>IF(RTD("tos.rtd",,L$2,"."&amp;$A$2&amp;$L$1&amp;"C"&amp;$A14)="N/A",0,RTD("tos.rtd",,L$2,"."&amp;$A$2&amp;$L$1&amp;"C"&amp;$A14))</f>
        <v>1408</v>
      </c>
      <c r="M14" s="6">
        <f>-IF(RTD("tos.rtd",,M$2,"."&amp;$A$2&amp;$L$1&amp;"P"&amp;$A14)="N/A",0,RTD("tos.rtd",,M$2,"."&amp;$A$2&amp;$L$1&amp;"P"&amp;$A14))</f>
        <v>-1747</v>
      </c>
      <c r="N14" s="1">
        <f t="shared" si="13"/>
        <v>150</v>
      </c>
      <c r="O14" s="7">
        <f t="shared" si="7"/>
        <v>679</v>
      </c>
      <c r="P14" s="5">
        <f>IF(RTD("tos.rtd",,P$2,"."&amp;$A$2&amp;$H$1&amp;"C"&amp;$A14)="N/A",0,RTD("tos.rtd",,P$2,"."&amp;$A$2&amp;$H$1&amp;"C"&amp;$A14))</f>
        <v>20130</v>
      </c>
      <c r="Q14" s="6">
        <f>-IF(RTD("tos.rtd",,Q$2,"."&amp;$A$2&amp;$H$1&amp;"P"&amp;$A14)="N/A",0,RTD("tos.rtd",,Q$2,"."&amp;$A$2&amp;$H$1&amp;"P"&amp;$A14))</f>
        <v>-3033</v>
      </c>
      <c r="R14" s="5">
        <f>IF(RTD("tos.rtd",,R$2,"."&amp;$A$2&amp;$J$1&amp;"C"&amp;$A14)="N/A",0,RTD("tos.rtd",,R$2,"."&amp;$A$2&amp;$J$1&amp;"C"&amp;$A14))</f>
        <v>6367</v>
      </c>
      <c r="S14" s="6">
        <f>-IF(RTD("tos.rtd",,S$2,"."&amp;$A$2&amp;$J$1&amp;"P"&amp;$A14)="N/A",0,RTD("tos.rtd",,S$2,"."&amp;$A$2&amp;$J$1&amp;"P"&amp;$A14))</f>
        <v>-288</v>
      </c>
      <c r="T14" s="5">
        <f>IF(RTD("tos.rtd",,T$2,"."&amp;$A$2&amp;$L$1&amp;"C"&amp;$A14)="N/A",0,RTD("tos.rtd",,T$2,"."&amp;$A$2&amp;$L$1&amp;"C"&amp;$A14))</f>
        <v>1375</v>
      </c>
      <c r="U14" s="6">
        <f>-IF(RTD("tos.rtd",,U$2,"."&amp;$A$2&amp;$L$1&amp;"P"&amp;$A14)="N/A",0,RTD("tos.rtd",,U$2,"."&amp;$A$2&amp;$L$1&amp;"P"&amp;$A14))</f>
        <v>-1102</v>
      </c>
      <c r="V14" s="1">
        <f ca="1">+Hoja2!Y15</f>
        <v>23195</v>
      </c>
      <c r="W14" s="1">
        <f t="shared" ca="1" si="8"/>
        <v>46644</v>
      </c>
    </row>
    <row r="15" spans="1:23" s="51" customFormat="1" ht="13.5" thickBot="1" x14ac:dyDescent="0.25">
      <c r="A15" s="2">
        <f t="shared" si="9"/>
        <v>678</v>
      </c>
      <c r="B15" s="1">
        <f t="shared" si="2"/>
        <v>1236</v>
      </c>
      <c r="C15" s="1">
        <f t="shared" si="3"/>
        <v>1975</v>
      </c>
      <c r="D15" s="1">
        <f t="shared" si="4"/>
        <v>235</v>
      </c>
      <c r="E15" s="1">
        <f t="shared" si="5"/>
        <v>3446</v>
      </c>
      <c r="F15" s="4">
        <f t="shared" si="6"/>
        <v>6821.7472782437981</v>
      </c>
      <c r="G15" s="1"/>
      <c r="H15" s="5">
        <f>IF(RTD("tos.rtd",,H$2,"."&amp;$A$2&amp;$H$1&amp;"C"&amp;$A15)="N/A",0,RTD("tos.rtd",,H$2,"."&amp;$A$2&amp;$H$1&amp;"C"&amp;$A15))</f>
        <v>3224</v>
      </c>
      <c r="I15" s="6">
        <f>-IF(RTD("tos.rtd",,I$2,"."&amp;$A$2&amp;$H$1&amp;"P"&amp;$A15)="N/A",0,RTD("tos.rtd",,I$2,"."&amp;$A$2&amp;$H$1&amp;"P"&amp;$A15))</f>
        <v>-1988</v>
      </c>
      <c r="J15" s="5">
        <f>IF(RTD("tos.rtd",,J$2,"."&amp;$A$2&amp;$J$1&amp;"C"&amp;$A15)="N/A",0,RTD("tos.rtd",,J$2,"."&amp;$A$2&amp;$J$1&amp;"C"&amp;$A15))</f>
        <v>3417</v>
      </c>
      <c r="K15" s="6">
        <f>-IF(RTD("tos.rtd",,K$2,"."&amp;$A$2&amp;$J$1&amp;"P"&amp;$A15)="N/A",0,RTD("tos.rtd",,K$2,"."&amp;$A$2&amp;$J$1&amp;"P"&amp;$A15))</f>
        <v>-1442</v>
      </c>
      <c r="L15" s="5">
        <f>IF(RTD("tos.rtd",,L$2,"."&amp;$A$2&amp;$L$1&amp;"C"&amp;$A15)="N/A",0,RTD("tos.rtd",,L$2,"."&amp;$A$2&amp;$L$1&amp;"C"&amp;$A15))</f>
        <v>4807</v>
      </c>
      <c r="M15" s="6">
        <f>-IF(RTD("tos.rtd",,M$2,"."&amp;$A$2&amp;$L$1&amp;"P"&amp;$A15)="N/A",0,RTD("tos.rtd",,M$2,"."&amp;$A$2&amp;$L$1&amp;"P"&amp;$A15))</f>
        <v>-4572</v>
      </c>
      <c r="N15" s="1">
        <f t="shared" si="10"/>
        <v>3446</v>
      </c>
      <c r="O15" s="7">
        <f t="shared" si="7"/>
        <v>678</v>
      </c>
      <c r="P15" s="5">
        <f>IF(RTD("tos.rtd",,P$2,"."&amp;$A$2&amp;$H$1&amp;"C"&amp;$A15)="N/A",0,RTD("tos.rtd",,P$2,"."&amp;$A$2&amp;$H$1&amp;"C"&amp;$A15))</f>
        <v>16546</v>
      </c>
      <c r="Q15" s="6">
        <f>-IF(RTD("tos.rtd",,Q$2,"."&amp;$A$2&amp;$H$1&amp;"P"&amp;$A15)="N/A",0,RTD("tos.rtd",,Q$2,"."&amp;$A$2&amp;$H$1&amp;"P"&amp;$A15))</f>
        <v>-1266</v>
      </c>
      <c r="R15" s="5">
        <f>IF(RTD("tos.rtd",,R$2,"."&amp;$A$2&amp;$J$1&amp;"C"&amp;$A15)="N/A",0,RTD("tos.rtd",,R$2,"."&amp;$A$2&amp;$J$1&amp;"C"&amp;$A15))</f>
        <v>3636</v>
      </c>
      <c r="S15" s="6">
        <f>-IF(RTD("tos.rtd",,S$2,"."&amp;$A$2&amp;$J$1&amp;"P"&amp;$A15)="N/A",0,RTD("tos.rtd",,S$2,"."&amp;$A$2&amp;$J$1&amp;"P"&amp;$A15))</f>
        <v>-401</v>
      </c>
      <c r="T15" s="5">
        <f>IF(RTD("tos.rtd",,T$2,"."&amp;$A$2&amp;$L$1&amp;"C"&amp;$A15)="N/A",0,RTD("tos.rtd",,T$2,"."&amp;$A$2&amp;$L$1&amp;"C"&amp;$A15))</f>
        <v>1992</v>
      </c>
      <c r="U15" s="6">
        <f>-IF(RTD("tos.rtd",,U$2,"."&amp;$A$2&amp;$L$1&amp;"P"&amp;$A15)="N/A",0,RTD("tos.rtd",,U$2,"."&amp;$A$2&amp;$L$1&amp;"P"&amp;$A15))</f>
        <v>-1134</v>
      </c>
      <c r="V15" s="1">
        <f ca="1">+Hoja2!Y16</f>
        <v>23641</v>
      </c>
      <c r="W15" s="1">
        <f t="shared" ca="1" si="8"/>
        <v>43014</v>
      </c>
    </row>
    <row r="16" spans="1:23" s="51" customFormat="1" ht="13.5" thickBot="1" x14ac:dyDescent="0.25">
      <c r="A16" s="2">
        <f t="shared" si="9"/>
        <v>677</v>
      </c>
      <c r="B16" s="1">
        <f t="shared" si="2"/>
        <v>1255</v>
      </c>
      <c r="C16" s="1">
        <f t="shared" si="3"/>
        <v>-4303</v>
      </c>
      <c r="D16" s="1">
        <f t="shared" si="4"/>
        <v>332</v>
      </c>
      <c r="E16" s="1">
        <f t="shared" si="5"/>
        <v>-2716</v>
      </c>
      <c r="F16" s="4">
        <f t="shared" si="6"/>
        <v>6811.6857040870955</v>
      </c>
      <c r="G16" s="1"/>
      <c r="H16" s="5">
        <f>IF(RTD("tos.rtd",,H$2,"."&amp;$A$2&amp;$H$1&amp;"C"&amp;$A16)="N/A",0,RTD("tos.rtd",,H$2,"."&amp;$A$2&amp;$H$1&amp;"C"&amp;$A16))</f>
        <v>3018</v>
      </c>
      <c r="I16" s="6">
        <f>-IF(RTD("tos.rtd",,I$2,"."&amp;$A$2&amp;$H$1&amp;"P"&amp;$A16)="N/A",0,RTD("tos.rtd",,I$2,"."&amp;$A$2&amp;$H$1&amp;"P"&amp;$A16))</f>
        <v>-1763</v>
      </c>
      <c r="J16" s="5">
        <f>IF(RTD("tos.rtd",,J$2,"."&amp;$A$2&amp;$J$1&amp;"C"&amp;$A16)="N/A",0,RTD("tos.rtd",,J$2,"."&amp;$A$2&amp;$J$1&amp;"C"&amp;$A16))</f>
        <v>3754</v>
      </c>
      <c r="K16" s="6">
        <f>-IF(RTD("tos.rtd",,K$2,"."&amp;$A$2&amp;$J$1&amp;"P"&amp;$A16)="N/A",0,RTD("tos.rtd",,K$2,"."&amp;$A$2&amp;$J$1&amp;"P"&amp;$A16))</f>
        <v>-8057</v>
      </c>
      <c r="L16" s="5">
        <f>IF(RTD("tos.rtd",,L$2,"."&amp;$A$2&amp;$L$1&amp;"C"&amp;$A16)="N/A",0,RTD("tos.rtd",,L$2,"."&amp;$A$2&amp;$L$1&amp;"C"&amp;$A16))</f>
        <v>2936</v>
      </c>
      <c r="M16" s="6">
        <f>-IF(RTD("tos.rtd",,M$2,"."&amp;$A$2&amp;$L$1&amp;"P"&amp;$A16)="N/A",0,RTD("tos.rtd",,M$2,"."&amp;$A$2&amp;$L$1&amp;"P"&amp;$A16))</f>
        <v>-2604</v>
      </c>
      <c r="N16" s="1">
        <f t="shared" si="10"/>
        <v>-2716</v>
      </c>
      <c r="O16" s="7">
        <f t="shared" si="7"/>
        <v>677</v>
      </c>
      <c r="P16" s="5">
        <f>IF(RTD("tos.rtd",,P$2,"."&amp;$A$2&amp;$H$1&amp;"C"&amp;$A16)="N/A",0,RTD("tos.rtd",,P$2,"."&amp;$A$2&amp;$H$1&amp;"C"&amp;$A16))</f>
        <v>23860</v>
      </c>
      <c r="Q16" s="6">
        <f>-IF(RTD("tos.rtd",,Q$2,"."&amp;$A$2&amp;$H$1&amp;"P"&amp;$A16)="N/A",0,RTD("tos.rtd",,Q$2,"."&amp;$A$2&amp;$H$1&amp;"P"&amp;$A16))</f>
        <v>-2215</v>
      </c>
      <c r="R16" s="5">
        <f>IF(RTD("tos.rtd",,R$2,"."&amp;$A$2&amp;$J$1&amp;"C"&amp;$A16)="N/A",0,RTD("tos.rtd",,R$2,"."&amp;$A$2&amp;$J$1&amp;"C"&amp;$A16))</f>
        <v>4775</v>
      </c>
      <c r="S16" s="6">
        <f>-IF(RTD("tos.rtd",,S$2,"."&amp;$A$2&amp;$J$1&amp;"P"&amp;$A16)="N/A",0,RTD("tos.rtd",,S$2,"."&amp;$A$2&amp;$J$1&amp;"P"&amp;$A16))</f>
        <v>-2289</v>
      </c>
      <c r="T16" s="5">
        <f>IF(RTD("tos.rtd",,T$2,"."&amp;$A$2&amp;$L$1&amp;"C"&amp;$A16)="N/A",0,RTD("tos.rtd",,T$2,"."&amp;$A$2&amp;$L$1&amp;"C"&amp;$A16))</f>
        <v>1831</v>
      </c>
      <c r="U16" s="6">
        <f>-IF(RTD("tos.rtd",,U$2,"."&amp;$A$2&amp;$L$1&amp;"P"&amp;$A16)="N/A",0,RTD("tos.rtd",,U$2,"."&amp;$A$2&amp;$L$1&amp;"P"&amp;$A16))</f>
        <v>-175</v>
      </c>
      <c r="V16" s="1">
        <f ca="1">+Hoja2!Y17</f>
        <v>38616</v>
      </c>
      <c r="W16" s="1">
        <f t="shared" ca="1" si="8"/>
        <v>64403</v>
      </c>
    </row>
    <row r="17" spans="1:23" s="51" customFormat="1" ht="13.5" thickBot="1" x14ac:dyDescent="0.25">
      <c r="A17" s="2">
        <f t="shared" si="9"/>
        <v>676</v>
      </c>
      <c r="B17" s="1">
        <f t="shared" si="2"/>
        <v>1461</v>
      </c>
      <c r="C17" s="1">
        <f t="shared" si="3"/>
        <v>696</v>
      </c>
      <c r="D17" s="1">
        <f t="shared" si="4"/>
        <v>64</v>
      </c>
      <c r="E17" s="1">
        <f t="shared" si="5"/>
        <v>2221</v>
      </c>
      <c r="F17" s="4">
        <f t="shared" si="6"/>
        <v>6801.6241299303938</v>
      </c>
      <c r="G17" s="1"/>
      <c r="H17" s="5">
        <f>IF(RTD("tos.rtd",,H$2,"."&amp;$A$2&amp;$H$1&amp;"C"&amp;$A17)="N/A",0,RTD("tos.rtd",,H$2,"."&amp;$A$2&amp;$H$1&amp;"C"&amp;$A17))</f>
        <v>4382</v>
      </c>
      <c r="I17" s="6">
        <f>-IF(RTD("tos.rtd",,I$2,"."&amp;$A$2&amp;$H$1&amp;"P"&amp;$A17)="N/A",0,RTD("tos.rtd",,I$2,"."&amp;$A$2&amp;$H$1&amp;"P"&amp;$A17))</f>
        <v>-2921</v>
      </c>
      <c r="J17" s="5">
        <f>IF(RTD("tos.rtd",,J$2,"."&amp;$A$2&amp;$J$1&amp;"C"&amp;$A17)="N/A",0,RTD("tos.rtd",,J$2,"."&amp;$A$2&amp;$J$1&amp;"C"&amp;$A17))</f>
        <v>1867</v>
      </c>
      <c r="K17" s="6">
        <f>-IF(RTD("tos.rtd",,K$2,"."&amp;$A$2&amp;$J$1&amp;"P"&amp;$A17)="N/A",0,RTD("tos.rtd",,K$2,"."&amp;$A$2&amp;$J$1&amp;"P"&amp;$A17))</f>
        <v>-1171</v>
      </c>
      <c r="L17" s="5">
        <f>IF(RTD("tos.rtd",,L$2,"."&amp;$A$2&amp;$L$1&amp;"C"&amp;$A17)="N/A",0,RTD("tos.rtd",,L$2,"."&amp;$A$2&amp;$L$1&amp;"C"&amp;$A17))</f>
        <v>3572</v>
      </c>
      <c r="M17" s="6">
        <f>-IF(RTD("tos.rtd",,M$2,"."&amp;$A$2&amp;$L$1&amp;"P"&amp;$A17)="N/A",0,RTD("tos.rtd",,M$2,"."&amp;$A$2&amp;$L$1&amp;"P"&amp;$A17))</f>
        <v>-3508</v>
      </c>
      <c r="N17" s="1">
        <f t="shared" si="10"/>
        <v>2221</v>
      </c>
      <c r="O17" s="7">
        <f t="shared" si="7"/>
        <v>676</v>
      </c>
      <c r="P17" s="5">
        <f>IF(RTD("tos.rtd",,P$2,"."&amp;$A$2&amp;$H$1&amp;"C"&amp;$A17)="N/A",0,RTD("tos.rtd",,P$2,"."&amp;$A$2&amp;$H$1&amp;"C"&amp;$A17))</f>
        <v>21886</v>
      </c>
      <c r="Q17" s="6">
        <f>-IF(RTD("tos.rtd",,Q$2,"."&amp;$A$2&amp;$H$1&amp;"P"&amp;$A17)="N/A",0,RTD("tos.rtd",,Q$2,"."&amp;$A$2&amp;$H$1&amp;"P"&amp;$A17))</f>
        <v>-1617</v>
      </c>
      <c r="R17" s="5">
        <f>IF(RTD("tos.rtd",,R$2,"."&amp;$A$2&amp;$J$1&amp;"C"&amp;$A17)="N/A",0,RTD("tos.rtd",,R$2,"."&amp;$A$2&amp;$J$1&amp;"C"&amp;$A17))</f>
        <v>3374</v>
      </c>
      <c r="S17" s="6">
        <f>-IF(RTD("tos.rtd",,S$2,"."&amp;$A$2&amp;$J$1&amp;"P"&amp;$A17)="N/A",0,RTD("tos.rtd",,S$2,"."&amp;$A$2&amp;$J$1&amp;"P"&amp;$A17))</f>
        <v>-482</v>
      </c>
      <c r="T17" s="5">
        <f>IF(RTD("tos.rtd",,T$2,"."&amp;$A$2&amp;$L$1&amp;"C"&amp;$A17)="N/A",0,RTD("tos.rtd",,T$2,"."&amp;$A$2&amp;$L$1&amp;"C"&amp;$A17))</f>
        <v>777</v>
      </c>
      <c r="U17" s="6">
        <f>-IF(RTD("tos.rtd",,U$2,"."&amp;$A$2&amp;$L$1&amp;"P"&amp;$A17)="N/A",0,RTD("tos.rtd",,U$2,"."&amp;$A$2&amp;$L$1&amp;"P"&amp;$A17))</f>
        <v>-238</v>
      </c>
      <c r="V17" s="1">
        <f ca="1">+Hoja2!Y18</f>
        <v>33816</v>
      </c>
      <c r="W17" s="1">
        <f t="shared" ca="1" si="8"/>
        <v>57516</v>
      </c>
    </row>
    <row r="18" spans="1:23" s="51" customFormat="1" ht="13.5" thickBot="1" x14ac:dyDescent="0.25">
      <c r="A18" s="2">
        <f t="shared" si="9"/>
        <v>675</v>
      </c>
      <c r="B18" s="1">
        <f t="shared" si="2"/>
        <v>3033</v>
      </c>
      <c r="C18" s="1">
        <f t="shared" si="3"/>
        <v>1088</v>
      </c>
      <c r="D18" s="1">
        <f t="shared" si="4"/>
        <v>-6619</v>
      </c>
      <c r="E18" s="1">
        <f t="shared" si="5"/>
        <v>-2498</v>
      </c>
      <c r="F18" s="4">
        <f t="shared" si="6"/>
        <v>6791.5625557736921</v>
      </c>
      <c r="G18" s="1"/>
      <c r="H18" s="5">
        <f>IF(RTD("tos.rtd",,H$2,"."&amp;$A$2&amp;$H$1&amp;"C"&amp;$A18)="N/A",0,RTD("tos.rtd",,H$2,"."&amp;$A$2&amp;$H$1&amp;"C"&amp;$A18))</f>
        <v>5076</v>
      </c>
      <c r="I18" s="6">
        <f>-IF(RTD("tos.rtd",,I$2,"."&amp;$A$2&amp;$H$1&amp;"P"&amp;$A18)="N/A",0,RTD("tos.rtd",,I$2,"."&amp;$A$2&amp;$H$1&amp;"P"&amp;$A18))</f>
        <v>-2043</v>
      </c>
      <c r="J18" s="5">
        <f>IF(RTD("tos.rtd",,J$2,"."&amp;$A$2&amp;$J$1&amp;"C"&amp;$A18)="N/A",0,RTD("tos.rtd",,J$2,"."&amp;$A$2&amp;$J$1&amp;"C"&amp;$A18))</f>
        <v>5716</v>
      </c>
      <c r="K18" s="6">
        <f>-IF(RTD("tos.rtd",,K$2,"."&amp;$A$2&amp;$J$1&amp;"P"&amp;$A18)="N/A",0,RTD("tos.rtd",,K$2,"."&amp;$A$2&amp;$J$1&amp;"P"&amp;$A18))</f>
        <v>-4628</v>
      </c>
      <c r="L18" s="5">
        <f>IF(RTD("tos.rtd",,L$2,"."&amp;$A$2&amp;$L$1&amp;"C"&amp;$A18)="N/A",0,RTD("tos.rtd",,L$2,"."&amp;$A$2&amp;$L$1&amp;"C"&amp;$A18))</f>
        <v>12982</v>
      </c>
      <c r="M18" s="6">
        <f>-IF(RTD("tos.rtd",,M$2,"."&amp;$A$2&amp;$L$1&amp;"P"&amp;$A18)="N/A",0,RTD("tos.rtd",,M$2,"."&amp;$A$2&amp;$L$1&amp;"P"&amp;$A18))</f>
        <v>-19601</v>
      </c>
      <c r="N18" s="1">
        <f t="shared" si="10"/>
        <v>-2498</v>
      </c>
      <c r="O18" s="7">
        <f t="shared" si="7"/>
        <v>675</v>
      </c>
      <c r="P18" s="5">
        <f>IF(RTD("tos.rtd",,P$2,"."&amp;$A$2&amp;$H$1&amp;"C"&amp;$A18)="N/A",0,RTD("tos.rtd",,P$2,"."&amp;$A$2&amp;$H$1&amp;"C"&amp;$A18))</f>
        <v>37914</v>
      </c>
      <c r="Q18" s="6">
        <f>-IF(RTD("tos.rtd",,Q$2,"."&amp;$A$2&amp;$H$1&amp;"P"&amp;$A18)="N/A",0,RTD("tos.rtd",,Q$2,"."&amp;$A$2&amp;$H$1&amp;"P"&amp;$A18))</f>
        <v>-3149</v>
      </c>
      <c r="R18" s="5">
        <f>IF(RTD("tos.rtd",,R$2,"."&amp;$A$2&amp;$J$1&amp;"C"&amp;$A18)="N/A",0,RTD("tos.rtd",,R$2,"."&amp;$A$2&amp;$J$1&amp;"C"&amp;$A18))</f>
        <v>19585</v>
      </c>
      <c r="S18" s="6">
        <f>-IF(RTD("tos.rtd",,S$2,"."&amp;$A$2&amp;$J$1&amp;"P"&amp;$A18)="N/A",0,RTD("tos.rtd",,S$2,"."&amp;$A$2&amp;$J$1&amp;"P"&amp;$A18))</f>
        <v>-1747</v>
      </c>
      <c r="T18" s="5">
        <f>IF(RTD("tos.rtd",,T$2,"."&amp;$A$2&amp;$L$1&amp;"C"&amp;$A18)="N/A",0,RTD("tos.rtd",,T$2,"."&amp;$A$2&amp;$L$1&amp;"C"&amp;$A18))</f>
        <v>22400</v>
      </c>
      <c r="U18" s="6">
        <f>-IF(RTD("tos.rtd",,U$2,"."&amp;$A$2&amp;$L$1&amp;"P"&amp;$A18)="N/A",0,RTD("tos.rtd",,U$2,"."&amp;$A$2&amp;$L$1&amp;"P"&amp;$A18))</f>
        <v>-11700</v>
      </c>
      <c r="V18" s="1">
        <f ca="1">+Hoja2!Y19</f>
        <v>52381</v>
      </c>
      <c r="W18" s="1">
        <f t="shared" ca="1" si="8"/>
        <v>115684</v>
      </c>
    </row>
    <row r="19" spans="1:23" s="51" customFormat="1" ht="13.5" thickBot="1" x14ac:dyDescent="0.25">
      <c r="A19" s="2">
        <f t="shared" si="9"/>
        <v>674</v>
      </c>
      <c r="B19" s="1">
        <f t="shared" si="2"/>
        <v>970</v>
      </c>
      <c r="C19" s="1">
        <f t="shared" si="3"/>
        <v>649</v>
      </c>
      <c r="D19" s="1">
        <f t="shared" si="4"/>
        <v>71</v>
      </c>
      <c r="E19" s="1">
        <f t="shared" si="5"/>
        <v>1690</v>
      </c>
      <c r="F19" s="4">
        <f t="shared" si="6"/>
        <v>6781.5009816169904</v>
      </c>
      <c r="G19" s="1"/>
      <c r="H19" s="5">
        <f>IF(RTD("tos.rtd",,H$2,"."&amp;$A$2&amp;$H$1&amp;"C"&amp;$A19)="N/A",0,RTD("tos.rtd",,H$2,"."&amp;$A$2&amp;$H$1&amp;"C"&amp;$A19))</f>
        <v>3951</v>
      </c>
      <c r="I19" s="6">
        <f>-IF(RTD("tos.rtd",,I$2,"."&amp;$A$2&amp;$H$1&amp;"P"&amp;$A19)="N/A",0,RTD("tos.rtd",,I$2,"."&amp;$A$2&amp;$H$1&amp;"P"&amp;$A19))</f>
        <v>-2981</v>
      </c>
      <c r="J19" s="5">
        <f>IF(RTD("tos.rtd",,J$2,"."&amp;$A$2&amp;$J$1&amp;"C"&amp;$A19)="N/A",0,RTD("tos.rtd",,J$2,"."&amp;$A$2&amp;$J$1&amp;"C"&amp;$A19))</f>
        <v>1815</v>
      </c>
      <c r="K19" s="6">
        <f>-IF(RTD("tos.rtd",,K$2,"."&amp;$A$2&amp;$J$1&amp;"P"&amp;$A19)="N/A",0,RTD("tos.rtd",,K$2,"."&amp;$A$2&amp;$J$1&amp;"P"&amp;$A19))</f>
        <v>-1166</v>
      </c>
      <c r="L19" s="5">
        <f>IF(RTD("tos.rtd",,L$2,"."&amp;$A$2&amp;$L$1&amp;"C"&amp;$A19)="N/A",0,RTD("tos.rtd",,L$2,"."&amp;$A$2&amp;$L$1&amp;"C"&amp;$A19))</f>
        <v>4620</v>
      </c>
      <c r="M19" s="6">
        <f>-IF(RTD("tos.rtd",,M$2,"."&amp;$A$2&amp;$L$1&amp;"P"&amp;$A19)="N/A",0,RTD("tos.rtd",,M$2,"."&amp;$A$2&amp;$L$1&amp;"P"&amp;$A19))</f>
        <v>-4549</v>
      </c>
      <c r="N19" s="1">
        <f t="shared" si="10"/>
        <v>1690</v>
      </c>
      <c r="O19" s="7">
        <f t="shared" si="7"/>
        <v>674</v>
      </c>
      <c r="P19" s="5">
        <f>IF(RTD("tos.rtd",,P$2,"."&amp;$A$2&amp;$H$1&amp;"C"&amp;$A19)="N/A",0,RTD("tos.rtd",,P$2,"."&amp;$A$2&amp;$H$1&amp;"C"&amp;$A19))</f>
        <v>26656</v>
      </c>
      <c r="Q19" s="6">
        <f>-IF(RTD("tos.rtd",,Q$2,"."&amp;$A$2&amp;$H$1&amp;"P"&amp;$A19)="N/A",0,RTD("tos.rtd",,Q$2,"."&amp;$A$2&amp;$H$1&amp;"P"&amp;$A19))</f>
        <v>-2578</v>
      </c>
      <c r="R19" s="5">
        <f>IF(RTD("tos.rtd",,R$2,"."&amp;$A$2&amp;$J$1&amp;"C"&amp;$A19)="N/A",0,RTD("tos.rtd",,R$2,"."&amp;$A$2&amp;$J$1&amp;"C"&amp;$A19))</f>
        <v>3454</v>
      </c>
      <c r="S19" s="6">
        <f>-IF(RTD("tos.rtd",,S$2,"."&amp;$A$2&amp;$J$1&amp;"P"&amp;$A19)="N/A",0,RTD("tos.rtd",,S$2,"."&amp;$A$2&amp;$J$1&amp;"P"&amp;$A19))</f>
        <v>-258</v>
      </c>
      <c r="T19" s="5">
        <f>IF(RTD("tos.rtd",,T$2,"."&amp;$A$2&amp;$L$1&amp;"C"&amp;$A19)="N/A",0,RTD("tos.rtd",,T$2,"."&amp;$A$2&amp;$L$1&amp;"C"&amp;$A19))</f>
        <v>1610</v>
      </c>
      <c r="U19" s="6">
        <f>-IF(RTD("tos.rtd",,U$2,"."&amp;$A$2&amp;$L$1&amp;"P"&amp;$A19)="N/A",0,RTD("tos.rtd",,U$2,"."&amp;$A$2&amp;$L$1&amp;"P"&amp;$A19))</f>
        <v>-223</v>
      </c>
      <c r="V19" s="1">
        <f ca="1">+Hoja2!Y20</f>
        <v>35192</v>
      </c>
      <c r="W19" s="1">
        <f t="shared" ca="1" si="8"/>
        <v>63853</v>
      </c>
    </row>
    <row r="20" spans="1:23" s="51" customFormat="1" ht="13.5" thickBot="1" x14ac:dyDescent="0.25">
      <c r="A20" s="2">
        <f t="shared" si="9"/>
        <v>673</v>
      </c>
      <c r="B20" s="1">
        <f t="shared" si="2"/>
        <v>2917</v>
      </c>
      <c r="C20" s="1">
        <f t="shared" si="3"/>
        <v>-271</v>
      </c>
      <c r="D20" s="1">
        <f t="shared" si="4"/>
        <v>1392</v>
      </c>
      <c r="E20" s="1">
        <f t="shared" si="5"/>
        <v>4038</v>
      </c>
      <c r="F20" s="4">
        <f t="shared" si="6"/>
        <v>6771.4394074602887</v>
      </c>
      <c r="G20" s="1"/>
      <c r="H20" s="5">
        <f>IF(RTD("tos.rtd",,H$2,"."&amp;$A$2&amp;$H$1&amp;"C"&amp;$A20)="N/A",0,RTD("tos.rtd",,H$2,"."&amp;$A$2&amp;$H$1&amp;"C"&amp;$A20))</f>
        <v>4740</v>
      </c>
      <c r="I20" s="6">
        <f>-IF(RTD("tos.rtd",,I$2,"."&amp;$A$2&amp;$H$1&amp;"P"&amp;$A20)="N/A",0,RTD("tos.rtd",,I$2,"."&amp;$A$2&amp;$H$1&amp;"P"&amp;$A20))</f>
        <v>-1823</v>
      </c>
      <c r="J20" s="5">
        <f>IF(RTD("tos.rtd",,J$2,"."&amp;$A$2&amp;$J$1&amp;"C"&amp;$A20)="N/A",0,RTD("tos.rtd",,J$2,"."&amp;$A$2&amp;$J$1&amp;"C"&amp;$A20))</f>
        <v>1145</v>
      </c>
      <c r="K20" s="6">
        <f>-IF(RTD("tos.rtd",,K$2,"."&amp;$A$2&amp;$J$1&amp;"P"&amp;$A20)="N/A",0,RTD("tos.rtd",,K$2,"."&amp;$A$2&amp;$J$1&amp;"P"&amp;$A20))</f>
        <v>-1416</v>
      </c>
      <c r="L20" s="5">
        <f>IF(RTD("tos.rtd",,L$2,"."&amp;$A$2&amp;$L$1&amp;"C"&amp;$A20)="N/A",0,RTD("tos.rtd",,L$2,"."&amp;$A$2&amp;$L$1&amp;"C"&amp;$A20))</f>
        <v>3446</v>
      </c>
      <c r="M20" s="6">
        <f>-IF(RTD("tos.rtd",,M$2,"."&amp;$A$2&amp;$L$1&amp;"P"&amp;$A20)="N/A",0,RTD("tos.rtd",,M$2,"."&amp;$A$2&amp;$L$1&amp;"P"&amp;$A20))</f>
        <v>-2054</v>
      </c>
      <c r="N20" s="1">
        <f t="shared" si="10"/>
        <v>4038</v>
      </c>
      <c r="O20" s="7">
        <f t="shared" si="7"/>
        <v>673</v>
      </c>
      <c r="P20" s="5">
        <f>IF(RTD("tos.rtd",,P$2,"."&amp;$A$2&amp;$H$1&amp;"C"&amp;$A20)="N/A",0,RTD("tos.rtd",,P$2,"."&amp;$A$2&amp;$H$1&amp;"C"&amp;$A20))</f>
        <v>56538</v>
      </c>
      <c r="Q20" s="6">
        <f>-IF(RTD("tos.rtd",,Q$2,"."&amp;$A$2&amp;$H$1&amp;"P"&amp;$A20)="N/A",0,RTD("tos.rtd",,Q$2,"."&amp;$A$2&amp;$H$1&amp;"P"&amp;$A20))</f>
        <v>-2330</v>
      </c>
      <c r="R20" s="5">
        <f>IF(RTD("tos.rtd",,R$2,"."&amp;$A$2&amp;$J$1&amp;"C"&amp;$A20)="N/A",0,RTD("tos.rtd",,R$2,"."&amp;$A$2&amp;$J$1&amp;"C"&amp;$A20))</f>
        <v>3285</v>
      </c>
      <c r="S20" s="6">
        <f>-IF(RTD("tos.rtd",,S$2,"."&amp;$A$2&amp;$J$1&amp;"P"&amp;$A20)="N/A",0,RTD("tos.rtd",,S$2,"."&amp;$A$2&amp;$J$1&amp;"P"&amp;$A20))</f>
        <v>-493</v>
      </c>
      <c r="T20" s="5">
        <f>IF(RTD("tos.rtd",,T$2,"."&amp;$A$2&amp;$L$1&amp;"C"&amp;$A20)="N/A",0,RTD("tos.rtd",,T$2,"."&amp;$A$2&amp;$L$1&amp;"C"&amp;$A20))</f>
        <v>2134</v>
      </c>
      <c r="U20" s="6">
        <f>-IF(RTD("tos.rtd",,U$2,"."&amp;$A$2&amp;$L$1&amp;"P"&amp;$A20)="N/A",0,RTD("tos.rtd",,U$2,"."&amp;$A$2&amp;$L$1&amp;"P"&amp;$A20))</f>
        <v>-646</v>
      </c>
      <c r="V20" s="1">
        <f ca="1">+Hoja2!Y21</f>
        <v>63211</v>
      </c>
      <c r="W20" s="1">
        <f t="shared" ca="1" si="8"/>
        <v>121699</v>
      </c>
    </row>
    <row r="21" spans="1:23" s="51" customFormat="1" ht="13.5" thickBot="1" x14ac:dyDescent="0.25">
      <c r="A21" s="2">
        <f t="shared" si="9"/>
        <v>672</v>
      </c>
      <c r="B21" s="1">
        <f t="shared" si="2"/>
        <v>-1637</v>
      </c>
      <c r="C21" s="1">
        <f t="shared" si="3"/>
        <v>-2598</v>
      </c>
      <c r="D21" s="1">
        <f t="shared" si="4"/>
        <v>-1604</v>
      </c>
      <c r="E21" s="1">
        <f t="shared" si="5"/>
        <v>-5839</v>
      </c>
      <c r="F21" s="30">
        <f t="shared" si="6"/>
        <v>6761.3778333035871</v>
      </c>
      <c r="G21" s="10"/>
      <c r="H21" s="11">
        <f>IF(RTD("tos.rtd",,H$2,"."&amp;$A$2&amp;$H$1&amp;"C"&amp;$A21)="N/A",0,RTD("tos.rtd",,H$2,"."&amp;$A$2&amp;$H$1&amp;"C"&amp;$A21))</f>
        <v>1987</v>
      </c>
      <c r="I21" s="27">
        <f>-IF(RTD("tos.rtd",,I$2,"."&amp;$A$2&amp;$H$1&amp;"P"&amp;$A21)="N/A",0,RTD("tos.rtd",,I$2,"."&amp;$A$2&amp;$H$1&amp;"P"&amp;$A21))</f>
        <v>-3624</v>
      </c>
      <c r="J21" s="11">
        <f>IF(RTD("tos.rtd",,J$2,"."&amp;$A$2&amp;$J$1&amp;"C"&amp;$A21)="N/A",0,RTD("tos.rtd",,J$2,"."&amp;$A$2&amp;$J$1&amp;"C"&amp;$A21))</f>
        <v>2401</v>
      </c>
      <c r="K21" s="27">
        <f>-IF(RTD("tos.rtd",,K$2,"."&amp;$A$2&amp;$J$1&amp;"P"&amp;$A21)="N/A",0,RTD("tos.rtd",,K$2,"."&amp;$A$2&amp;$J$1&amp;"P"&amp;$A21))</f>
        <v>-4999</v>
      </c>
      <c r="L21" s="11">
        <f>IF(RTD("tos.rtd",,L$2,"."&amp;$A$2&amp;$L$1&amp;"C"&amp;$A21)="N/A",0,RTD("tos.rtd",,L$2,"."&amp;$A$2&amp;$L$1&amp;"C"&amp;$A21))</f>
        <v>4971</v>
      </c>
      <c r="M21" s="27">
        <f>-IF(RTD("tos.rtd",,M$2,"."&amp;$A$2&amp;$L$1&amp;"P"&amp;$A21)="N/A",0,RTD("tos.rtd",,M$2,"."&amp;$A$2&amp;$L$1&amp;"P"&amp;$A21))</f>
        <v>-6575</v>
      </c>
      <c r="N21" s="1">
        <f t="shared" si="10"/>
        <v>-5839</v>
      </c>
      <c r="O21" s="7">
        <f t="shared" si="7"/>
        <v>672</v>
      </c>
      <c r="P21" s="11">
        <f>IF(RTD("tos.rtd",,P$2,"."&amp;$A$2&amp;$H$1&amp;"C"&amp;$A21)="N/A",0,RTD("tos.rtd",,P$2,"."&amp;$A$2&amp;$H$1&amp;"C"&amp;$A21))</f>
        <v>34768</v>
      </c>
      <c r="Q21" s="27">
        <f>-IF(RTD("tos.rtd",,Q$2,"."&amp;$A$2&amp;$H$1&amp;"P"&amp;$A21)="N/A",0,RTD("tos.rtd",,Q$2,"."&amp;$A$2&amp;$H$1&amp;"P"&amp;$A21))</f>
        <v>-5900</v>
      </c>
      <c r="R21" s="11">
        <f>IF(RTD("tos.rtd",,R$2,"."&amp;$A$2&amp;$J$1&amp;"C"&amp;$A21)="N/A",0,RTD("tos.rtd",,R$2,"."&amp;$A$2&amp;$J$1&amp;"C"&amp;$A21))</f>
        <v>7226</v>
      </c>
      <c r="S21" s="27">
        <f>-IF(RTD("tos.rtd",,S$2,"."&amp;$A$2&amp;$J$1&amp;"P"&amp;$A21)="N/A",0,RTD("tos.rtd",,S$2,"."&amp;$A$2&amp;$J$1&amp;"P"&amp;$A21))</f>
        <v>-3249</v>
      </c>
      <c r="T21" s="11">
        <f>IF(RTD("tos.rtd",,T$2,"."&amp;$A$2&amp;$L$1&amp;"C"&amp;$A21)="N/A",0,RTD("tos.rtd",,T$2,"."&amp;$A$2&amp;$L$1&amp;"C"&amp;$A21))</f>
        <v>2323</v>
      </c>
      <c r="U21" s="27">
        <f>-IF(RTD("tos.rtd",,U$2,"."&amp;$A$2&amp;$L$1&amp;"P"&amp;$A21)="N/A",0,RTD("tos.rtd",,U$2,"."&amp;$A$2&amp;$L$1&amp;"P"&amp;$A21))</f>
        <v>-1558</v>
      </c>
      <c r="V21" s="1">
        <f ca="1">+Hoja2!Y22</f>
        <v>48567</v>
      </c>
      <c r="W21" s="1">
        <f t="shared" ca="1" si="8"/>
        <v>82177</v>
      </c>
    </row>
    <row r="22" spans="1:23" s="51" customFormat="1" ht="13.5" thickBot="1" x14ac:dyDescent="0.25">
      <c r="A22" s="2">
        <f t="shared" si="9"/>
        <v>671</v>
      </c>
      <c r="B22" s="1">
        <f t="shared" si="2"/>
        <v>259</v>
      </c>
      <c r="C22" s="1">
        <f t="shared" si="3"/>
        <v>-4089</v>
      </c>
      <c r="D22" s="1">
        <f t="shared" si="4"/>
        <v>-8632</v>
      </c>
      <c r="E22" s="1">
        <f t="shared" si="5"/>
        <v>-12462</v>
      </c>
      <c r="F22" s="12">
        <f t="shared" si="6"/>
        <v>6751.3162591468854</v>
      </c>
      <c r="G22" s="1"/>
      <c r="H22" s="5">
        <f>IF(RTD("tos.rtd",,H$2,"."&amp;$A$2&amp;$H$1&amp;"C"&amp;$A22)="N/A",0,RTD("tos.rtd",,H$2,"."&amp;$A$2&amp;$H$1&amp;"C"&amp;$A22))</f>
        <v>1477</v>
      </c>
      <c r="I22" s="6">
        <f>-IF(RTD("tos.rtd",,I$2,"."&amp;$A$2&amp;$H$1&amp;"P"&amp;$A22)="N/A",0,RTD("tos.rtd",,I$2,"."&amp;$A$2&amp;$H$1&amp;"P"&amp;$A22))</f>
        <v>-1218</v>
      </c>
      <c r="J22" s="5">
        <f>IF(RTD("tos.rtd",,J$2,"."&amp;$A$2&amp;$J$1&amp;"C"&amp;$A22)="N/A",0,RTD("tos.rtd",,J$2,"."&amp;$A$2&amp;$J$1&amp;"C"&amp;$A22))</f>
        <v>2264</v>
      </c>
      <c r="K22" s="6">
        <f>-IF(RTD("tos.rtd",,K$2,"."&amp;$A$2&amp;$J$1&amp;"P"&amp;$A22)="N/A",0,RTD("tos.rtd",,K$2,"."&amp;$A$2&amp;$J$1&amp;"P"&amp;$A22))</f>
        <v>-6353</v>
      </c>
      <c r="L22" s="5">
        <f>IF(RTD("tos.rtd",,L$2,"."&amp;$A$2&amp;$L$1&amp;"C"&amp;$A22)="N/A",0,RTD("tos.rtd",,L$2,"."&amp;$A$2&amp;$L$1&amp;"C"&amp;$A22))</f>
        <v>3216</v>
      </c>
      <c r="M22" s="6">
        <f>-IF(RTD("tos.rtd",,M$2,"."&amp;$A$2&amp;$L$1&amp;"P"&amp;$A22)="N/A",0,RTD("tos.rtd",,M$2,"."&amp;$A$2&amp;$L$1&amp;"P"&amp;$A22))</f>
        <v>-11848</v>
      </c>
      <c r="N22" s="1">
        <f t="shared" si="10"/>
        <v>-12462</v>
      </c>
      <c r="O22" s="7">
        <f t="shared" si="7"/>
        <v>671</v>
      </c>
      <c r="P22" s="5">
        <f>IF(RTD("tos.rtd",,P$2,"."&amp;$A$2&amp;$H$1&amp;"C"&amp;$A22)="N/A",0,RTD("tos.rtd",,P$2,"."&amp;$A$2&amp;$H$1&amp;"C"&amp;$A22))</f>
        <v>33321</v>
      </c>
      <c r="Q22" s="6">
        <f>-IF(RTD("tos.rtd",,Q$2,"."&amp;$A$2&amp;$H$1&amp;"P"&amp;$A22)="N/A",0,RTD("tos.rtd",,Q$2,"."&amp;$A$2&amp;$H$1&amp;"P"&amp;$A22))</f>
        <v>-7632</v>
      </c>
      <c r="R22" s="5">
        <f>IF(RTD("tos.rtd",,R$2,"."&amp;$A$2&amp;$J$1&amp;"C"&amp;$A22)="N/A",0,RTD("tos.rtd",,R$2,"."&amp;$A$2&amp;$J$1&amp;"C"&amp;$A22))</f>
        <v>4960</v>
      </c>
      <c r="S22" s="6">
        <f>-IF(RTD("tos.rtd",,S$2,"."&amp;$A$2&amp;$J$1&amp;"P"&amp;$A22)="N/A",0,RTD("tos.rtd",,S$2,"."&amp;$A$2&amp;$J$1&amp;"P"&amp;$A22))</f>
        <v>-3276</v>
      </c>
      <c r="T22" s="5">
        <f>IF(RTD("tos.rtd",,T$2,"."&amp;$A$2&amp;$L$1&amp;"C"&amp;$A22)="N/A",0,RTD("tos.rtd",,T$2,"."&amp;$A$2&amp;$L$1&amp;"C"&amp;$A22))</f>
        <v>2185</v>
      </c>
      <c r="U22" s="6">
        <f>-IF(RTD("tos.rtd",,U$2,"."&amp;$A$2&amp;$L$1&amp;"P"&amp;$A22)="N/A",0,RTD("tos.rtd",,U$2,"."&amp;$A$2&amp;$L$1&amp;"P"&amp;$A22))</f>
        <v>-2187</v>
      </c>
      <c r="V22" s="1">
        <f ca="1">+Hoja2!Y23</f>
        <v>46595</v>
      </c>
      <c r="W22" s="1">
        <f t="shared" ca="1" si="8"/>
        <v>73966</v>
      </c>
    </row>
    <row r="23" spans="1:23" s="51" customFormat="1" ht="13.5" thickBot="1" x14ac:dyDescent="0.25">
      <c r="A23" s="2">
        <f t="shared" si="9"/>
        <v>670</v>
      </c>
      <c r="B23" s="1">
        <f t="shared" si="2"/>
        <v>-2010</v>
      </c>
      <c r="C23" s="1">
        <f t="shared" si="3"/>
        <v>-9260</v>
      </c>
      <c r="D23" s="1">
        <f t="shared" si="4"/>
        <v>-6112</v>
      </c>
      <c r="E23" s="1">
        <f t="shared" ref="E23:E29" si="14">SUM(B23:D23)</f>
        <v>-17382</v>
      </c>
      <c r="F23" s="4">
        <f t="shared" ref="F23:F29" si="15">+$F$3/$A$3*A23</f>
        <v>6741.2546849901837</v>
      </c>
      <c r="G23" s="1"/>
      <c r="H23" s="5">
        <f>IF(RTD("tos.rtd",,H$2,"."&amp;$A$2&amp;$H$1&amp;"C"&amp;$A23)="N/A",0,RTD("tos.rtd",,H$2,"."&amp;$A$2&amp;$H$1&amp;"C"&amp;$A23))</f>
        <v>2635</v>
      </c>
      <c r="I23" s="6">
        <f>-IF(RTD("tos.rtd",,I$2,"."&amp;$A$2&amp;$H$1&amp;"P"&amp;$A23)="N/A",0,RTD("tos.rtd",,I$2,"."&amp;$A$2&amp;$H$1&amp;"P"&amp;$A23))</f>
        <v>-4645</v>
      </c>
      <c r="J23" s="5">
        <f>IF(RTD("tos.rtd",,J$2,"."&amp;$A$2&amp;$J$1&amp;"C"&amp;$A23)="N/A",0,RTD("tos.rtd",,J$2,"."&amp;$A$2&amp;$J$1&amp;"C"&amp;$A23))</f>
        <v>2784</v>
      </c>
      <c r="K23" s="6">
        <f>-IF(RTD("tos.rtd",,K$2,"."&amp;$A$2&amp;$J$1&amp;"P"&amp;$A23)="N/A",0,RTD("tos.rtd",,K$2,"."&amp;$A$2&amp;$J$1&amp;"P"&amp;$A23))</f>
        <v>-12044</v>
      </c>
      <c r="L23" s="5">
        <f>IF(RTD("tos.rtd",,L$2,"."&amp;$A$2&amp;$L$1&amp;"C"&amp;$A23)="N/A",0,RTD("tos.rtd",,L$2,"."&amp;$A$2&amp;$L$1&amp;"C"&amp;$A23))</f>
        <v>37032</v>
      </c>
      <c r="M23" s="6">
        <f>-IF(RTD("tos.rtd",,M$2,"."&amp;$A$2&amp;$L$1&amp;"P"&amp;$A23)="N/A",0,RTD("tos.rtd",,M$2,"."&amp;$A$2&amp;$L$1&amp;"P"&amp;$A23))</f>
        <v>-43144</v>
      </c>
      <c r="N23" s="1">
        <f t="shared" ref="N23:N29" si="16">SUM(H23:M23)</f>
        <v>-17382</v>
      </c>
      <c r="O23" s="7">
        <f t="shared" si="7"/>
        <v>670</v>
      </c>
      <c r="P23" s="5">
        <f>IF(RTD("tos.rtd",,P$2,"."&amp;$A$2&amp;$H$1&amp;"C"&amp;$A23)="N/A",0,RTD("tos.rtd",,P$2,"."&amp;$A$2&amp;$H$1&amp;"C"&amp;$A23))</f>
        <v>112600</v>
      </c>
      <c r="Q23" s="6">
        <f>-IF(RTD("tos.rtd",,Q$2,"."&amp;$A$2&amp;$H$1&amp;"P"&amp;$A23)="N/A",0,RTD("tos.rtd",,Q$2,"."&amp;$A$2&amp;$H$1&amp;"P"&amp;$A23))</f>
        <v>-29037</v>
      </c>
      <c r="R23" s="5">
        <f>IF(RTD("tos.rtd",,R$2,"."&amp;$A$2&amp;$J$1&amp;"C"&amp;$A23)="N/A",0,RTD("tos.rtd",,R$2,"."&amp;$A$2&amp;$J$1&amp;"C"&amp;$A23))</f>
        <v>36580</v>
      </c>
      <c r="S23" s="6">
        <f>-IF(RTD("tos.rtd",,S$2,"."&amp;$A$2&amp;$J$1&amp;"P"&amp;$A23)="N/A",0,RTD("tos.rtd",,S$2,"."&amp;$A$2&amp;$J$1&amp;"P"&amp;$A23))</f>
        <v>-8322</v>
      </c>
      <c r="T23" s="5">
        <f>IF(RTD("tos.rtd",,T$2,"."&amp;$A$2&amp;$L$1&amp;"C"&amp;$A23)="N/A",0,RTD("tos.rtd",,T$2,"."&amp;$A$2&amp;$L$1&amp;"C"&amp;$A23))</f>
        <v>13867</v>
      </c>
      <c r="U23" s="6">
        <f>-IF(RTD("tos.rtd",,U$2,"."&amp;$A$2&amp;$L$1&amp;"P"&amp;$A23)="N/A",0,RTD("tos.rtd",,U$2,"."&amp;$A$2&amp;$L$1&amp;"P"&amp;$A23))</f>
        <v>-12487</v>
      </c>
      <c r="V23" s="1">
        <f ca="1">+Hoja2!Y24</f>
        <v>100425</v>
      </c>
      <c r="W23" s="1">
        <f t="shared" ca="1" si="8"/>
        <v>213626</v>
      </c>
    </row>
    <row r="24" spans="1:23" s="51" customFormat="1" ht="13.5" thickBot="1" x14ac:dyDescent="0.25">
      <c r="A24" s="2">
        <f t="shared" si="9"/>
        <v>669</v>
      </c>
      <c r="B24" s="1">
        <f t="shared" si="2"/>
        <v>-1292</v>
      </c>
      <c r="C24" s="1">
        <f t="shared" si="3"/>
        <v>-6822</v>
      </c>
      <c r="D24" s="1">
        <f t="shared" si="4"/>
        <v>3458</v>
      </c>
      <c r="E24" s="1">
        <f t="shared" si="14"/>
        <v>-4656</v>
      </c>
      <c r="F24" s="4">
        <f t="shared" si="15"/>
        <v>6731.193110833482</v>
      </c>
      <c r="G24" s="1"/>
      <c r="H24" s="5">
        <f>IF(RTD("tos.rtd",,H$2,"."&amp;$A$2&amp;$H$1&amp;"C"&amp;$A24)="N/A",0,RTD("tos.rtd",,H$2,"."&amp;$A$2&amp;$H$1&amp;"C"&amp;$A24))</f>
        <v>473</v>
      </c>
      <c r="I24" s="6">
        <f>-IF(RTD("tos.rtd",,I$2,"."&amp;$A$2&amp;$H$1&amp;"P"&amp;$A24)="N/A",0,RTD("tos.rtd",,I$2,"."&amp;$A$2&amp;$H$1&amp;"P"&amp;$A24))</f>
        <v>-1765</v>
      </c>
      <c r="J24" s="5">
        <f>IF(RTD("tos.rtd",,J$2,"."&amp;$A$2&amp;$J$1&amp;"C"&amp;$A24)="N/A",0,RTD("tos.rtd",,J$2,"."&amp;$A$2&amp;$J$1&amp;"C"&amp;$A24))</f>
        <v>1631</v>
      </c>
      <c r="K24" s="6">
        <f>-IF(RTD("tos.rtd",,K$2,"."&amp;$A$2&amp;$J$1&amp;"P"&amp;$A24)="N/A",0,RTD("tos.rtd",,K$2,"."&amp;$A$2&amp;$J$1&amp;"P"&amp;$A24))</f>
        <v>-8453</v>
      </c>
      <c r="L24" s="5">
        <f>IF(RTD("tos.rtd",,L$2,"."&amp;$A$2&amp;$L$1&amp;"C"&amp;$A24)="N/A",0,RTD("tos.rtd",,L$2,"."&amp;$A$2&amp;$L$1&amp;"C"&amp;$A24))</f>
        <v>6512</v>
      </c>
      <c r="M24" s="6">
        <f>-IF(RTD("tos.rtd",,M$2,"."&amp;$A$2&amp;$L$1&amp;"P"&amp;$A24)="N/A",0,RTD("tos.rtd",,M$2,"."&amp;$A$2&amp;$L$1&amp;"P"&amp;$A24))</f>
        <v>-3054</v>
      </c>
      <c r="N24" s="1">
        <f t="shared" si="16"/>
        <v>-4656</v>
      </c>
      <c r="O24" s="7">
        <f t="shared" si="7"/>
        <v>669</v>
      </c>
      <c r="P24" s="5">
        <f>IF(RTD("tos.rtd",,P$2,"."&amp;$A$2&amp;$H$1&amp;"C"&amp;$A24)="N/A",0,RTD("tos.rtd",,P$2,"."&amp;$A$2&amp;$H$1&amp;"C"&amp;$A24))</f>
        <v>38172</v>
      </c>
      <c r="Q24" s="6">
        <f>-IF(RTD("tos.rtd",,Q$2,"."&amp;$A$2&amp;$H$1&amp;"P"&amp;$A24)="N/A",0,RTD("tos.rtd",,Q$2,"."&amp;$A$2&amp;$H$1&amp;"P"&amp;$A24))</f>
        <v>-42602</v>
      </c>
      <c r="R24" s="5">
        <f>IF(RTD("tos.rtd",,R$2,"."&amp;$A$2&amp;$J$1&amp;"C"&amp;$A24)="N/A",0,RTD("tos.rtd",,R$2,"."&amp;$A$2&amp;$J$1&amp;"C"&amp;$A24))</f>
        <v>5906</v>
      </c>
      <c r="S24" s="6">
        <f>-IF(RTD("tos.rtd",,S$2,"."&amp;$A$2&amp;$J$1&amp;"P"&amp;$A24)="N/A",0,RTD("tos.rtd",,S$2,"."&amp;$A$2&amp;$J$1&amp;"P"&amp;$A24))</f>
        <v>-10886</v>
      </c>
      <c r="T24" s="5">
        <f>IF(RTD("tos.rtd",,T$2,"."&amp;$A$2&amp;$L$1&amp;"C"&amp;$A24)="N/A",0,RTD("tos.rtd",,T$2,"."&amp;$A$2&amp;$L$1&amp;"C"&amp;$A24))</f>
        <v>1714</v>
      </c>
      <c r="U24" s="6">
        <f>-IF(RTD("tos.rtd",,U$2,"."&amp;$A$2&amp;$L$1&amp;"P"&amp;$A24)="N/A",0,RTD("tos.rtd",,U$2,"."&amp;$A$2&amp;$L$1&amp;"P"&amp;$A24))</f>
        <v>-2639</v>
      </c>
      <c r="V24" s="1">
        <f ca="1">+Hoja2!Y25</f>
        <v>-1844</v>
      </c>
      <c r="W24" s="1">
        <f t="shared" ca="1" si="8"/>
        <v>-12179</v>
      </c>
    </row>
    <row r="25" spans="1:23" s="51" customFormat="1" ht="13.5" thickBot="1" x14ac:dyDescent="0.25">
      <c r="A25" s="2">
        <f t="shared" si="9"/>
        <v>668</v>
      </c>
      <c r="B25" s="1">
        <f t="shared" si="2"/>
        <v>-1406</v>
      </c>
      <c r="C25" s="1">
        <f t="shared" si="3"/>
        <v>-2594</v>
      </c>
      <c r="D25" s="1">
        <f t="shared" si="4"/>
        <v>-810</v>
      </c>
      <c r="E25" s="1">
        <f t="shared" si="14"/>
        <v>-4810</v>
      </c>
      <c r="F25" s="4">
        <f t="shared" si="15"/>
        <v>6721.1315366767803</v>
      </c>
      <c r="G25" s="1"/>
      <c r="H25" s="5">
        <f>IF(RTD("tos.rtd",,H$2,"."&amp;$A$2&amp;$H$1&amp;"C"&amp;$A25)="N/A",0,RTD("tos.rtd",,H$2,"."&amp;$A$2&amp;$H$1&amp;"C"&amp;$A25))</f>
        <v>484</v>
      </c>
      <c r="I25" s="6">
        <f>-IF(RTD("tos.rtd",,I$2,"."&amp;$A$2&amp;$H$1&amp;"P"&amp;$A25)="N/A",0,RTD("tos.rtd",,I$2,"."&amp;$A$2&amp;$H$1&amp;"P"&amp;$A25))</f>
        <v>-1890</v>
      </c>
      <c r="J25" s="5">
        <f>IF(RTD("tos.rtd",,J$2,"."&amp;$A$2&amp;$J$1&amp;"C"&amp;$A25)="N/A",0,RTD("tos.rtd",,J$2,"."&amp;$A$2&amp;$J$1&amp;"C"&amp;$A25))</f>
        <v>555</v>
      </c>
      <c r="K25" s="6">
        <f>-IF(RTD("tos.rtd",,K$2,"."&amp;$A$2&amp;$J$1&amp;"P"&amp;$A25)="N/A",0,RTD("tos.rtd",,K$2,"."&amp;$A$2&amp;$J$1&amp;"P"&amp;$A25))</f>
        <v>-3149</v>
      </c>
      <c r="L25" s="5">
        <f>IF(RTD("tos.rtd",,L$2,"."&amp;$A$2&amp;$L$1&amp;"C"&amp;$A25)="N/A",0,RTD("tos.rtd",,L$2,"."&amp;$A$2&amp;$L$1&amp;"C"&amp;$A25))</f>
        <v>2289</v>
      </c>
      <c r="M25" s="6">
        <f>-IF(RTD("tos.rtd",,M$2,"."&amp;$A$2&amp;$L$1&amp;"P"&amp;$A25)="N/A",0,RTD("tos.rtd",,M$2,"."&amp;$A$2&amp;$L$1&amp;"P"&amp;$A25))</f>
        <v>-3099</v>
      </c>
      <c r="N25" s="1">
        <f t="shared" si="16"/>
        <v>-4810</v>
      </c>
      <c r="O25" s="7">
        <f t="shared" si="7"/>
        <v>668</v>
      </c>
      <c r="P25" s="5">
        <f>IF(RTD("tos.rtd",,P$2,"."&amp;$A$2&amp;$H$1&amp;"C"&amp;$A25)="N/A",0,RTD("tos.rtd",,P$2,"."&amp;$A$2&amp;$H$1&amp;"C"&amp;$A25))</f>
        <v>42798</v>
      </c>
      <c r="Q25" s="6">
        <f>-IF(RTD("tos.rtd",,Q$2,"."&amp;$A$2&amp;$H$1&amp;"P"&amp;$A25)="N/A",0,RTD("tos.rtd",,Q$2,"."&amp;$A$2&amp;$H$1&amp;"P"&amp;$A25))</f>
        <v>-30533</v>
      </c>
      <c r="R25" s="5">
        <f>IF(RTD("tos.rtd",,R$2,"."&amp;$A$2&amp;$J$1&amp;"C"&amp;$A25)="N/A",0,RTD("tos.rtd",,R$2,"."&amp;$A$2&amp;$J$1&amp;"C"&amp;$A25))</f>
        <v>7148</v>
      </c>
      <c r="S25" s="6">
        <f>-IF(RTD("tos.rtd",,S$2,"."&amp;$A$2&amp;$J$1&amp;"P"&amp;$A25)="N/A",0,RTD("tos.rtd",,S$2,"."&amp;$A$2&amp;$J$1&amp;"P"&amp;$A25))</f>
        <v>-11059</v>
      </c>
      <c r="T25" s="5">
        <f>IF(RTD("tos.rtd",,T$2,"."&amp;$A$2&amp;$L$1&amp;"C"&amp;$A25)="N/A",0,RTD("tos.rtd",,T$2,"."&amp;$A$2&amp;$L$1&amp;"C"&amp;$A25))</f>
        <v>3121</v>
      </c>
      <c r="U25" s="6">
        <f>-IF(RTD("tos.rtd",,U$2,"."&amp;$A$2&amp;$L$1&amp;"P"&amp;$A25)="N/A",0,RTD("tos.rtd",,U$2,"."&amp;$A$2&amp;$L$1&amp;"P"&amp;$A25))</f>
        <v>-3101</v>
      </c>
      <c r="V25" s="1">
        <f ca="1">+Hoja2!Y26</f>
        <v>20127</v>
      </c>
      <c r="W25" s="1">
        <f t="shared" ca="1" si="8"/>
        <v>28501</v>
      </c>
    </row>
    <row r="26" spans="1:23" s="51" customFormat="1" ht="13.5" thickBot="1" x14ac:dyDescent="0.25">
      <c r="A26" s="2">
        <f t="shared" si="9"/>
        <v>667</v>
      </c>
      <c r="B26" s="1">
        <f t="shared" si="2"/>
        <v>-904</v>
      </c>
      <c r="C26" s="1">
        <f t="shared" si="3"/>
        <v>-4137</v>
      </c>
      <c r="D26" s="1">
        <f t="shared" si="4"/>
        <v>-1212</v>
      </c>
      <c r="E26" s="1">
        <f t="shared" si="14"/>
        <v>-6253</v>
      </c>
      <c r="F26" s="4">
        <f t="shared" si="15"/>
        <v>6711.0699625200787</v>
      </c>
      <c r="G26" s="1"/>
      <c r="H26" s="5">
        <f>IF(RTD("tos.rtd",,H$2,"."&amp;$A$2&amp;$H$1&amp;"C"&amp;$A26)="N/A",0,RTD("tos.rtd",,H$2,"."&amp;$A$2&amp;$H$1&amp;"C"&amp;$A26))</f>
        <v>393</v>
      </c>
      <c r="I26" s="6">
        <f>-IF(RTD("tos.rtd",,I$2,"."&amp;$A$2&amp;$H$1&amp;"P"&amp;$A26)="N/A",0,RTD("tos.rtd",,I$2,"."&amp;$A$2&amp;$H$1&amp;"P"&amp;$A26))</f>
        <v>-1297</v>
      </c>
      <c r="J26" s="5">
        <f>IF(RTD("tos.rtd",,J$2,"."&amp;$A$2&amp;$J$1&amp;"C"&amp;$A26)="N/A",0,RTD("tos.rtd",,J$2,"."&amp;$A$2&amp;$J$1&amp;"C"&amp;$A26))</f>
        <v>671</v>
      </c>
      <c r="K26" s="6">
        <f>-IF(RTD("tos.rtd",,K$2,"."&amp;$A$2&amp;$J$1&amp;"P"&amp;$A26)="N/A",0,RTD("tos.rtd",,K$2,"."&amp;$A$2&amp;$J$1&amp;"P"&amp;$A26))</f>
        <v>-4808</v>
      </c>
      <c r="L26" s="5">
        <f>IF(RTD("tos.rtd",,L$2,"."&amp;$A$2&amp;$L$1&amp;"C"&amp;$A26)="N/A",0,RTD("tos.rtd",,L$2,"."&amp;$A$2&amp;$L$1&amp;"C"&amp;$A26))</f>
        <v>3240</v>
      </c>
      <c r="M26" s="6">
        <f>-IF(RTD("tos.rtd",,M$2,"."&amp;$A$2&amp;$L$1&amp;"P"&amp;$A26)="N/A",0,RTD("tos.rtd",,M$2,"."&amp;$A$2&amp;$L$1&amp;"P"&amp;$A26))</f>
        <v>-4452</v>
      </c>
      <c r="N26" s="1">
        <f t="shared" si="16"/>
        <v>-6253</v>
      </c>
      <c r="O26" s="7">
        <f t="shared" si="7"/>
        <v>667</v>
      </c>
      <c r="P26" s="5">
        <f>IF(RTD("tos.rtd",,P$2,"."&amp;$A$2&amp;$H$1&amp;"C"&amp;$A26)="N/A",0,RTD("tos.rtd",,P$2,"."&amp;$A$2&amp;$H$1&amp;"C"&amp;$A26))</f>
        <v>53662</v>
      </c>
      <c r="Q26" s="6">
        <f>-IF(RTD("tos.rtd",,Q$2,"."&amp;$A$2&amp;$H$1&amp;"P"&amp;$A26)="N/A",0,RTD("tos.rtd",,Q$2,"."&amp;$A$2&amp;$H$1&amp;"P"&amp;$A26))</f>
        <v>-35085</v>
      </c>
      <c r="R26" s="5">
        <f>IF(RTD("tos.rtd",,R$2,"."&amp;$A$2&amp;$J$1&amp;"C"&amp;$A26)="N/A",0,RTD("tos.rtd",,R$2,"."&amp;$A$2&amp;$J$1&amp;"C"&amp;$A26))</f>
        <v>8650</v>
      </c>
      <c r="S26" s="6">
        <f>-IF(RTD("tos.rtd",,S$2,"."&amp;$A$2&amp;$J$1&amp;"P"&amp;$A26)="N/A",0,RTD("tos.rtd",,S$2,"."&amp;$A$2&amp;$J$1&amp;"P"&amp;$A26))</f>
        <v>-10466</v>
      </c>
      <c r="T26" s="5">
        <f>IF(RTD("tos.rtd",,T$2,"."&amp;$A$2&amp;$L$1&amp;"C"&amp;$A26)="N/A",0,RTD("tos.rtd",,T$2,"."&amp;$A$2&amp;$L$1&amp;"C"&amp;$A26))</f>
        <v>2340</v>
      </c>
      <c r="U26" s="6">
        <f>-IF(RTD("tos.rtd",,U$2,"."&amp;$A$2&amp;$L$1&amp;"P"&amp;$A26)="N/A",0,RTD("tos.rtd",,U$2,"."&amp;$A$2&amp;$L$1&amp;"P"&amp;$A26))</f>
        <v>-5335</v>
      </c>
      <c r="V26" s="1">
        <f ca="1">+Hoja2!Y27</f>
        <v>17610</v>
      </c>
      <c r="W26" s="1">
        <f t="shared" ca="1" si="8"/>
        <v>31376</v>
      </c>
    </row>
    <row r="27" spans="1:23" s="51" customFormat="1" ht="13.5" thickBot="1" x14ac:dyDescent="0.25">
      <c r="A27" s="2">
        <f t="shared" si="9"/>
        <v>666</v>
      </c>
      <c r="B27" s="1">
        <f t="shared" si="2"/>
        <v>-4186</v>
      </c>
      <c r="C27" s="1">
        <f t="shared" si="3"/>
        <v>-2001</v>
      </c>
      <c r="D27" s="1">
        <f t="shared" si="4"/>
        <v>-1996</v>
      </c>
      <c r="E27" s="1">
        <f t="shared" si="14"/>
        <v>-8183</v>
      </c>
      <c r="F27" s="4">
        <f t="shared" si="15"/>
        <v>6701.0083883633761</v>
      </c>
      <c r="G27" s="1"/>
      <c r="H27" s="5">
        <f>IF(RTD("tos.rtd",,H$2,"."&amp;$A$2&amp;$H$1&amp;"C"&amp;$A27)="N/A",0,RTD("tos.rtd",,H$2,"."&amp;$A$2&amp;$H$1&amp;"C"&amp;$A27))</f>
        <v>351</v>
      </c>
      <c r="I27" s="6">
        <f>-IF(RTD("tos.rtd",,I$2,"."&amp;$A$2&amp;$H$1&amp;"P"&amp;$A27)="N/A",0,RTD("tos.rtd",,I$2,"."&amp;$A$2&amp;$H$1&amp;"P"&amp;$A27))</f>
        <v>-4537</v>
      </c>
      <c r="J27" s="5">
        <f>IF(RTD("tos.rtd",,J$2,"."&amp;$A$2&amp;$J$1&amp;"C"&amp;$A27)="N/A",0,RTD("tos.rtd",,J$2,"."&amp;$A$2&amp;$J$1&amp;"C"&amp;$A27))</f>
        <v>554</v>
      </c>
      <c r="K27" s="6">
        <f>-IF(RTD("tos.rtd",,K$2,"."&amp;$A$2&amp;$J$1&amp;"P"&amp;$A27)="N/A",0,RTD("tos.rtd",,K$2,"."&amp;$A$2&amp;$J$1&amp;"P"&amp;$A27))</f>
        <v>-2555</v>
      </c>
      <c r="L27" s="5">
        <f>IF(RTD("tos.rtd",,L$2,"."&amp;$A$2&amp;$L$1&amp;"C"&amp;$A27)="N/A",0,RTD("tos.rtd",,L$2,"."&amp;$A$2&amp;$L$1&amp;"C"&amp;$A27))</f>
        <v>3500</v>
      </c>
      <c r="M27" s="6">
        <f>-IF(RTD("tos.rtd",,M$2,"."&amp;$A$2&amp;$L$1&amp;"P"&amp;$A27)="N/A",0,RTD("tos.rtd",,M$2,"."&amp;$A$2&amp;$L$1&amp;"P"&amp;$A27))</f>
        <v>-5496</v>
      </c>
      <c r="N27" s="1">
        <f t="shared" si="16"/>
        <v>-8183</v>
      </c>
      <c r="O27" s="7">
        <f t="shared" si="7"/>
        <v>666</v>
      </c>
      <c r="P27" s="5">
        <f>IF(RTD("tos.rtd",,P$2,"."&amp;$A$2&amp;$H$1&amp;"C"&amp;$A27)="N/A",0,RTD("tos.rtd",,P$2,"."&amp;$A$2&amp;$H$1&amp;"C"&amp;$A27))</f>
        <v>49666</v>
      </c>
      <c r="Q27" s="6">
        <f>-IF(RTD("tos.rtd",,Q$2,"."&amp;$A$2&amp;$H$1&amp;"P"&amp;$A27)="N/A",0,RTD("tos.rtd",,Q$2,"."&amp;$A$2&amp;$H$1&amp;"P"&amp;$A27))</f>
        <v>-50780</v>
      </c>
      <c r="R27" s="5">
        <f>IF(RTD("tos.rtd",,R$2,"."&amp;$A$2&amp;$J$1&amp;"C"&amp;$A27)="N/A",0,RTD("tos.rtd",,R$2,"."&amp;$A$2&amp;$J$1&amp;"C"&amp;$A27))</f>
        <v>6776</v>
      </c>
      <c r="S27" s="6">
        <f>-IF(RTD("tos.rtd",,S$2,"."&amp;$A$2&amp;$J$1&amp;"P"&amp;$A27)="N/A",0,RTD("tos.rtd",,S$2,"."&amp;$A$2&amp;$J$1&amp;"P"&amp;$A27))</f>
        <v>-6543</v>
      </c>
      <c r="T27" s="5">
        <f>IF(RTD("tos.rtd",,T$2,"."&amp;$A$2&amp;$L$1&amp;"C"&amp;$A27)="N/A",0,RTD("tos.rtd",,T$2,"."&amp;$A$2&amp;$L$1&amp;"C"&amp;$A27))</f>
        <v>1934</v>
      </c>
      <c r="U27" s="6">
        <f>-IF(RTD("tos.rtd",,U$2,"."&amp;$A$2&amp;$L$1&amp;"P"&amp;$A27)="N/A",0,RTD("tos.rtd",,U$2,"."&amp;$A$2&amp;$L$1&amp;"P"&amp;$A27))</f>
        <v>-3206</v>
      </c>
      <c r="V27" s="1">
        <f ca="1">+Hoja2!Y28</f>
        <v>-3515</v>
      </c>
      <c r="W27" s="1">
        <f t="shared" ca="1" si="8"/>
        <v>-5668</v>
      </c>
    </row>
    <row r="28" spans="1:23" s="51" customFormat="1" ht="13.5" thickBot="1" x14ac:dyDescent="0.25">
      <c r="A28" s="2">
        <f t="shared" si="9"/>
        <v>665</v>
      </c>
      <c r="B28" s="1">
        <f t="shared" si="2"/>
        <v>-2357</v>
      </c>
      <c r="C28" s="1">
        <f t="shared" si="3"/>
        <v>-11462</v>
      </c>
      <c r="D28" s="1">
        <f t="shared" si="4"/>
        <v>-19945</v>
      </c>
      <c r="E28" s="1">
        <f t="shared" si="14"/>
        <v>-33764</v>
      </c>
      <c r="F28" s="4">
        <f t="shared" si="15"/>
        <v>6690.9468142066744</v>
      </c>
      <c r="G28" s="1"/>
      <c r="H28" s="5">
        <f>IF(RTD("tos.rtd",,H$2,"."&amp;$A$2&amp;$H$1&amp;"C"&amp;$A28)="N/A",0,RTD("tos.rtd",,H$2,"."&amp;$A$2&amp;$H$1&amp;"C"&amp;$A28))</f>
        <v>214</v>
      </c>
      <c r="I28" s="6">
        <f>-IF(RTD("tos.rtd",,I$2,"."&amp;$A$2&amp;$H$1&amp;"P"&amp;$A28)="N/A",0,RTD("tos.rtd",,I$2,"."&amp;$A$2&amp;$H$1&amp;"P"&amp;$A28))</f>
        <v>-2571</v>
      </c>
      <c r="J28" s="5">
        <f>IF(RTD("tos.rtd",,J$2,"."&amp;$A$2&amp;$J$1&amp;"C"&amp;$A28)="N/A",0,RTD("tos.rtd",,J$2,"."&amp;$A$2&amp;$J$1&amp;"C"&amp;$A28))</f>
        <v>880</v>
      </c>
      <c r="K28" s="6">
        <f>-IF(RTD("tos.rtd",,K$2,"."&amp;$A$2&amp;$J$1&amp;"P"&amp;$A28)="N/A",0,RTD("tos.rtd",,K$2,"."&amp;$A$2&amp;$J$1&amp;"P"&amp;$A28))</f>
        <v>-12342</v>
      </c>
      <c r="L28" s="5">
        <f>IF(RTD("tos.rtd",,L$2,"."&amp;$A$2&amp;$L$1&amp;"C"&amp;$A28)="N/A",0,RTD("tos.rtd",,L$2,"."&amp;$A$2&amp;$L$1&amp;"C"&amp;$A28))</f>
        <v>9832</v>
      </c>
      <c r="M28" s="6">
        <f>-IF(RTD("tos.rtd",,M$2,"."&amp;$A$2&amp;$L$1&amp;"P"&amp;$A28)="N/A",0,RTD("tos.rtd",,M$2,"."&amp;$A$2&amp;$L$1&amp;"P"&amp;$A28))</f>
        <v>-29777</v>
      </c>
      <c r="N28" s="1">
        <f t="shared" si="16"/>
        <v>-33764</v>
      </c>
      <c r="O28" s="7">
        <f t="shared" si="7"/>
        <v>665</v>
      </c>
      <c r="P28" s="5">
        <f>IF(RTD("tos.rtd",,P$2,"."&amp;$A$2&amp;$H$1&amp;"C"&amp;$A28)="N/A",0,RTD("tos.rtd",,P$2,"."&amp;$A$2&amp;$H$1&amp;"C"&amp;$A28))</f>
        <v>51598</v>
      </c>
      <c r="Q28" s="6">
        <f>-IF(RTD("tos.rtd",,Q$2,"."&amp;$A$2&amp;$H$1&amp;"P"&amp;$A28)="N/A",0,RTD("tos.rtd",,Q$2,"."&amp;$A$2&amp;$H$1&amp;"P"&amp;$A28))</f>
        <v>-84447</v>
      </c>
      <c r="R28" s="5">
        <f>IF(RTD("tos.rtd",,R$2,"."&amp;$A$2&amp;$J$1&amp;"C"&amp;$A28)="N/A",0,RTD("tos.rtd",,R$2,"."&amp;$A$2&amp;$J$1&amp;"C"&amp;$A28))</f>
        <v>17899</v>
      </c>
      <c r="S28" s="6">
        <f>-IF(RTD("tos.rtd",,S$2,"."&amp;$A$2&amp;$J$1&amp;"P"&amp;$A28)="N/A",0,RTD("tos.rtd",,S$2,"."&amp;$A$2&amp;$J$1&amp;"P"&amp;$A28))</f>
        <v>-21240</v>
      </c>
      <c r="T28" s="5">
        <f>IF(RTD("tos.rtd",,T$2,"."&amp;$A$2&amp;$L$1&amp;"C"&amp;$A28)="N/A",0,RTD("tos.rtd",,T$2,"."&amp;$A$2&amp;$L$1&amp;"C"&amp;$A28))</f>
        <v>5196</v>
      </c>
      <c r="U28" s="6">
        <f>-IF(RTD("tos.rtd",,U$2,"."&amp;$A$2&amp;$L$1&amp;"P"&amp;$A28)="N/A",0,RTD("tos.rtd",,U$2,"."&amp;$A$2&amp;$L$1&amp;"P"&amp;$A28))</f>
        <v>-15617</v>
      </c>
      <c r="V28" s="1">
        <f ca="1">+Hoja2!Y29</f>
        <v>-39654</v>
      </c>
      <c r="W28" s="1">
        <f t="shared" ca="1" si="8"/>
        <v>-86265</v>
      </c>
    </row>
    <row r="29" spans="1:23" s="51" customFormat="1" ht="13.5" thickBot="1" x14ac:dyDescent="0.25">
      <c r="A29" s="2">
        <f t="shared" si="9"/>
        <v>664</v>
      </c>
      <c r="B29" s="1">
        <f t="shared" si="2"/>
        <v>-11986</v>
      </c>
      <c r="C29" s="1">
        <f t="shared" si="3"/>
        <v>-1800</v>
      </c>
      <c r="D29" s="1">
        <f t="shared" si="4"/>
        <v>-2382</v>
      </c>
      <c r="E29" s="1">
        <f t="shared" si="14"/>
        <v>-16168</v>
      </c>
      <c r="F29" s="4">
        <f t="shared" si="15"/>
        <v>6680.8852400499727</v>
      </c>
      <c r="G29" s="1"/>
      <c r="H29" s="5">
        <f>IF(RTD("tos.rtd",,H$2,"."&amp;$A$2&amp;$H$1&amp;"C"&amp;$A29)="N/A",0,RTD("tos.rtd",,H$2,"."&amp;$A$2&amp;$H$1&amp;"C"&amp;$A29))</f>
        <v>175</v>
      </c>
      <c r="I29" s="6">
        <f>-IF(RTD("tos.rtd",,I$2,"."&amp;$A$2&amp;$H$1&amp;"P"&amp;$A29)="N/A",0,RTD("tos.rtd",,I$2,"."&amp;$A$2&amp;$H$1&amp;"P"&amp;$A29))</f>
        <v>-12161</v>
      </c>
      <c r="J29" s="5">
        <f>IF(RTD("tos.rtd",,J$2,"."&amp;$A$2&amp;$J$1&amp;"C"&amp;$A29)="N/A",0,RTD("tos.rtd",,J$2,"."&amp;$A$2&amp;$J$1&amp;"C"&amp;$A29))</f>
        <v>754</v>
      </c>
      <c r="K29" s="6">
        <f>-IF(RTD("tos.rtd",,K$2,"."&amp;$A$2&amp;$J$1&amp;"P"&amp;$A29)="N/A",0,RTD("tos.rtd",,K$2,"."&amp;$A$2&amp;$J$1&amp;"P"&amp;$A29))</f>
        <v>-2554</v>
      </c>
      <c r="L29" s="5">
        <f>IF(RTD("tos.rtd",,L$2,"."&amp;$A$2&amp;$L$1&amp;"C"&amp;$A29)="N/A",0,RTD("tos.rtd",,L$2,"."&amp;$A$2&amp;$L$1&amp;"C"&amp;$A29))</f>
        <v>2092</v>
      </c>
      <c r="M29" s="6">
        <f>-IF(RTD("tos.rtd",,M$2,"."&amp;$A$2&amp;$L$1&amp;"P"&amp;$A29)="N/A",0,RTD("tos.rtd",,M$2,"."&amp;$A$2&amp;$L$1&amp;"P"&amp;$A29))</f>
        <v>-4474</v>
      </c>
      <c r="N29" s="1">
        <f t="shared" si="16"/>
        <v>-16168</v>
      </c>
      <c r="O29" s="7">
        <f t="shared" si="7"/>
        <v>664</v>
      </c>
      <c r="P29" s="5">
        <f>IF(RTD("tos.rtd",,P$2,"."&amp;$A$2&amp;$H$1&amp;"C"&amp;$A29)="N/A",0,RTD("tos.rtd",,P$2,"."&amp;$A$2&amp;$H$1&amp;"C"&amp;$A29))</f>
        <v>34890</v>
      </c>
      <c r="Q29" s="6">
        <f>-IF(RTD("tos.rtd",,Q$2,"."&amp;$A$2&amp;$H$1&amp;"P"&amp;$A29)="N/A",0,RTD("tos.rtd",,Q$2,"."&amp;$A$2&amp;$H$1&amp;"P"&amp;$A29))</f>
        <v>-56559</v>
      </c>
      <c r="R29" s="5">
        <f>IF(RTD("tos.rtd",,R$2,"."&amp;$A$2&amp;$J$1&amp;"C"&amp;$A29)="N/A",0,RTD("tos.rtd",,R$2,"."&amp;$A$2&amp;$J$1&amp;"C"&amp;$A29))</f>
        <v>4630</v>
      </c>
      <c r="S29" s="6">
        <f>-IF(RTD("tos.rtd",,S$2,"."&amp;$A$2&amp;$J$1&amp;"P"&amp;$A29)="N/A",0,RTD("tos.rtd",,S$2,"."&amp;$A$2&amp;$J$1&amp;"P"&amp;$A29))</f>
        <v>-8902</v>
      </c>
      <c r="T29" s="5">
        <f>IF(RTD("tos.rtd",,T$2,"."&amp;$A$2&amp;$L$1&amp;"C"&amp;$A29)="N/A",0,RTD("tos.rtd",,T$2,"."&amp;$A$2&amp;$L$1&amp;"C"&amp;$A29))</f>
        <v>2405</v>
      </c>
      <c r="U29" s="6">
        <f>-IF(RTD("tos.rtd",,U$2,"."&amp;$A$2&amp;$L$1&amp;"P"&amp;$A29)="N/A",0,RTD("tos.rtd",,U$2,"."&amp;$A$2&amp;$L$1&amp;"P"&amp;$A29))</f>
        <v>-3764</v>
      </c>
      <c r="V29" s="1">
        <f ca="1">+Hoja2!Y30</f>
        <v>-23323</v>
      </c>
      <c r="W29" s="1">
        <f t="shared" ca="1" si="8"/>
        <v>-50623</v>
      </c>
    </row>
    <row r="30" spans="1:23" s="51" customFormat="1" ht="13.5" thickBot="1" x14ac:dyDescent="0.25">
      <c r="A30" s="2">
        <f t="shared" si="9"/>
        <v>663</v>
      </c>
      <c r="B30" s="1">
        <f t="shared" si="2"/>
        <v>-10893</v>
      </c>
      <c r="C30" s="1">
        <f t="shared" si="3"/>
        <v>-3931</v>
      </c>
      <c r="D30" s="1">
        <f t="shared" si="4"/>
        <v>-1132</v>
      </c>
      <c r="E30" s="1">
        <f t="shared" si="5"/>
        <v>-15956</v>
      </c>
      <c r="F30" s="4">
        <f t="shared" si="6"/>
        <v>6670.823665893271</v>
      </c>
      <c r="G30" s="1"/>
      <c r="H30" s="5">
        <f>IF(RTD("tos.rtd",,H$2,"."&amp;$A$2&amp;$H$1&amp;"C"&amp;$A30)="N/A",0,RTD("tos.rtd",,H$2,"."&amp;$A$2&amp;$H$1&amp;"C"&amp;$A30))</f>
        <v>110</v>
      </c>
      <c r="I30" s="6">
        <f>-IF(RTD("tos.rtd",,I$2,"."&amp;$A$2&amp;$H$1&amp;"P"&amp;$A30)="N/A",0,RTD("tos.rtd",,I$2,"."&amp;$A$2&amp;$H$1&amp;"P"&amp;$A30))</f>
        <v>-11003</v>
      </c>
      <c r="J30" s="5">
        <f>IF(RTD("tos.rtd",,J$2,"."&amp;$A$2&amp;$J$1&amp;"C"&amp;$A30)="N/A",0,RTD("tos.rtd",,J$2,"."&amp;$A$2&amp;$J$1&amp;"C"&amp;$A30))</f>
        <v>1113</v>
      </c>
      <c r="K30" s="6">
        <f>-IF(RTD("tos.rtd",,K$2,"."&amp;$A$2&amp;$J$1&amp;"P"&amp;$A30)="N/A",0,RTD("tos.rtd",,K$2,"."&amp;$A$2&amp;$J$1&amp;"P"&amp;$A30))</f>
        <v>-5044</v>
      </c>
      <c r="L30" s="5">
        <f>IF(RTD("tos.rtd",,L$2,"."&amp;$A$2&amp;$L$1&amp;"C"&amp;$A30)="N/A",0,RTD("tos.rtd",,L$2,"."&amp;$A$2&amp;$L$1&amp;"C"&amp;$A30))</f>
        <v>4064</v>
      </c>
      <c r="M30" s="6">
        <f>-IF(RTD("tos.rtd",,M$2,"."&amp;$A$2&amp;$L$1&amp;"P"&amp;$A30)="N/A",0,RTD("tos.rtd",,M$2,"."&amp;$A$2&amp;$L$1&amp;"P"&amp;$A30))</f>
        <v>-5196</v>
      </c>
      <c r="N30" s="1">
        <f t="shared" si="10"/>
        <v>-15956</v>
      </c>
      <c r="O30" s="7">
        <f t="shared" si="7"/>
        <v>663</v>
      </c>
      <c r="P30" s="5">
        <f>IF(RTD("tos.rtd",,P$2,"."&amp;$A$2&amp;$H$1&amp;"C"&amp;$A30)="N/A",0,RTD("tos.rtd",,P$2,"."&amp;$A$2&amp;$H$1&amp;"C"&amp;$A30))</f>
        <v>22318</v>
      </c>
      <c r="Q30" s="6">
        <f>-IF(RTD("tos.rtd",,Q$2,"."&amp;$A$2&amp;$H$1&amp;"P"&amp;$A30)="N/A",0,RTD("tos.rtd",,Q$2,"."&amp;$A$2&amp;$H$1&amp;"P"&amp;$A30))</f>
        <v>-59883</v>
      </c>
      <c r="R30" s="5">
        <f>IF(RTD("tos.rtd",,R$2,"."&amp;$A$2&amp;$J$1&amp;"C"&amp;$A30)="N/A",0,RTD("tos.rtd",,R$2,"."&amp;$A$2&amp;$J$1&amp;"C"&amp;$A30))</f>
        <v>7874</v>
      </c>
      <c r="S30" s="6">
        <f>-IF(RTD("tos.rtd",,S$2,"."&amp;$A$2&amp;$J$1&amp;"P"&amp;$A30)="N/A",0,RTD("tos.rtd",,S$2,"."&amp;$A$2&amp;$J$1&amp;"P"&amp;$A30))</f>
        <v>-7514</v>
      </c>
      <c r="T30" s="5">
        <f>IF(RTD("tos.rtd",,T$2,"."&amp;$A$2&amp;$L$1&amp;"C"&amp;$A30)="N/A",0,RTD("tos.rtd",,T$2,"."&amp;$A$2&amp;$L$1&amp;"C"&amp;$A30))</f>
        <v>3618</v>
      </c>
      <c r="U30" s="6">
        <f>-IF(RTD("tos.rtd",,U$2,"."&amp;$A$2&amp;$L$1&amp;"P"&amp;$A30)="N/A",0,RTD("tos.rtd",,U$2,"."&amp;$A$2&amp;$L$1&amp;"P"&amp;$A30))</f>
        <v>-5488</v>
      </c>
      <c r="V30" s="1">
        <f ca="1">+Hoja2!Y31</f>
        <v>-48935</v>
      </c>
      <c r="W30" s="1">
        <f t="shared" ca="1" si="8"/>
        <v>-88010</v>
      </c>
    </row>
    <row r="31" spans="1:23" s="51" customFormat="1" ht="13.5" thickBot="1" x14ac:dyDescent="0.25">
      <c r="A31" s="2">
        <f t="shared" si="9"/>
        <v>662</v>
      </c>
      <c r="B31" s="1">
        <f t="shared" si="2"/>
        <v>-979</v>
      </c>
      <c r="C31" s="1">
        <f t="shared" si="3"/>
        <v>-1965</v>
      </c>
      <c r="D31" s="1">
        <f t="shared" si="4"/>
        <v>-6323</v>
      </c>
      <c r="E31" s="1">
        <f t="shared" si="5"/>
        <v>-9267</v>
      </c>
      <c r="F31" s="4">
        <f t="shared" si="6"/>
        <v>6660.7620917365693</v>
      </c>
      <c r="G31" s="1"/>
      <c r="H31" s="5">
        <f>IF(RTD("tos.rtd",,H$2,"."&amp;$A$2&amp;$H$1&amp;"C"&amp;$A31)="N/A",0,RTD("tos.rtd",,H$2,"."&amp;$A$2&amp;$H$1&amp;"C"&amp;$A31))</f>
        <v>57</v>
      </c>
      <c r="I31" s="6">
        <f>-IF(RTD("tos.rtd",,I$2,"."&amp;$A$2&amp;$H$1&amp;"P"&amp;$A31)="N/A",0,RTD("tos.rtd",,I$2,"."&amp;$A$2&amp;$H$1&amp;"P"&amp;$A31))</f>
        <v>-1036</v>
      </c>
      <c r="J31" s="5">
        <f>IF(RTD("tos.rtd",,J$2,"."&amp;$A$2&amp;$J$1&amp;"C"&amp;$A31)="N/A",0,RTD("tos.rtd",,J$2,"."&amp;$A$2&amp;$J$1&amp;"C"&amp;$A31))</f>
        <v>263</v>
      </c>
      <c r="K31" s="6">
        <f>-IF(RTD("tos.rtd",,K$2,"."&amp;$A$2&amp;$J$1&amp;"P"&amp;$A31)="N/A",0,RTD("tos.rtd",,K$2,"."&amp;$A$2&amp;$J$1&amp;"P"&amp;$A31))</f>
        <v>-2228</v>
      </c>
      <c r="L31" s="5">
        <f>IF(RTD("tos.rtd",,L$2,"."&amp;$A$2&amp;$L$1&amp;"C"&amp;$A31)="N/A",0,RTD("tos.rtd",,L$2,"."&amp;$A$2&amp;$L$1&amp;"C"&amp;$A31))</f>
        <v>1653</v>
      </c>
      <c r="M31" s="6">
        <f>-IF(RTD("tos.rtd",,M$2,"."&amp;$A$2&amp;$L$1&amp;"P"&amp;$A31)="N/A",0,RTD("tos.rtd",,M$2,"."&amp;$A$2&amp;$L$1&amp;"P"&amp;$A31))</f>
        <v>-7976</v>
      </c>
      <c r="N31" s="1">
        <f t="shared" si="10"/>
        <v>-9267</v>
      </c>
      <c r="O31" s="7">
        <f t="shared" si="7"/>
        <v>662</v>
      </c>
      <c r="P31" s="5">
        <f>IF(RTD("tos.rtd",,P$2,"."&amp;$A$2&amp;$H$1&amp;"C"&amp;$A31)="N/A",0,RTD("tos.rtd",,P$2,"."&amp;$A$2&amp;$H$1&amp;"C"&amp;$A31))</f>
        <v>9230</v>
      </c>
      <c r="Q31" s="6">
        <f>-IF(RTD("tos.rtd",,Q$2,"."&amp;$A$2&amp;$H$1&amp;"P"&amp;$A31)="N/A",0,RTD("tos.rtd",,Q$2,"."&amp;$A$2&amp;$H$1&amp;"P"&amp;$A31))</f>
        <v>-45960</v>
      </c>
      <c r="R31" s="5">
        <f>IF(RTD("tos.rtd",,R$2,"."&amp;$A$2&amp;$J$1&amp;"C"&amp;$A31)="N/A",0,RTD("tos.rtd",,R$2,"."&amp;$A$2&amp;$J$1&amp;"C"&amp;$A31))</f>
        <v>3241</v>
      </c>
      <c r="S31" s="6">
        <f>-IF(RTD("tos.rtd",,S$2,"."&amp;$A$2&amp;$J$1&amp;"P"&amp;$A31)="N/A",0,RTD("tos.rtd",,S$2,"."&amp;$A$2&amp;$J$1&amp;"P"&amp;$A31))</f>
        <v>-5038</v>
      </c>
      <c r="T31" s="5">
        <f>IF(RTD("tos.rtd",,T$2,"."&amp;$A$2&amp;$L$1&amp;"C"&amp;$A31)="N/A",0,RTD("tos.rtd",,T$2,"."&amp;$A$2&amp;$L$1&amp;"C"&amp;$A31))</f>
        <v>1012</v>
      </c>
      <c r="U31" s="6">
        <f>-IF(RTD("tos.rtd",,U$2,"."&amp;$A$2&amp;$L$1&amp;"P"&amp;$A31)="N/A",0,RTD("tos.rtd",,U$2,"."&amp;$A$2&amp;$L$1&amp;"P"&amp;$A31))</f>
        <v>-5597</v>
      </c>
      <c r="V31" s="1">
        <f ca="1">+Hoja2!Y32</f>
        <v>-39676</v>
      </c>
      <c r="W31" s="1">
        <f t="shared" ca="1" si="8"/>
        <v>-82788</v>
      </c>
    </row>
    <row r="32" spans="1:23" s="51" customFormat="1" ht="13.5" thickBot="1" x14ac:dyDescent="0.25">
      <c r="A32" s="2">
        <f t="shared" si="9"/>
        <v>661</v>
      </c>
      <c r="B32" s="1">
        <f t="shared" si="2"/>
        <v>-2132</v>
      </c>
      <c r="C32" s="1">
        <f t="shared" si="3"/>
        <v>-4812</v>
      </c>
      <c r="D32" s="1">
        <f t="shared" si="4"/>
        <v>-2892</v>
      </c>
      <c r="E32" s="1">
        <f t="shared" si="5"/>
        <v>-9836</v>
      </c>
      <c r="F32" s="4">
        <f t="shared" si="6"/>
        <v>6650.7005175798677</v>
      </c>
      <c r="G32" s="1"/>
      <c r="H32" s="5">
        <f>IF(RTD("tos.rtd",,H$2,"."&amp;$A$2&amp;$H$1&amp;"C"&amp;$A32)="N/A",0,RTD("tos.rtd",,H$2,"."&amp;$A$2&amp;$H$1&amp;"C"&amp;$A32))</f>
        <v>116</v>
      </c>
      <c r="I32" s="6">
        <f>-IF(RTD("tos.rtd",,I$2,"."&amp;$A$2&amp;$H$1&amp;"P"&amp;$A32)="N/A",0,RTD("tos.rtd",,I$2,"."&amp;$A$2&amp;$H$1&amp;"P"&amp;$A32))</f>
        <v>-2248</v>
      </c>
      <c r="J32" s="5">
        <f>IF(RTD("tos.rtd",,J$2,"."&amp;$A$2&amp;$J$1&amp;"C"&amp;$A32)="N/A",0,RTD("tos.rtd",,J$2,"."&amp;$A$2&amp;$J$1&amp;"C"&amp;$A32))</f>
        <v>618</v>
      </c>
      <c r="K32" s="6">
        <f>-IF(RTD("tos.rtd",,K$2,"."&amp;$A$2&amp;$J$1&amp;"P"&amp;$A32)="N/A",0,RTD("tos.rtd",,K$2,"."&amp;$A$2&amp;$J$1&amp;"P"&amp;$A32))</f>
        <v>-5430</v>
      </c>
      <c r="L32" s="5">
        <f>IF(RTD("tos.rtd",,L$2,"."&amp;$A$2&amp;$L$1&amp;"C"&amp;$A32)="N/A",0,RTD("tos.rtd",,L$2,"."&amp;$A$2&amp;$L$1&amp;"C"&amp;$A32))</f>
        <v>1483</v>
      </c>
      <c r="M32" s="6">
        <f>-IF(RTD("tos.rtd",,M$2,"."&amp;$A$2&amp;$L$1&amp;"P"&amp;$A32)="N/A",0,RTD("tos.rtd",,M$2,"."&amp;$A$2&amp;$L$1&amp;"P"&amp;$A32))</f>
        <v>-4375</v>
      </c>
      <c r="N32" s="1">
        <f t="shared" si="10"/>
        <v>-9836</v>
      </c>
      <c r="O32" s="7">
        <f t="shared" si="7"/>
        <v>661</v>
      </c>
      <c r="P32" s="5">
        <f>IF(RTD("tos.rtd",,P$2,"."&amp;$A$2&amp;$H$1&amp;"C"&amp;$A32)="N/A",0,RTD("tos.rtd",,P$2,"."&amp;$A$2&amp;$H$1&amp;"C"&amp;$A32))</f>
        <v>6740</v>
      </c>
      <c r="Q32" s="6">
        <f>-IF(RTD("tos.rtd",,Q$2,"."&amp;$A$2&amp;$H$1&amp;"P"&amp;$A32)="N/A",0,RTD("tos.rtd",,Q$2,"."&amp;$A$2&amp;$H$1&amp;"P"&amp;$A32))</f>
        <v>-27238</v>
      </c>
      <c r="R32" s="5">
        <f>IF(RTD("tos.rtd",,R$2,"."&amp;$A$2&amp;$J$1&amp;"C"&amp;$A32)="N/A",0,RTD("tos.rtd",,R$2,"."&amp;$A$2&amp;$J$1&amp;"C"&amp;$A32))</f>
        <v>780</v>
      </c>
      <c r="S32" s="6">
        <f>-IF(RTD("tos.rtd",,S$2,"."&amp;$A$2&amp;$J$1&amp;"P"&amp;$A32)="N/A",0,RTD("tos.rtd",,S$2,"."&amp;$A$2&amp;$J$1&amp;"P"&amp;$A32))</f>
        <v>-2827</v>
      </c>
      <c r="T32" s="5">
        <f>IF(RTD("tos.rtd",,T$2,"."&amp;$A$2&amp;$L$1&amp;"C"&amp;$A32)="N/A",0,RTD("tos.rtd",,T$2,"."&amp;$A$2&amp;$L$1&amp;"C"&amp;$A32))</f>
        <v>417</v>
      </c>
      <c r="U32" s="6">
        <f>-IF(RTD("tos.rtd",,U$2,"."&amp;$A$2&amp;$L$1&amp;"P"&amp;$A32)="N/A",0,RTD("tos.rtd",,U$2,"."&amp;$A$2&amp;$L$1&amp;"P"&amp;$A32))</f>
        <v>-1904</v>
      </c>
      <c r="V32" s="1">
        <f ca="1">+Hoja2!Y33</f>
        <v>-30240</v>
      </c>
      <c r="W32" s="1">
        <f t="shared" ca="1" si="8"/>
        <v>-54272</v>
      </c>
    </row>
    <row r="33" spans="1:23" s="51" customFormat="1" ht="13.5" thickBot="1" x14ac:dyDescent="0.25">
      <c r="A33" s="2">
        <f t="shared" si="9"/>
        <v>660</v>
      </c>
      <c r="B33" s="1">
        <f t="shared" si="2"/>
        <v>-5867</v>
      </c>
      <c r="C33" s="1">
        <f t="shared" si="3"/>
        <v>-5698</v>
      </c>
      <c r="D33" s="1">
        <f t="shared" si="4"/>
        <v>-60534</v>
      </c>
      <c r="E33" s="1">
        <f t="shared" si="5"/>
        <v>-72099</v>
      </c>
      <c r="F33" s="4">
        <f t="shared" si="6"/>
        <v>6640.638943423166</v>
      </c>
      <c r="G33" s="1"/>
      <c r="H33" s="5">
        <f>IF(RTD("tos.rtd",,H$2,"."&amp;$A$2&amp;$H$1&amp;"C"&amp;$A33)="N/A",0,RTD("tos.rtd",,H$2,"."&amp;$A$2&amp;$H$1&amp;"C"&amp;$A33))</f>
        <v>42</v>
      </c>
      <c r="I33" s="6">
        <f>-IF(RTD("tos.rtd",,I$2,"."&amp;$A$2&amp;$H$1&amp;"P"&amp;$A33)="N/A",0,RTD("tos.rtd",,I$2,"."&amp;$A$2&amp;$H$1&amp;"P"&amp;$A33))</f>
        <v>-5909</v>
      </c>
      <c r="J33" s="5">
        <f>IF(RTD("tos.rtd",,J$2,"."&amp;$A$2&amp;$J$1&amp;"C"&amp;$A33)="N/A",0,RTD("tos.rtd",,J$2,"."&amp;$A$2&amp;$J$1&amp;"C"&amp;$A33))</f>
        <v>925</v>
      </c>
      <c r="K33" s="6">
        <f>-IF(RTD("tos.rtd",,K$2,"."&amp;$A$2&amp;$J$1&amp;"P"&amp;$A33)="N/A",0,RTD("tos.rtd",,K$2,"."&amp;$A$2&amp;$J$1&amp;"P"&amp;$A33))</f>
        <v>-6623</v>
      </c>
      <c r="L33" s="5">
        <f>IF(RTD("tos.rtd",,L$2,"."&amp;$A$2&amp;$L$1&amp;"C"&amp;$A33)="N/A",0,RTD("tos.rtd",,L$2,"."&amp;$A$2&amp;$L$1&amp;"C"&amp;$A33))</f>
        <v>9974</v>
      </c>
      <c r="M33" s="6">
        <f>-IF(RTD("tos.rtd",,M$2,"."&amp;$A$2&amp;$L$1&amp;"P"&amp;$A33)="N/A",0,RTD("tos.rtd",,M$2,"."&amp;$A$2&amp;$L$1&amp;"P"&amp;$A33))</f>
        <v>-70508</v>
      </c>
      <c r="N33" s="1">
        <f t="shared" si="10"/>
        <v>-72099</v>
      </c>
      <c r="O33" s="7">
        <f t="shared" si="7"/>
        <v>660</v>
      </c>
      <c r="P33" s="5">
        <f>IF(RTD("tos.rtd",,P$2,"."&amp;$A$2&amp;$H$1&amp;"C"&amp;$A33)="N/A",0,RTD("tos.rtd",,P$2,"."&amp;$A$2&amp;$H$1&amp;"C"&amp;$A33))</f>
        <v>2934</v>
      </c>
      <c r="Q33" s="6">
        <f>-IF(RTD("tos.rtd",,Q$2,"."&amp;$A$2&amp;$H$1&amp;"P"&amp;$A33)="N/A",0,RTD("tos.rtd",,Q$2,"."&amp;$A$2&amp;$H$1&amp;"P"&amp;$A33))</f>
        <v>-70911</v>
      </c>
      <c r="R33" s="5">
        <f>IF(RTD("tos.rtd",,R$2,"."&amp;$A$2&amp;$J$1&amp;"C"&amp;$A33)="N/A",0,RTD("tos.rtd",,R$2,"."&amp;$A$2&amp;$J$1&amp;"C"&amp;$A33))</f>
        <v>2163</v>
      </c>
      <c r="S33" s="6">
        <f>-IF(RTD("tos.rtd",,S$2,"."&amp;$A$2&amp;$J$1&amp;"P"&amp;$A33)="N/A",0,RTD("tos.rtd",,S$2,"."&amp;$A$2&amp;$J$1&amp;"P"&amp;$A33))</f>
        <v>-29201</v>
      </c>
      <c r="T33" s="5">
        <f>IF(RTD("tos.rtd",,T$2,"."&amp;$A$2&amp;$L$1&amp;"C"&amp;$A33)="N/A",0,RTD("tos.rtd",,T$2,"."&amp;$A$2&amp;$L$1&amp;"C"&amp;$A33))</f>
        <v>1514</v>
      </c>
      <c r="U33" s="6">
        <f>-IF(RTD("tos.rtd",,U$2,"."&amp;$A$2&amp;$L$1&amp;"P"&amp;$A33)="N/A",0,RTD("tos.rtd",,U$2,"."&amp;$A$2&amp;$L$1&amp;"P"&amp;$A33))</f>
        <v>-19536</v>
      </c>
      <c r="V33" s="1">
        <f ca="1">+Hoja2!Y34</f>
        <v>-112498</v>
      </c>
      <c r="W33" s="1">
        <f t="shared" ca="1" si="8"/>
        <v>-225535</v>
      </c>
    </row>
    <row r="34" spans="1:23" s="51" customFormat="1" ht="13.5" thickBot="1" x14ac:dyDescent="0.25">
      <c r="A34" s="2">
        <f t="shared" si="9"/>
        <v>659</v>
      </c>
      <c r="B34" s="1">
        <f t="shared" si="2"/>
        <v>-4982</v>
      </c>
      <c r="C34" s="1">
        <f t="shared" si="3"/>
        <v>-988</v>
      </c>
      <c r="D34" s="1">
        <f t="shared" si="4"/>
        <v>-3234</v>
      </c>
      <c r="E34" s="1">
        <f t="shared" si="5"/>
        <v>-9204</v>
      </c>
      <c r="F34" s="4">
        <f t="shared" si="6"/>
        <v>6630.5773692664643</v>
      </c>
      <c r="G34" s="1"/>
      <c r="H34" s="5">
        <f>IF(RTD("tos.rtd",,H$2,"."&amp;$A$2&amp;$H$1&amp;"C"&amp;$A34)="N/A",0,RTD("tos.rtd",,H$2,"."&amp;$A$2&amp;$H$1&amp;"C"&amp;$A34))</f>
        <v>106</v>
      </c>
      <c r="I34" s="6">
        <f>-IF(RTD("tos.rtd",,I$2,"."&amp;$A$2&amp;$H$1&amp;"P"&amp;$A34)="N/A",0,RTD("tos.rtd",,I$2,"."&amp;$A$2&amp;$H$1&amp;"P"&amp;$A34))</f>
        <v>-5088</v>
      </c>
      <c r="J34" s="5">
        <f>IF(RTD("tos.rtd",,J$2,"."&amp;$A$2&amp;$J$1&amp;"C"&amp;$A34)="N/A",0,RTD("tos.rtd",,J$2,"."&amp;$A$2&amp;$J$1&amp;"C"&amp;$A34))</f>
        <v>301</v>
      </c>
      <c r="K34" s="6">
        <f>-IF(RTD("tos.rtd",,K$2,"."&amp;$A$2&amp;$J$1&amp;"P"&amp;$A34)="N/A",0,RTD("tos.rtd",,K$2,"."&amp;$A$2&amp;$J$1&amp;"P"&amp;$A34))</f>
        <v>-1289</v>
      </c>
      <c r="L34" s="5">
        <f>IF(RTD("tos.rtd",,L$2,"."&amp;$A$2&amp;$L$1&amp;"C"&amp;$A34)="N/A",0,RTD("tos.rtd",,L$2,"."&amp;$A$2&amp;$L$1&amp;"C"&amp;$A34))</f>
        <v>1508</v>
      </c>
      <c r="M34" s="6">
        <f>-IF(RTD("tos.rtd",,M$2,"."&amp;$A$2&amp;$L$1&amp;"P"&amp;$A34)="N/A",0,RTD("tos.rtd",,M$2,"."&amp;$A$2&amp;$L$1&amp;"P"&amp;$A34))</f>
        <v>-4742</v>
      </c>
      <c r="N34" s="1">
        <f t="shared" si="10"/>
        <v>-9204</v>
      </c>
      <c r="O34" s="7">
        <f t="shared" si="7"/>
        <v>659</v>
      </c>
      <c r="P34" s="5">
        <f>IF(RTD("tos.rtd",,P$2,"."&amp;$A$2&amp;$H$1&amp;"C"&amp;$A34)="N/A",0,RTD("tos.rtd",,P$2,"."&amp;$A$2&amp;$H$1&amp;"C"&amp;$A34))</f>
        <v>677</v>
      </c>
      <c r="Q34" s="6">
        <f>-IF(RTD("tos.rtd",,Q$2,"."&amp;$A$2&amp;$H$1&amp;"P"&amp;$A34)="N/A",0,RTD("tos.rtd",,Q$2,"."&amp;$A$2&amp;$H$1&amp;"P"&amp;$A34))</f>
        <v>-31303</v>
      </c>
      <c r="R34" s="5">
        <f>IF(RTD("tos.rtd",,R$2,"."&amp;$A$2&amp;$J$1&amp;"C"&amp;$A34)="N/A",0,RTD("tos.rtd",,R$2,"."&amp;$A$2&amp;$J$1&amp;"C"&amp;$A34))</f>
        <v>57</v>
      </c>
      <c r="S34" s="6">
        <f>-IF(RTD("tos.rtd",,S$2,"."&amp;$A$2&amp;$J$1&amp;"P"&amp;$A34)="N/A",0,RTD("tos.rtd",,S$2,"."&amp;$A$2&amp;$J$1&amp;"P"&amp;$A34))</f>
        <v>-3868</v>
      </c>
      <c r="T34" s="5">
        <f>IF(RTD("tos.rtd",,T$2,"."&amp;$A$2&amp;$L$1&amp;"C"&amp;$A34)="N/A",0,RTD("tos.rtd",,T$2,"."&amp;$A$2&amp;$L$1&amp;"C"&amp;$A34))</f>
        <v>180</v>
      </c>
      <c r="U34" s="6">
        <f>-IF(RTD("tos.rtd",,U$2,"."&amp;$A$2&amp;$L$1&amp;"P"&amp;$A34)="N/A",0,RTD("tos.rtd",,U$2,"."&amp;$A$2&amp;$L$1&amp;"P"&amp;$A34))</f>
        <v>-1111</v>
      </c>
      <c r="V34" s="1">
        <f ca="1">+Hoja2!Y35</f>
        <v>-43499</v>
      </c>
      <c r="W34" s="1">
        <f t="shared" ca="1" si="8"/>
        <v>-78867</v>
      </c>
    </row>
    <row r="35" spans="1:23" s="51" customFormat="1" ht="13.5" thickBot="1" x14ac:dyDescent="0.25">
      <c r="A35" s="2">
        <f t="shared" si="9"/>
        <v>658</v>
      </c>
      <c r="B35" s="1">
        <f t="shared" si="2"/>
        <v>-1377</v>
      </c>
      <c r="C35" s="1">
        <f t="shared" si="3"/>
        <v>-2589</v>
      </c>
      <c r="D35" s="1">
        <f t="shared" si="4"/>
        <v>-3562</v>
      </c>
      <c r="E35" s="1">
        <f t="shared" si="5"/>
        <v>-7528</v>
      </c>
      <c r="F35" s="4">
        <f t="shared" si="6"/>
        <v>6620.5157951097626</v>
      </c>
      <c r="G35" s="1"/>
      <c r="H35" s="5">
        <f>IF(RTD("tos.rtd",,H$2,"."&amp;$A$2&amp;$H$1&amp;"C"&amp;$A35)="N/A",0,RTD("tos.rtd",,H$2,"."&amp;$A$2&amp;$H$1&amp;"C"&amp;$A35))</f>
        <v>56</v>
      </c>
      <c r="I35" s="6">
        <f>-IF(RTD("tos.rtd",,I$2,"."&amp;$A$2&amp;$H$1&amp;"P"&amp;$A35)="N/A",0,RTD("tos.rtd",,I$2,"."&amp;$A$2&amp;$H$1&amp;"P"&amp;$A35))</f>
        <v>-1433</v>
      </c>
      <c r="J35" s="5">
        <f>IF(RTD("tos.rtd",,J$2,"."&amp;$A$2&amp;$J$1&amp;"C"&amp;$A35)="N/A",0,RTD("tos.rtd",,J$2,"."&amp;$A$2&amp;$J$1&amp;"C"&amp;$A35))</f>
        <v>346</v>
      </c>
      <c r="K35" s="6">
        <f>-IF(RTD("tos.rtd",,K$2,"."&amp;$A$2&amp;$J$1&amp;"P"&amp;$A35)="N/A",0,RTD("tos.rtd",,K$2,"."&amp;$A$2&amp;$J$1&amp;"P"&amp;$A35))</f>
        <v>-2935</v>
      </c>
      <c r="L35" s="5">
        <f>IF(RTD("tos.rtd",,L$2,"."&amp;$A$2&amp;$L$1&amp;"C"&amp;$A35)="N/A",0,RTD("tos.rtd",,L$2,"."&amp;$A$2&amp;$L$1&amp;"C"&amp;$A35))</f>
        <v>758</v>
      </c>
      <c r="M35" s="6">
        <f>-IF(RTD("tos.rtd",,M$2,"."&amp;$A$2&amp;$L$1&amp;"P"&amp;$A35)="N/A",0,RTD("tos.rtd",,M$2,"."&amp;$A$2&amp;$L$1&amp;"P"&amp;$A35))</f>
        <v>-4320</v>
      </c>
      <c r="N35" s="1">
        <f t="shared" si="10"/>
        <v>-7528</v>
      </c>
      <c r="O35" s="7">
        <f t="shared" si="7"/>
        <v>658</v>
      </c>
      <c r="P35" s="5">
        <f>IF(RTD("tos.rtd",,P$2,"."&amp;$A$2&amp;$H$1&amp;"C"&amp;$A35)="N/A",0,RTD("tos.rtd",,P$2,"."&amp;$A$2&amp;$H$1&amp;"C"&amp;$A35))</f>
        <v>582</v>
      </c>
      <c r="Q35" s="6">
        <f>-IF(RTD("tos.rtd",,Q$2,"."&amp;$A$2&amp;$H$1&amp;"P"&amp;$A35)="N/A",0,RTD("tos.rtd",,Q$2,"."&amp;$A$2&amp;$H$1&amp;"P"&amp;$A35))</f>
        <v>-28551</v>
      </c>
      <c r="R35" s="5">
        <f>IF(RTD("tos.rtd",,R$2,"."&amp;$A$2&amp;$J$1&amp;"C"&amp;$A35)="N/A",0,RTD("tos.rtd",,R$2,"."&amp;$A$2&amp;$J$1&amp;"C"&amp;$A35))</f>
        <v>61</v>
      </c>
      <c r="S35" s="6">
        <f>-IF(RTD("tos.rtd",,S$2,"."&amp;$A$2&amp;$J$1&amp;"P"&amp;$A35)="N/A",0,RTD("tos.rtd",,S$2,"."&amp;$A$2&amp;$J$1&amp;"P"&amp;$A35))</f>
        <v>-7863</v>
      </c>
      <c r="T35" s="5">
        <f>IF(RTD("tos.rtd",,T$2,"."&amp;$A$2&amp;$L$1&amp;"C"&amp;$A35)="N/A",0,RTD("tos.rtd",,T$2,"."&amp;$A$2&amp;$L$1&amp;"C"&amp;$A35))</f>
        <v>279</v>
      </c>
      <c r="U35" s="6">
        <f>-IF(RTD("tos.rtd",,U$2,"."&amp;$A$2&amp;$L$1&amp;"P"&amp;$A35)="N/A",0,RTD("tos.rtd",,U$2,"."&amp;$A$2&amp;$L$1&amp;"P"&amp;$A35))</f>
        <v>-2170</v>
      </c>
      <c r="V35" s="1">
        <f ca="1">+Hoja2!Y36</f>
        <v>-35000</v>
      </c>
      <c r="W35" s="1">
        <f t="shared" ca="1" si="8"/>
        <v>-72662</v>
      </c>
    </row>
    <row r="36" spans="1:23" s="51" customFormat="1" ht="13.5" thickBot="1" x14ac:dyDescent="0.25">
      <c r="A36" s="2">
        <f t="shared" si="9"/>
        <v>657</v>
      </c>
      <c r="B36" s="1">
        <f t="shared" si="2"/>
        <v>-812</v>
      </c>
      <c r="C36" s="1">
        <f t="shared" si="3"/>
        <v>-3015</v>
      </c>
      <c r="D36" s="1">
        <f t="shared" si="4"/>
        <v>-2915</v>
      </c>
      <c r="E36" s="1">
        <f t="shared" si="5"/>
        <v>-6742</v>
      </c>
      <c r="F36" s="4">
        <f t="shared" si="6"/>
        <v>6610.4542209530609</v>
      </c>
      <c r="G36" s="1"/>
      <c r="H36" s="5">
        <f>IF(RTD("tos.rtd",,H$2,"."&amp;$A$2&amp;$H$1&amp;"C"&amp;$A36)="N/A",0,RTD("tos.rtd",,H$2,"."&amp;$A$2&amp;$H$1&amp;"C"&amp;$A36))</f>
        <v>39</v>
      </c>
      <c r="I36" s="6">
        <f>-IF(RTD("tos.rtd",,I$2,"."&amp;$A$2&amp;$H$1&amp;"P"&amp;$A36)="N/A",0,RTD("tos.rtd",,I$2,"."&amp;$A$2&amp;$H$1&amp;"P"&amp;$A36))</f>
        <v>-851</v>
      </c>
      <c r="J36" s="5">
        <f>IF(RTD("tos.rtd",,J$2,"."&amp;$A$2&amp;$J$1&amp;"C"&amp;$A36)="N/A",0,RTD("tos.rtd",,J$2,"."&amp;$A$2&amp;$J$1&amp;"C"&amp;$A36))</f>
        <v>258</v>
      </c>
      <c r="K36" s="6">
        <f>-IF(RTD("tos.rtd",,K$2,"."&amp;$A$2&amp;$J$1&amp;"P"&amp;$A36)="N/A",0,RTD("tos.rtd",,K$2,"."&amp;$A$2&amp;$J$1&amp;"P"&amp;$A36))</f>
        <v>-3273</v>
      </c>
      <c r="L36" s="5">
        <f>IF(RTD("tos.rtd",,L$2,"."&amp;$A$2&amp;$L$1&amp;"C"&amp;$A36)="N/A",0,RTD("tos.rtd",,L$2,"."&amp;$A$2&amp;$L$1&amp;"C"&amp;$A36))</f>
        <v>831</v>
      </c>
      <c r="M36" s="6">
        <f>-IF(RTD("tos.rtd",,M$2,"."&amp;$A$2&amp;$L$1&amp;"P"&amp;$A36)="N/A",0,RTD("tos.rtd",,M$2,"."&amp;$A$2&amp;$L$1&amp;"P"&amp;$A36))</f>
        <v>-3746</v>
      </c>
      <c r="N36" s="1">
        <f t="shared" si="10"/>
        <v>-6742</v>
      </c>
      <c r="O36" s="7">
        <f t="shared" si="7"/>
        <v>657</v>
      </c>
      <c r="P36" s="5">
        <f>IF(RTD("tos.rtd",,P$2,"."&amp;$A$2&amp;$H$1&amp;"C"&amp;$A36)="N/A",0,RTD("tos.rtd",,P$2,"."&amp;$A$2&amp;$H$1&amp;"C"&amp;$A36))</f>
        <v>321</v>
      </c>
      <c r="Q36" s="6">
        <f>-IF(RTD("tos.rtd",,Q$2,"."&amp;$A$2&amp;$H$1&amp;"P"&amp;$A36)="N/A",0,RTD("tos.rtd",,Q$2,"."&amp;$A$2&amp;$H$1&amp;"P"&amp;$A36))</f>
        <v>-20540</v>
      </c>
      <c r="R36" s="5">
        <f>IF(RTD("tos.rtd",,R$2,"."&amp;$A$2&amp;$J$1&amp;"C"&amp;$A36)="N/A",0,RTD("tos.rtd",,R$2,"."&amp;$A$2&amp;$J$1&amp;"C"&amp;$A36))</f>
        <v>416</v>
      </c>
      <c r="S36" s="6">
        <f>-IF(RTD("tos.rtd",,S$2,"."&amp;$A$2&amp;$J$1&amp;"P"&amp;$A36)="N/A",0,RTD("tos.rtd",,S$2,"."&amp;$A$2&amp;$J$1&amp;"P"&amp;$A36))</f>
        <v>-1924</v>
      </c>
      <c r="T36" s="5">
        <f>IF(RTD("tos.rtd",,T$2,"."&amp;$A$2&amp;$L$1&amp;"C"&amp;$A36)="N/A",0,RTD("tos.rtd",,T$2,"."&amp;$A$2&amp;$L$1&amp;"C"&amp;$A36))</f>
        <v>34</v>
      </c>
      <c r="U36" s="6">
        <f>-IF(RTD("tos.rtd",,U$2,"."&amp;$A$2&amp;$L$1&amp;"P"&amp;$A36)="N/A",0,RTD("tos.rtd",,U$2,"."&amp;$A$2&amp;$L$1&amp;"P"&amp;$A36))</f>
        <v>-5234</v>
      </c>
      <c r="V36" s="1">
        <f ca="1">+Hoja2!Y37</f>
        <v>-33583</v>
      </c>
      <c r="W36" s="1">
        <f t="shared" ca="1" si="8"/>
        <v>-60510</v>
      </c>
    </row>
    <row r="37" spans="1:23" s="51" customFormat="1" ht="13.5" thickBot="1" x14ac:dyDescent="0.25">
      <c r="A37" s="2">
        <f t="shared" si="9"/>
        <v>656</v>
      </c>
      <c r="B37" s="1">
        <f t="shared" si="2"/>
        <v>-1500</v>
      </c>
      <c r="C37" s="1">
        <f t="shared" si="3"/>
        <v>-742</v>
      </c>
      <c r="D37" s="1">
        <f t="shared" si="4"/>
        <v>-2643</v>
      </c>
      <c r="E37" s="1">
        <f t="shared" si="5"/>
        <v>-4885</v>
      </c>
      <c r="F37" s="4">
        <f t="shared" si="6"/>
        <v>6600.3926467963593</v>
      </c>
      <c r="G37" s="1"/>
      <c r="H37" s="5">
        <f>IF(RTD("tos.rtd",,H$2,"."&amp;$A$2&amp;$H$1&amp;"C"&amp;$A37)="N/A",0,RTD("tos.rtd",,H$2,"."&amp;$A$2&amp;$H$1&amp;"C"&amp;$A37))</f>
        <v>20</v>
      </c>
      <c r="I37" s="6">
        <f>-IF(RTD("tos.rtd",,I$2,"."&amp;$A$2&amp;$H$1&amp;"P"&amp;$A37)="N/A",0,RTD("tos.rtd",,I$2,"."&amp;$A$2&amp;$H$1&amp;"P"&amp;$A37))</f>
        <v>-1520</v>
      </c>
      <c r="J37" s="5">
        <f>IF(RTD("tos.rtd",,J$2,"."&amp;$A$2&amp;$J$1&amp;"C"&amp;$A37)="N/A",0,RTD("tos.rtd",,J$2,"."&amp;$A$2&amp;$J$1&amp;"C"&amp;$A37))</f>
        <v>157</v>
      </c>
      <c r="K37" s="6">
        <f>-IF(RTD("tos.rtd",,K$2,"."&amp;$A$2&amp;$J$1&amp;"P"&amp;$A37)="N/A",0,RTD("tos.rtd",,K$2,"."&amp;$A$2&amp;$J$1&amp;"P"&amp;$A37))</f>
        <v>-899</v>
      </c>
      <c r="L37" s="5">
        <f>IF(RTD("tos.rtd",,L$2,"."&amp;$A$2&amp;$L$1&amp;"C"&amp;$A37)="N/A",0,RTD("tos.rtd",,L$2,"."&amp;$A$2&amp;$L$1&amp;"C"&amp;$A37))</f>
        <v>576</v>
      </c>
      <c r="M37" s="6">
        <f>-IF(RTD("tos.rtd",,M$2,"."&amp;$A$2&amp;$L$1&amp;"P"&amp;$A37)="N/A",0,RTD("tos.rtd",,M$2,"."&amp;$A$2&amp;$L$1&amp;"P"&amp;$A37))</f>
        <v>-3219</v>
      </c>
      <c r="N37" s="1">
        <f t="shared" si="10"/>
        <v>-4885</v>
      </c>
      <c r="O37" s="7">
        <f t="shared" si="7"/>
        <v>656</v>
      </c>
      <c r="P37" s="5">
        <f>IF(RTD("tos.rtd",,P$2,"."&amp;$A$2&amp;$H$1&amp;"C"&amp;$A37)="N/A",0,RTD("tos.rtd",,P$2,"."&amp;$A$2&amp;$H$1&amp;"C"&amp;$A37))</f>
        <v>438</v>
      </c>
      <c r="Q37" s="6">
        <f>-IF(RTD("tos.rtd",,Q$2,"."&amp;$A$2&amp;$H$1&amp;"P"&amp;$A37)="N/A",0,RTD("tos.rtd",,Q$2,"."&amp;$A$2&amp;$H$1&amp;"P"&amp;$A37))</f>
        <v>-28756</v>
      </c>
      <c r="R37" s="5">
        <f>IF(RTD("tos.rtd",,R$2,"."&amp;$A$2&amp;$J$1&amp;"C"&amp;$A37)="N/A",0,RTD("tos.rtd",,R$2,"."&amp;$A$2&amp;$J$1&amp;"C"&amp;$A37))</f>
        <v>90</v>
      </c>
      <c r="S37" s="6">
        <f>-IF(RTD("tos.rtd",,S$2,"."&amp;$A$2&amp;$J$1&amp;"P"&amp;$A37)="N/A",0,RTD("tos.rtd",,S$2,"."&amp;$A$2&amp;$J$1&amp;"P"&amp;$A37))</f>
        <v>-2984</v>
      </c>
      <c r="T37" s="5">
        <f>IF(RTD("tos.rtd",,T$2,"."&amp;$A$2&amp;$L$1&amp;"C"&amp;$A37)="N/A",0,RTD("tos.rtd",,T$2,"."&amp;$A$2&amp;$L$1&amp;"C"&amp;$A37))</f>
        <v>76</v>
      </c>
      <c r="U37" s="6">
        <f>-IF(RTD("tos.rtd",,U$2,"."&amp;$A$2&amp;$L$1&amp;"P"&amp;$A37)="N/A",0,RTD("tos.rtd",,U$2,"."&amp;$A$2&amp;$L$1&amp;"P"&amp;$A37))</f>
        <v>-1262</v>
      </c>
      <c r="V37" s="1">
        <f ca="1">+Hoja2!Y38</f>
        <v>-33464</v>
      </c>
      <c r="W37" s="1">
        <f t="shared" ca="1" si="8"/>
        <v>-65862</v>
      </c>
    </row>
    <row r="38" spans="1:23" s="51" customFormat="1" ht="13.5" thickBot="1" x14ac:dyDescent="0.25">
      <c r="A38" s="2">
        <f t="shared" si="9"/>
        <v>655</v>
      </c>
      <c r="B38" s="1">
        <f t="shared" si="2"/>
        <v>-1763</v>
      </c>
      <c r="C38" s="1">
        <f t="shared" si="3"/>
        <v>-3746</v>
      </c>
      <c r="D38" s="1">
        <f t="shared" si="4"/>
        <v>-22188</v>
      </c>
      <c r="E38" s="1">
        <f t="shared" si="5"/>
        <v>-27697</v>
      </c>
      <c r="F38" s="9">
        <f t="shared" si="6"/>
        <v>6590.3310726396567</v>
      </c>
      <c r="G38" s="1"/>
      <c r="H38" s="13">
        <f>IF(RTD("tos.rtd",,H$2,"."&amp;$A$2&amp;$H$1&amp;"C"&amp;$A38)="N/A",0,RTD("tos.rtd",,H$2,"."&amp;$A$2&amp;$H$1&amp;"C"&amp;$A38))</f>
        <v>36</v>
      </c>
      <c r="I38" s="32">
        <f>-IF(RTD("tos.rtd",,I$2,"."&amp;$A$2&amp;$H$1&amp;"P"&amp;$A38)="N/A",0,RTD("tos.rtd",,I$2,"."&amp;$A$2&amp;$H$1&amp;"P"&amp;$A38))</f>
        <v>-1799</v>
      </c>
      <c r="J38" s="13">
        <f>IF(RTD("tos.rtd",,J$2,"."&amp;$A$2&amp;$J$1&amp;"C"&amp;$A38)="N/A",0,RTD("tos.rtd",,J$2,"."&amp;$A$2&amp;$J$1&amp;"C"&amp;$A38))</f>
        <v>323</v>
      </c>
      <c r="K38" s="32">
        <f>-IF(RTD("tos.rtd",,K$2,"."&amp;$A$2&amp;$J$1&amp;"P"&amp;$A38)="N/A",0,RTD("tos.rtd",,K$2,"."&amp;$A$2&amp;$J$1&amp;"P"&amp;$A38))</f>
        <v>-4069</v>
      </c>
      <c r="L38" s="13">
        <f>IF(RTD("tos.rtd",,L$2,"."&amp;$A$2&amp;$L$1&amp;"C"&amp;$A38)="N/A",0,RTD("tos.rtd",,L$2,"."&amp;$A$2&amp;$L$1&amp;"C"&amp;$A38))</f>
        <v>3824</v>
      </c>
      <c r="M38" s="32">
        <f>-IF(RTD("tos.rtd",,M$2,"."&amp;$A$2&amp;$L$1&amp;"P"&amp;$A38)="N/A",0,RTD("tos.rtd",,M$2,"."&amp;$A$2&amp;$L$1&amp;"P"&amp;$A38))</f>
        <v>-26012</v>
      </c>
      <c r="N38" s="1">
        <f t="shared" si="10"/>
        <v>-27697</v>
      </c>
      <c r="O38" s="7">
        <f t="shared" si="7"/>
        <v>655</v>
      </c>
      <c r="P38" s="13">
        <f>IF(RTD("tos.rtd",,P$2,"."&amp;$A$2&amp;$H$1&amp;"C"&amp;$A38)="N/A",0,RTD("tos.rtd",,P$2,"."&amp;$A$2&amp;$H$1&amp;"C"&amp;$A38))</f>
        <v>600</v>
      </c>
      <c r="Q38" s="32">
        <f>-IF(RTD("tos.rtd",,Q$2,"."&amp;$A$2&amp;$H$1&amp;"P"&amp;$A38)="N/A",0,RTD("tos.rtd",,Q$2,"."&amp;$A$2&amp;$H$1&amp;"P"&amp;$A38))</f>
        <v>-26191</v>
      </c>
      <c r="R38" s="13">
        <f>IF(RTD("tos.rtd",,R$2,"."&amp;$A$2&amp;$J$1&amp;"C"&amp;$A38)="N/A",0,RTD("tos.rtd",,R$2,"."&amp;$A$2&amp;$J$1&amp;"C"&amp;$A38))</f>
        <v>421</v>
      </c>
      <c r="S38" s="32">
        <f>-IF(RTD("tos.rtd",,S$2,"."&amp;$A$2&amp;$J$1&amp;"P"&amp;$A38)="N/A",0,RTD("tos.rtd",,S$2,"."&amp;$A$2&amp;$J$1&amp;"P"&amp;$A38))</f>
        <v>-13548</v>
      </c>
      <c r="T38" s="13">
        <f>IF(RTD("tos.rtd",,T$2,"."&amp;$A$2&amp;$L$1&amp;"C"&amp;$A38)="N/A",0,RTD("tos.rtd",,T$2,"."&amp;$A$2&amp;$L$1&amp;"C"&amp;$A38))</f>
        <v>340</v>
      </c>
      <c r="U38" s="32">
        <f>-IF(RTD("tos.rtd",,U$2,"."&amp;$A$2&amp;$L$1&amp;"P"&amp;$A38)="N/A",0,RTD("tos.rtd",,U$2,"."&amp;$A$2&amp;$L$1&amp;"P"&amp;$A38))</f>
        <v>-15140</v>
      </c>
      <c r="V38" s="1">
        <f ca="1">+Hoja2!Y39</f>
        <v>-47281</v>
      </c>
      <c r="W38" s="1">
        <f t="shared" ca="1" si="8"/>
        <v>-100799</v>
      </c>
    </row>
    <row r="39" spans="1:23" ht="14.25" customHeight="1" x14ac:dyDescent="0.2">
      <c r="A39" s="33">
        <v>1</v>
      </c>
      <c r="B39" s="18">
        <f>MAX(B4:B38)/2</f>
        <v>4701.5</v>
      </c>
      <c r="C39" s="18">
        <f>MAX(C4:C38)/2</f>
        <v>2580.5</v>
      </c>
      <c r="D39" s="18">
        <f>MAX(D4:D38)/2</f>
        <v>9930</v>
      </c>
      <c r="E39" s="18">
        <f>MAX(E4:E38)/2</f>
        <v>16046.5</v>
      </c>
      <c r="F39" s="36"/>
      <c r="H39" s="23" t="s">
        <v>15</v>
      </c>
      <c r="I39" s="23" t="s">
        <v>16</v>
      </c>
      <c r="J39" s="23" t="s">
        <v>15</v>
      </c>
      <c r="K39" s="23" t="s">
        <v>16</v>
      </c>
      <c r="L39" s="23" t="s">
        <v>15</v>
      </c>
      <c r="M39" s="23" t="s">
        <v>16</v>
      </c>
      <c r="N39" s="23"/>
      <c r="P39" s="23" t="s">
        <v>15</v>
      </c>
      <c r="Q39" s="23" t="s">
        <v>16</v>
      </c>
      <c r="R39" s="23" t="s">
        <v>15</v>
      </c>
      <c r="S39" s="23" t="s">
        <v>16</v>
      </c>
      <c r="T39" s="23" t="s">
        <v>15</v>
      </c>
      <c r="U39" s="23" t="s">
        <v>16</v>
      </c>
      <c r="V39" s="21"/>
      <c r="W39" s="23">
        <f ca="1">MIN(W4:W38)</f>
        <v>-225535</v>
      </c>
    </row>
    <row r="40" spans="1:23" x14ac:dyDescent="0.2">
      <c r="A40" s="36">
        <f>RTD("tos.rtd", ,"MARK", A2)</f>
        <v>672.36</v>
      </c>
      <c r="B40" s="34"/>
      <c r="C40" s="35"/>
      <c r="D40" s="36"/>
      <c r="E40" s="36">
        <f>+F3/F40</f>
        <v>669.63483613375479</v>
      </c>
      <c r="F40" s="36">
        <f>6011/595</f>
        <v>10.102521008403361</v>
      </c>
    </row>
    <row r="41" spans="1:23" ht="13.5" thickBot="1" x14ac:dyDescent="0.25">
      <c r="A41" s="36">
        <f>10/657*100</f>
        <v>1.5220700152207001</v>
      </c>
      <c r="B41" s="65">
        <v>45890</v>
      </c>
      <c r="C41" s="35"/>
      <c r="D41" s="36"/>
      <c r="E41" s="36">
        <f>+F44/E42</f>
        <v>607.99907037598132</v>
      </c>
      <c r="F41" s="36"/>
    </row>
    <row r="42" spans="1:23" ht="13.5" thickBot="1" x14ac:dyDescent="0.25">
      <c r="A42" s="36">
        <f>RTD("tos.rtd", ,"MARK", A43)</f>
        <v>611.9</v>
      </c>
      <c r="B42" s="38">
        <v>45971</v>
      </c>
      <c r="C42" s="39">
        <v>45975</v>
      </c>
      <c r="D42" s="39">
        <v>45982</v>
      </c>
      <c r="E42" s="36">
        <f>21783/525</f>
        <v>41.491428571428571</v>
      </c>
      <c r="F42" s="36">
        <f>+[2]Sheet1!$AD$2</f>
        <v>562.2370746087829</v>
      </c>
      <c r="H42" s="20" t="str">
        <f>+B43</f>
        <v>251110</v>
      </c>
      <c r="I42" s="20"/>
      <c r="J42" s="20" t="str">
        <f>+C43</f>
        <v>251114</v>
      </c>
      <c r="K42" s="20"/>
      <c r="L42" s="20" t="str">
        <f>+D43</f>
        <v>251121</v>
      </c>
      <c r="M42" s="20"/>
      <c r="P42" s="20" t="str">
        <f t="shared" ref="P42:U42" si="17">+H42</f>
        <v>251110</v>
      </c>
      <c r="Q42" s="20">
        <f t="shared" si="17"/>
        <v>0</v>
      </c>
      <c r="R42" s="20" t="str">
        <f t="shared" si="17"/>
        <v>251114</v>
      </c>
      <c r="S42" s="20">
        <f t="shared" si="17"/>
        <v>0</v>
      </c>
      <c r="T42" s="20" t="str">
        <f t="shared" si="17"/>
        <v>251121</v>
      </c>
      <c r="U42" s="20">
        <f t="shared" si="17"/>
        <v>0</v>
      </c>
      <c r="V42" s="61"/>
      <c r="W42" s="1">
        <f ca="1">MAX(W45:W79)</f>
        <v>116195</v>
      </c>
    </row>
    <row r="43" spans="1:23" ht="13.5" thickBot="1" x14ac:dyDescent="0.25">
      <c r="A43" s="40" t="s">
        <v>2</v>
      </c>
      <c r="B43" s="40" t="str">
        <f>+B$2</f>
        <v>251110</v>
      </c>
      <c r="C43" s="40" t="str">
        <f>+C2</f>
        <v>251114</v>
      </c>
      <c r="D43" s="40" t="str">
        <f>+D2</f>
        <v>251121</v>
      </c>
      <c r="E43" s="40"/>
      <c r="F43" s="16" t="s">
        <v>3</v>
      </c>
      <c r="H43" s="20" t="s">
        <v>1</v>
      </c>
      <c r="I43" s="20" t="s">
        <v>1</v>
      </c>
      <c r="J43" s="20" t="s">
        <v>1</v>
      </c>
      <c r="K43" s="20" t="s">
        <v>1</v>
      </c>
      <c r="L43" s="20" t="s">
        <v>1</v>
      </c>
      <c r="M43" s="23" t="s">
        <v>1</v>
      </c>
      <c r="N43" s="21" t="s">
        <v>11</v>
      </c>
      <c r="P43" s="20" t="s">
        <v>7</v>
      </c>
      <c r="Q43" s="20" t="s">
        <v>7</v>
      </c>
      <c r="R43" s="20" t="s">
        <v>7</v>
      </c>
      <c r="S43" s="20" t="s">
        <v>7</v>
      </c>
      <c r="T43" s="20" t="s">
        <v>7</v>
      </c>
      <c r="U43" s="23" t="s">
        <v>7</v>
      </c>
      <c r="V43" s="21"/>
      <c r="W43" s="21" t="s">
        <v>14</v>
      </c>
    </row>
    <row r="44" spans="1:23" ht="13.5" thickBot="1" x14ac:dyDescent="0.25">
      <c r="A44" s="41">
        <f>+A42</f>
        <v>611.9</v>
      </c>
      <c r="B44" s="25">
        <f>+H44/I44</f>
        <v>-0.70412895829352606</v>
      </c>
      <c r="C44" s="25">
        <f>+J44/K44</f>
        <v>-0.21749028571428572</v>
      </c>
      <c r="D44" s="25">
        <f>+L44/M44</f>
        <v>-0.64063308095328342</v>
      </c>
      <c r="E44" s="26">
        <v>0</v>
      </c>
      <c r="F44" s="42">
        <f>RTD("tos.rtd", ,"MARK", F43)</f>
        <v>25226.75</v>
      </c>
      <c r="H44" s="11">
        <f t="shared" ref="H44:N44" si="18">SUM(H45:H79)</f>
        <v>40536</v>
      </c>
      <c r="I44" s="27">
        <f t="shared" si="18"/>
        <v>-57569</v>
      </c>
      <c r="J44" s="11">
        <f t="shared" si="18"/>
        <v>47576</v>
      </c>
      <c r="K44" s="27">
        <f t="shared" si="18"/>
        <v>-218750</v>
      </c>
      <c r="L44" s="11">
        <f t="shared" si="18"/>
        <v>199431</v>
      </c>
      <c r="M44" s="27">
        <f t="shared" si="18"/>
        <v>-311303</v>
      </c>
      <c r="N44" s="27">
        <f t="shared" si="18"/>
        <v>-300079</v>
      </c>
      <c r="O44" s="1">
        <v>0</v>
      </c>
      <c r="P44" s="11">
        <f t="shared" ref="P44:W44" si="19">SUM(P45:P79)</f>
        <v>506505</v>
      </c>
      <c r="Q44" s="27">
        <f t="shared" si="19"/>
        <v>-374271</v>
      </c>
      <c r="R44" s="11">
        <f t="shared" si="19"/>
        <v>122229</v>
      </c>
      <c r="S44" s="27">
        <f t="shared" si="19"/>
        <v>-158098</v>
      </c>
      <c r="T44" s="11">
        <f t="shared" si="19"/>
        <v>64066</v>
      </c>
      <c r="U44" s="27">
        <f t="shared" si="19"/>
        <v>-111429</v>
      </c>
      <c r="V44" s="27"/>
      <c r="W44" s="27">
        <f t="shared" ca="1" si="19"/>
        <v>253108</v>
      </c>
    </row>
    <row r="45" spans="1:23" ht="13.5" thickBot="1" x14ac:dyDescent="0.25">
      <c r="A45" s="2">
        <f>ROUND(A44/$A$39,0)*$A$39+17*$A$39</f>
        <v>629</v>
      </c>
      <c r="B45" s="3">
        <f t="shared" ref="B45:B79" si="20">+IF($A$1="ABS",H45-I45,H45+I45)</f>
        <v>852</v>
      </c>
      <c r="C45" s="3">
        <f t="shared" ref="C45:C79" si="21">+IF($A$1="ABS",J45-K45,J45+K45)</f>
        <v>-429</v>
      </c>
      <c r="D45" s="3">
        <f t="shared" ref="D45:D79" si="22">+IF($A$1="ABS",L45-M45,L45+M45)</f>
        <v>-5217</v>
      </c>
      <c r="E45" s="3">
        <f t="shared" ref="E45:E79" si="23">SUM(B45:D45)</f>
        <v>-4794</v>
      </c>
      <c r="F45" s="4">
        <f>+$F$44/$A$44*A45</f>
        <v>25931.730266383394</v>
      </c>
      <c r="H45" s="5">
        <f>IF(RTD("tos.rtd",,H$43,"."&amp;$A$43&amp;$H$42&amp;"C"&amp;$A45)="N/A",0,RTD("tos.rtd",,H$43,"."&amp;$A$43&amp;$H$42&amp;"C"&amp;$A45))</f>
        <v>1154</v>
      </c>
      <c r="I45" s="6">
        <f>-IF(RTD("tos.rtd",,I$43,"."&amp;$A$43&amp;$H$42&amp;"P"&amp;$A45)="N/A",0,RTD("tos.rtd",,I$43,"."&amp;$A$43&amp;$H$42&amp;"P"&amp;$A45))</f>
        <v>-302</v>
      </c>
      <c r="J45" s="5">
        <f>IF(RTD("tos.rtd",,J$2,"."&amp;$A$43&amp;$J$1&amp;"C"&amp;$A45)="N/A",0,RTD("tos.rtd",,J$2,"."&amp;$A$43&amp;$J$1&amp;"C"&amp;$A45))</f>
        <v>612</v>
      </c>
      <c r="K45" s="6">
        <f>-IF(RTD("tos.rtd",,K$2,"."&amp;$A$43&amp;$J$1&amp;"P"&amp;$A45)="N/A",0,RTD("tos.rtd",,K$2,"."&amp;$A$43&amp;$J$1&amp;"P"&amp;$A45))</f>
        <v>-1041</v>
      </c>
      <c r="L45" s="5">
        <f>IF(RTD("tos.rtd",,L$2,"."&amp;$A$43&amp;$L$1&amp;"C"&amp;$A45)="N/A",0,RTD("tos.rtd",,L$2,"."&amp;$A$43&amp;$L$1&amp;"C"&amp;$A45))</f>
        <v>3032</v>
      </c>
      <c r="M45" s="6">
        <f>-IF(RTD("tos.rtd",,M$2,"."&amp;$A$43&amp;$L$1&amp;"P"&amp;$A45)="N/A",0,RTD("tos.rtd",,M$2,"."&amp;$A$43&amp;$L$1&amp;"P"&amp;$A45))</f>
        <v>-8249</v>
      </c>
      <c r="N45" s="1">
        <f>SUM(H45:M45)</f>
        <v>-4794</v>
      </c>
      <c r="O45" s="7">
        <f t="shared" ref="O45:O79" si="24">+A45</f>
        <v>629</v>
      </c>
      <c r="P45" s="28">
        <f>IF(RTD("tos.rtd",,P$43,"."&amp;$A$43&amp;$H$42&amp;"C"&amp;$A45)="N/A",0,RTD("tos.rtd",,P$43,"."&amp;$A$43&amp;$H$42&amp;"C"&amp;$A45))</f>
        <v>1380</v>
      </c>
      <c r="Q45" s="29">
        <f>-IF(RTD("tos.rtd",,Q$43,"."&amp;$A$43&amp;$H$42&amp;"P"&amp;$A45)="N/A",0,RTD("tos.rtd",,Q$43,"."&amp;$A$43&amp;$H$42&amp;"P"&amp;$A45))</f>
        <v>-7</v>
      </c>
      <c r="R45" s="28">
        <f>IF(RTD("tos.rtd",,R$2,"."&amp;$A$43&amp;$J$1&amp;"C"&amp;$A45)="N/A",0,RTD("tos.rtd",,R$2,"."&amp;$A$43&amp;$J$1&amp;"C"&amp;$A45))</f>
        <v>793</v>
      </c>
      <c r="S45" s="29">
        <f>-IF(RTD("tos.rtd",,S$2,"."&amp;$A$43&amp;$J$1&amp;"P"&amp;$A45)="N/A",0,RTD("tos.rtd",,S$2,"."&amp;$A$43&amp;$J$1&amp;"P"&amp;$A45))</f>
        <v>-60</v>
      </c>
      <c r="T45" s="28">
        <f>IF(RTD("tos.rtd",,T$2,"."&amp;$A$43&amp;$L$1&amp;"C"&amp;$A45)="N/A",0,RTD("tos.rtd",,T$2,"."&amp;$A$43&amp;$L$1&amp;"C"&amp;$A45))</f>
        <v>2460</v>
      </c>
      <c r="U45" s="29">
        <f>-IF(RTD("tos.rtd",,U$2,"."&amp;$A$43&amp;$L$1&amp;"P"&amp;$A45)="N/A",0,RTD("tos.rtd",,U$2,"."&amp;$A$43&amp;$L$1&amp;"P"&amp;$A45))</f>
        <v>-16</v>
      </c>
      <c r="V45" s="1">
        <f ca="1">+Hoja2!Y46</f>
        <v>2713</v>
      </c>
      <c r="W45" s="1">
        <f ca="1">SUM(P45:V45)</f>
        <v>7263</v>
      </c>
    </row>
    <row r="46" spans="1:23" ht="13.5" thickBot="1" x14ac:dyDescent="0.25">
      <c r="A46" s="2">
        <f>+A45-$A$39</f>
        <v>628</v>
      </c>
      <c r="B46" s="3">
        <f t="shared" si="20"/>
        <v>1158</v>
      </c>
      <c r="C46" s="3">
        <f t="shared" si="21"/>
        <v>460</v>
      </c>
      <c r="D46" s="3">
        <f t="shared" si="22"/>
        <v>794</v>
      </c>
      <c r="E46" s="3">
        <f>SUM(B46:D46)</f>
        <v>2412</v>
      </c>
      <c r="F46" s="4">
        <f>+$F$44/$A$44*A46</f>
        <v>25890.503350220624</v>
      </c>
      <c r="H46" s="5">
        <f>IF(RTD("tos.rtd",,H$43,"."&amp;$A$43&amp;$H$42&amp;"C"&amp;$A46)="N/A",0,RTD("tos.rtd",,H$43,"."&amp;$A$43&amp;$H$42&amp;"C"&amp;$A46))</f>
        <v>1366</v>
      </c>
      <c r="I46" s="6">
        <f>-IF(RTD("tos.rtd",,I$43,"."&amp;$A$43&amp;$H$42&amp;"P"&amp;$A46)="N/A",0,RTD("tos.rtd",,I$43,"."&amp;$A$43&amp;$H$42&amp;"P"&amp;$A46))</f>
        <v>-208</v>
      </c>
      <c r="J46" s="5">
        <f>IF(RTD("tos.rtd",,J$2,"."&amp;$A$43&amp;$J$1&amp;"C"&amp;$A46)="N/A",0,RTD("tos.rtd",,J$2,"."&amp;$A$43&amp;$J$1&amp;"C"&amp;$A46))</f>
        <v>2028</v>
      </c>
      <c r="K46" s="6">
        <f>-IF(RTD("tos.rtd",,K$2,"."&amp;$A$43&amp;$J$1&amp;"P"&amp;$A46)="N/A",0,RTD("tos.rtd",,K$2,"."&amp;$A$43&amp;$J$1&amp;"P"&amp;$A46))</f>
        <v>-1568</v>
      </c>
      <c r="L46" s="5">
        <f>IF(RTD("tos.rtd",,L$2,"."&amp;$A$43&amp;$L$1&amp;"C"&amp;$A46)="N/A",0,RTD("tos.rtd",,L$2,"."&amp;$A$43&amp;$L$1&amp;"C"&amp;$A46))</f>
        <v>2003</v>
      </c>
      <c r="M46" s="6">
        <f>-IF(RTD("tos.rtd",,M$2,"."&amp;$A$43&amp;$L$1&amp;"P"&amp;$A46)="N/A",0,RTD("tos.rtd",,M$2,"."&amp;$A$43&amp;$L$1&amp;"P"&amp;$A46))</f>
        <v>-1209</v>
      </c>
      <c r="N46" s="1">
        <f t="shared" ref="N46:N79" si="25">SUM(H46:M46)</f>
        <v>2412</v>
      </c>
      <c r="O46" s="7">
        <f t="shared" si="24"/>
        <v>628</v>
      </c>
      <c r="P46" s="5">
        <f>IF(RTD("tos.rtd",,P$43,"."&amp;$A$43&amp;$H$42&amp;"C"&amp;$A46)="N/A",0,RTD("tos.rtd",,P$43,"."&amp;$A$43&amp;$H$42&amp;"C"&amp;$A46))</f>
        <v>1090</v>
      </c>
      <c r="Q46" s="6">
        <f>-IF(RTD("tos.rtd",,Q$43,"."&amp;$A$43&amp;$H$42&amp;"P"&amp;$A46)="N/A",0,RTD("tos.rtd",,Q$43,"."&amp;$A$43&amp;$H$42&amp;"P"&amp;$A46))</f>
        <v>-110</v>
      </c>
      <c r="R46" s="5">
        <f>IF(RTD("tos.rtd",,R$2,"."&amp;$A$43&amp;$J$1&amp;"C"&amp;$A46)="N/A",0,RTD("tos.rtd",,R$2,"."&amp;$A$43&amp;$J$1&amp;"C"&amp;$A46))</f>
        <v>866</v>
      </c>
      <c r="S46" s="6">
        <f>-IF(RTD("tos.rtd",,S$2,"."&amp;$A$43&amp;$J$1&amp;"P"&amp;$A46)="N/A",0,RTD("tos.rtd",,S$2,"."&amp;$A$43&amp;$J$1&amp;"P"&amp;$A46))</f>
        <v>-109</v>
      </c>
      <c r="T46" s="5">
        <f>IF(RTD("tos.rtd",,T$2,"."&amp;$A$43&amp;$L$1&amp;"C"&amp;$A46)="N/A",0,RTD("tos.rtd",,T$2,"."&amp;$A$43&amp;$L$1&amp;"C"&amp;$A46))</f>
        <v>453</v>
      </c>
      <c r="U46" s="6">
        <f>-IF(RTD("tos.rtd",,U$2,"."&amp;$A$43&amp;$L$1&amp;"P"&amp;$A46)="N/A",0,RTD("tos.rtd",,U$2,"."&amp;$A$43&amp;$L$1&amp;"P"&amp;$A46))</f>
        <v>-142</v>
      </c>
      <c r="V46" s="1">
        <f ca="1">+Hoja2!Y47</f>
        <v>1980</v>
      </c>
      <c r="W46" s="1">
        <f t="shared" ref="W46:W79" ca="1" si="26">SUM(P46:V46)</f>
        <v>4028</v>
      </c>
    </row>
    <row r="47" spans="1:23" ht="13.5" thickBot="1" x14ac:dyDescent="0.25">
      <c r="A47" s="2">
        <f t="shared" ref="A47:A79" si="27">+A46-$A$39</f>
        <v>627</v>
      </c>
      <c r="B47" s="3">
        <f t="shared" si="20"/>
        <v>496</v>
      </c>
      <c r="C47" s="3">
        <f t="shared" si="21"/>
        <v>-512</v>
      </c>
      <c r="D47" s="3">
        <f t="shared" si="22"/>
        <v>2137</v>
      </c>
      <c r="E47" s="3">
        <f>SUM(B47:D47)</f>
        <v>2121</v>
      </c>
      <c r="F47" s="4">
        <f>+$F$44/$A$44*A47</f>
        <v>25849.276434057851</v>
      </c>
      <c r="H47" s="5">
        <f>IF(RTD("tos.rtd",,H$43,"."&amp;$A$43&amp;$H$42&amp;"C"&amp;$A47)="N/A",0,RTD("tos.rtd",,H$43,"."&amp;$A$43&amp;$H$42&amp;"C"&amp;$A47))</f>
        <v>1108</v>
      </c>
      <c r="I47" s="6">
        <f>-IF(RTD("tos.rtd",,I$43,"."&amp;$A$43&amp;$H$42&amp;"P"&amp;$A47)="N/A",0,RTD("tos.rtd",,I$43,"."&amp;$A$43&amp;$H$42&amp;"P"&amp;$A47))</f>
        <v>-612</v>
      </c>
      <c r="J47" s="5">
        <f>IF(RTD("tos.rtd",,J$2,"."&amp;$A$43&amp;$J$1&amp;"C"&amp;$A47)="N/A",0,RTD("tos.rtd",,J$2,"."&amp;$A$43&amp;$J$1&amp;"C"&amp;$A47))</f>
        <v>1482</v>
      </c>
      <c r="K47" s="6">
        <f>-IF(RTD("tos.rtd",,K$2,"."&amp;$A$43&amp;$J$1&amp;"P"&amp;$A47)="N/A",0,RTD("tos.rtd",,K$2,"."&amp;$A$43&amp;$J$1&amp;"P"&amp;$A47))</f>
        <v>-1994</v>
      </c>
      <c r="L47" s="5">
        <f>IF(RTD("tos.rtd",,L$2,"."&amp;$A$43&amp;$L$1&amp;"C"&amp;$A47)="N/A",0,RTD("tos.rtd",,L$2,"."&amp;$A$43&amp;$L$1&amp;"C"&amp;$A47))</f>
        <v>4109</v>
      </c>
      <c r="M47" s="6">
        <f>-IF(RTD("tos.rtd",,M$2,"."&amp;$A$43&amp;$L$1&amp;"P"&amp;$A47)="N/A",0,RTD("tos.rtd",,M$2,"."&amp;$A$43&amp;$L$1&amp;"P"&amp;$A47))</f>
        <v>-1972</v>
      </c>
      <c r="N47" s="1">
        <f t="shared" si="25"/>
        <v>2121</v>
      </c>
      <c r="O47" s="7">
        <f t="shared" si="24"/>
        <v>627</v>
      </c>
      <c r="P47" s="5">
        <f>IF(RTD("tos.rtd",,P$43,"."&amp;$A$43&amp;$H$42&amp;"C"&amp;$A47)="N/A",0,RTD("tos.rtd",,P$43,"."&amp;$A$43&amp;$H$42&amp;"C"&amp;$A47))</f>
        <v>956</v>
      </c>
      <c r="Q47" s="6">
        <f>-IF(RTD("tos.rtd",,Q$43,"."&amp;$A$43&amp;$H$42&amp;"P"&amp;$A47)="N/A",0,RTD("tos.rtd",,Q$43,"."&amp;$A$43&amp;$H$42&amp;"P"&amp;$A47))</f>
        <v>-221</v>
      </c>
      <c r="R47" s="5">
        <f>IF(RTD("tos.rtd",,R$2,"."&amp;$A$43&amp;$J$1&amp;"C"&amp;$A47)="N/A",0,RTD("tos.rtd",,R$2,"."&amp;$A$43&amp;$J$1&amp;"C"&amp;$A47))</f>
        <v>1725</v>
      </c>
      <c r="S47" s="6">
        <f>-IF(RTD("tos.rtd",,S$2,"."&amp;$A$43&amp;$J$1&amp;"P"&amp;$A47)="N/A",0,RTD("tos.rtd",,S$2,"."&amp;$A$43&amp;$J$1&amp;"P"&amp;$A47))</f>
        <v>-251</v>
      </c>
      <c r="T47" s="5">
        <f>IF(RTD("tos.rtd",,T$2,"."&amp;$A$43&amp;$L$1&amp;"C"&amp;$A47)="N/A",0,RTD("tos.rtd",,T$2,"."&amp;$A$43&amp;$L$1&amp;"C"&amp;$A47))</f>
        <v>378</v>
      </c>
      <c r="U47" s="6">
        <f>-IF(RTD("tos.rtd",,U$2,"."&amp;$A$43&amp;$L$1&amp;"P"&amp;$A47)="N/A",0,RTD("tos.rtd",,U$2,"."&amp;$A$43&amp;$L$1&amp;"P"&amp;$A47))</f>
        <v>-129</v>
      </c>
      <c r="V47" s="1">
        <f ca="1">+Hoja2!Y48</f>
        <v>2515</v>
      </c>
      <c r="W47" s="1">
        <f t="shared" ca="1" si="26"/>
        <v>4973</v>
      </c>
    </row>
    <row r="48" spans="1:23" ht="13.5" thickBot="1" x14ac:dyDescent="0.25">
      <c r="A48" s="2">
        <f t="shared" si="27"/>
        <v>626</v>
      </c>
      <c r="B48" s="3">
        <f t="shared" si="20"/>
        <v>2281</v>
      </c>
      <c r="C48" s="3">
        <f t="shared" si="21"/>
        <v>-117</v>
      </c>
      <c r="D48" s="3">
        <f t="shared" si="22"/>
        <v>-92</v>
      </c>
      <c r="E48" s="3">
        <f t="shared" si="23"/>
        <v>2072</v>
      </c>
      <c r="F48" s="4">
        <f t="shared" ref="F48:F79" si="28">+$F$44/$A$44*A48</f>
        <v>25808.04951789508</v>
      </c>
      <c r="H48" s="5">
        <f>IF(RTD("tos.rtd",,H$43,"."&amp;$A$43&amp;$H$42&amp;"C"&amp;$A48)="N/A",0,RTD("tos.rtd",,H$43,"."&amp;$A$43&amp;$H$42&amp;"C"&amp;$A48))</f>
        <v>2635</v>
      </c>
      <c r="I48" s="6">
        <f>-IF(RTD("tos.rtd",,I$43,"."&amp;$A$43&amp;$H$42&amp;"P"&amp;$A48)="N/A",0,RTD("tos.rtd",,I$43,"."&amp;$A$43&amp;$H$42&amp;"P"&amp;$A48))</f>
        <v>-354</v>
      </c>
      <c r="J48" s="5">
        <f>IF(RTD("tos.rtd",,J$2,"."&amp;$A$43&amp;$J$1&amp;"C"&amp;$A48)="N/A",0,RTD("tos.rtd",,J$2,"."&amp;$A$43&amp;$J$1&amp;"C"&amp;$A48))</f>
        <v>838</v>
      </c>
      <c r="K48" s="6">
        <f>-IF(RTD("tos.rtd",,K$2,"."&amp;$A$43&amp;$J$1&amp;"P"&amp;$A48)="N/A",0,RTD("tos.rtd",,K$2,"."&amp;$A$43&amp;$J$1&amp;"P"&amp;$A48))</f>
        <v>-955</v>
      </c>
      <c r="L48" s="5">
        <f>IF(RTD("tos.rtd",,L$2,"."&amp;$A$43&amp;$L$1&amp;"C"&amp;$A48)="N/A",0,RTD("tos.rtd",,L$2,"."&amp;$A$43&amp;$L$1&amp;"C"&amp;$A48))</f>
        <v>1653</v>
      </c>
      <c r="M48" s="6">
        <f>-IF(RTD("tos.rtd",,M$2,"."&amp;$A$43&amp;$L$1&amp;"P"&amp;$A48)="N/A",0,RTD("tos.rtd",,M$2,"."&amp;$A$43&amp;$L$1&amp;"P"&amp;$A48))</f>
        <v>-1745</v>
      </c>
      <c r="N48" s="1">
        <f t="shared" si="25"/>
        <v>2072</v>
      </c>
      <c r="O48" s="7">
        <f t="shared" si="24"/>
        <v>626</v>
      </c>
      <c r="P48" s="5">
        <f>IF(RTD("tos.rtd",,P$43,"."&amp;$A$43&amp;$H$42&amp;"C"&amp;$A48)="N/A",0,RTD("tos.rtd",,P$43,"."&amp;$A$43&amp;$H$42&amp;"C"&amp;$A48))</f>
        <v>2298</v>
      </c>
      <c r="Q48" s="6">
        <f>-IF(RTD("tos.rtd",,Q$43,"."&amp;$A$43&amp;$H$42&amp;"P"&amp;$A48)="N/A",0,RTD("tos.rtd",,Q$43,"."&amp;$A$43&amp;$H$42&amp;"P"&amp;$A48))</f>
        <v>-155</v>
      </c>
      <c r="R48" s="5">
        <f>IF(RTD("tos.rtd",,R$2,"."&amp;$A$43&amp;$J$1&amp;"C"&amp;$A48)="N/A",0,RTD("tos.rtd",,R$2,"."&amp;$A$43&amp;$J$1&amp;"C"&amp;$A48))</f>
        <v>943</v>
      </c>
      <c r="S48" s="6">
        <f>-IF(RTD("tos.rtd",,S$2,"."&amp;$A$43&amp;$J$1&amp;"P"&amp;$A48)="N/A",0,RTD("tos.rtd",,S$2,"."&amp;$A$43&amp;$J$1&amp;"P"&amp;$A48))</f>
        <v>-132</v>
      </c>
      <c r="T48" s="5">
        <f>IF(RTD("tos.rtd",,T$2,"."&amp;$A$43&amp;$L$1&amp;"C"&amp;$A48)="N/A",0,RTD("tos.rtd",,T$2,"."&amp;$A$43&amp;$L$1&amp;"C"&amp;$A48))</f>
        <v>601</v>
      </c>
      <c r="U48" s="6">
        <f>-IF(RTD("tos.rtd",,U$2,"."&amp;$A$43&amp;$L$1&amp;"P"&amp;$A48)="N/A",0,RTD("tos.rtd",,U$2,"."&amp;$A$43&amp;$L$1&amp;"P"&amp;$A48))</f>
        <v>-104</v>
      </c>
      <c r="V48" s="1">
        <f ca="1">+Hoja2!Y49</f>
        <v>4702</v>
      </c>
      <c r="W48" s="1">
        <f t="shared" ca="1" si="26"/>
        <v>8153</v>
      </c>
    </row>
    <row r="49" spans="1:23" ht="13.5" thickBot="1" x14ac:dyDescent="0.25">
      <c r="A49" s="2">
        <f t="shared" si="27"/>
        <v>625</v>
      </c>
      <c r="B49" s="3">
        <f t="shared" si="20"/>
        <v>-1936</v>
      </c>
      <c r="C49" s="3">
        <f t="shared" si="21"/>
        <v>-13703</v>
      </c>
      <c r="D49" s="3">
        <f t="shared" si="22"/>
        <v>5922</v>
      </c>
      <c r="E49" s="3">
        <f t="shared" ref="E49:E56" si="29">SUM(B49:D49)</f>
        <v>-9717</v>
      </c>
      <c r="F49" s="4">
        <f t="shared" ref="F49:F56" si="30">+$F$44/$A$44*A49</f>
        <v>25766.82260173231</v>
      </c>
      <c r="H49" s="5">
        <f>IF(RTD("tos.rtd",,H$43,"."&amp;$A$43&amp;$H$42&amp;"C"&amp;$A49)="N/A",0,RTD("tos.rtd",,H$43,"."&amp;$A$43&amp;$H$42&amp;"C"&amp;$A49))</f>
        <v>5999</v>
      </c>
      <c r="I49" s="6">
        <f>-IF(RTD("tos.rtd",,I$43,"."&amp;$A$43&amp;$H$42&amp;"P"&amp;$A49)="N/A",0,RTD("tos.rtd",,I$43,"."&amp;$A$43&amp;$H$42&amp;"P"&amp;$A49))</f>
        <v>-7935</v>
      </c>
      <c r="J49" s="5">
        <f>IF(RTD("tos.rtd",,J$2,"."&amp;$A$43&amp;$J$1&amp;"C"&amp;$A49)="N/A",0,RTD("tos.rtd",,J$2,"."&amp;$A$43&amp;$J$1&amp;"C"&amp;$A49))</f>
        <v>6844</v>
      </c>
      <c r="K49" s="6">
        <f>-IF(RTD("tos.rtd",,K$2,"."&amp;$A$43&amp;$J$1&amp;"P"&amp;$A49)="N/A",0,RTD("tos.rtd",,K$2,"."&amp;$A$43&amp;$J$1&amp;"P"&amp;$A49))</f>
        <v>-20547</v>
      </c>
      <c r="L49" s="5">
        <f>IF(RTD("tos.rtd",,L$2,"."&amp;$A$43&amp;$L$1&amp;"C"&amp;$A49)="N/A",0,RTD("tos.rtd",,L$2,"."&amp;$A$43&amp;$L$1&amp;"C"&amp;$A49))</f>
        <v>26148</v>
      </c>
      <c r="M49" s="6">
        <f>-IF(RTD("tos.rtd",,M$2,"."&amp;$A$43&amp;$L$1&amp;"P"&amp;$A49)="N/A",0,RTD("tos.rtd",,M$2,"."&amp;$A$43&amp;$L$1&amp;"P"&amp;$A49))</f>
        <v>-20226</v>
      </c>
      <c r="N49" s="1">
        <f t="shared" ref="N49:N56" si="31">SUM(H49:M49)</f>
        <v>-9717</v>
      </c>
      <c r="O49" s="7">
        <f t="shared" si="24"/>
        <v>625</v>
      </c>
      <c r="P49" s="5">
        <f>IF(RTD("tos.rtd",,P$43,"."&amp;$A$43&amp;$H$42&amp;"C"&amp;$A49)="N/A",0,RTD("tos.rtd",,P$43,"."&amp;$A$43&amp;$H$42&amp;"C"&amp;$A49))</f>
        <v>6604</v>
      </c>
      <c r="Q49" s="6">
        <f>-IF(RTD("tos.rtd",,Q$43,"."&amp;$A$43&amp;$H$42&amp;"P"&amp;$A49)="N/A",0,RTD("tos.rtd",,Q$43,"."&amp;$A$43&amp;$H$42&amp;"P"&amp;$A49))</f>
        <v>-258</v>
      </c>
      <c r="R49" s="5">
        <f>IF(RTD("tos.rtd",,R$2,"."&amp;$A$43&amp;$J$1&amp;"C"&amp;$A49)="N/A",0,RTD("tos.rtd",,R$2,"."&amp;$A$43&amp;$J$1&amp;"C"&amp;$A49))</f>
        <v>6311</v>
      </c>
      <c r="S49" s="6">
        <f>-IF(RTD("tos.rtd",,S$2,"."&amp;$A$43&amp;$J$1&amp;"P"&amp;$A49)="N/A",0,RTD("tos.rtd",,S$2,"."&amp;$A$43&amp;$J$1&amp;"P"&amp;$A49))</f>
        <v>-1607</v>
      </c>
      <c r="T49" s="5">
        <f>IF(RTD("tos.rtd",,T$2,"."&amp;$A$43&amp;$L$1&amp;"C"&amp;$A49)="N/A",0,RTD("tos.rtd",,T$2,"."&amp;$A$43&amp;$L$1&amp;"C"&amp;$A49))</f>
        <v>8539</v>
      </c>
      <c r="U49" s="6">
        <f>-IF(RTD("tos.rtd",,U$2,"."&amp;$A$43&amp;$L$1&amp;"P"&amp;$A49)="N/A",0,RTD("tos.rtd",,U$2,"."&amp;$A$43&amp;$L$1&amp;"P"&amp;$A49))</f>
        <v>-817</v>
      </c>
      <c r="V49" s="1">
        <f ca="1">+Hoja2!Y50</f>
        <v>20802</v>
      </c>
      <c r="W49" s="1">
        <f t="shared" ca="1" si="26"/>
        <v>39574</v>
      </c>
    </row>
    <row r="50" spans="1:23" ht="13.5" thickBot="1" x14ac:dyDescent="0.25">
      <c r="A50" s="2">
        <f t="shared" si="27"/>
        <v>624</v>
      </c>
      <c r="B50" s="3">
        <f t="shared" si="20"/>
        <v>217</v>
      </c>
      <c r="C50" s="3">
        <f t="shared" si="21"/>
        <v>-364</v>
      </c>
      <c r="D50" s="3">
        <f t="shared" si="22"/>
        <v>-872</v>
      </c>
      <c r="E50" s="3">
        <f t="shared" si="29"/>
        <v>-1019</v>
      </c>
      <c r="F50" s="4">
        <f t="shared" si="30"/>
        <v>25725.595685569537</v>
      </c>
      <c r="H50" s="5">
        <f>IF(RTD("tos.rtd",,H$43,"."&amp;$A$43&amp;$H$42&amp;"C"&amp;$A50)="N/A",0,RTD("tos.rtd",,H$43,"."&amp;$A$43&amp;$H$42&amp;"C"&amp;$A50))</f>
        <v>965</v>
      </c>
      <c r="I50" s="6">
        <f>-IF(RTD("tos.rtd",,I$43,"."&amp;$A$43&amp;$H$42&amp;"P"&amp;$A50)="N/A",0,RTD("tos.rtd",,I$43,"."&amp;$A$43&amp;$H$42&amp;"P"&amp;$A50))</f>
        <v>-748</v>
      </c>
      <c r="J50" s="5">
        <f>IF(RTD("tos.rtd",,J$2,"."&amp;$A$43&amp;$J$1&amp;"C"&amp;$A50)="N/A",0,RTD("tos.rtd",,J$2,"."&amp;$A$43&amp;$J$1&amp;"C"&amp;$A50))</f>
        <v>1098</v>
      </c>
      <c r="K50" s="6">
        <f>-IF(RTD("tos.rtd",,K$2,"."&amp;$A$43&amp;$J$1&amp;"P"&amp;$A50)="N/A",0,RTD("tos.rtd",,K$2,"."&amp;$A$43&amp;$J$1&amp;"P"&amp;$A50))</f>
        <v>-1462</v>
      </c>
      <c r="L50" s="5">
        <f>IF(RTD("tos.rtd",,L$2,"."&amp;$A$43&amp;$L$1&amp;"C"&amp;$A50)="N/A",0,RTD("tos.rtd",,L$2,"."&amp;$A$43&amp;$L$1&amp;"C"&amp;$A50))</f>
        <v>2338</v>
      </c>
      <c r="M50" s="6">
        <f>-IF(RTD("tos.rtd",,M$2,"."&amp;$A$43&amp;$L$1&amp;"P"&amp;$A50)="N/A",0,RTD("tos.rtd",,M$2,"."&amp;$A$43&amp;$L$1&amp;"P"&amp;$A50))</f>
        <v>-3210</v>
      </c>
      <c r="N50" s="1">
        <f t="shared" si="31"/>
        <v>-1019</v>
      </c>
      <c r="O50" s="7">
        <f t="shared" si="24"/>
        <v>624</v>
      </c>
      <c r="P50" s="5">
        <f>IF(RTD("tos.rtd",,P$43,"."&amp;$A$43&amp;$H$42&amp;"C"&amp;$A50)="N/A",0,RTD("tos.rtd",,P$43,"."&amp;$A$43&amp;$H$42&amp;"C"&amp;$A50))</f>
        <v>2005</v>
      </c>
      <c r="Q50" s="6">
        <f>-IF(RTD("tos.rtd",,Q$43,"."&amp;$A$43&amp;$H$42&amp;"P"&amp;$A50)="N/A",0,RTD("tos.rtd",,Q$43,"."&amp;$A$43&amp;$H$42&amp;"P"&amp;$A50))</f>
        <v>-180</v>
      </c>
      <c r="R50" s="5">
        <f>IF(RTD("tos.rtd",,R$2,"."&amp;$A$43&amp;$J$1&amp;"C"&amp;$A50)="N/A",0,RTD("tos.rtd",,R$2,"."&amp;$A$43&amp;$J$1&amp;"C"&amp;$A50))</f>
        <v>1023</v>
      </c>
      <c r="S50" s="6">
        <f>-IF(RTD("tos.rtd",,S$2,"."&amp;$A$43&amp;$J$1&amp;"P"&amp;$A50)="N/A",0,RTD("tos.rtd",,S$2,"."&amp;$A$43&amp;$J$1&amp;"P"&amp;$A50))</f>
        <v>-60</v>
      </c>
      <c r="T50" s="5">
        <f>IF(RTD("tos.rtd",,T$2,"."&amp;$A$43&amp;$L$1&amp;"C"&amp;$A50)="N/A",0,RTD("tos.rtd",,T$2,"."&amp;$A$43&amp;$L$1&amp;"C"&amp;$A50))</f>
        <v>892</v>
      </c>
      <c r="U50" s="6">
        <f>-IF(RTD("tos.rtd",,U$2,"."&amp;$A$43&amp;$L$1&amp;"P"&amp;$A50)="N/A",0,RTD("tos.rtd",,U$2,"."&amp;$A$43&amp;$L$1&amp;"P"&amp;$A50))</f>
        <v>-1087</v>
      </c>
      <c r="V50" s="1">
        <f ca="1">+Hoja2!Y51</f>
        <v>14552</v>
      </c>
      <c r="W50" s="1">
        <f t="shared" ca="1" si="26"/>
        <v>17145</v>
      </c>
    </row>
    <row r="51" spans="1:23" ht="13.5" thickBot="1" x14ac:dyDescent="0.25">
      <c r="A51" s="2">
        <f t="shared" si="27"/>
        <v>623</v>
      </c>
      <c r="B51" s="3">
        <f t="shared" si="20"/>
        <v>341</v>
      </c>
      <c r="C51" s="3">
        <f t="shared" si="21"/>
        <v>-2476</v>
      </c>
      <c r="D51" s="3">
        <f t="shared" si="22"/>
        <v>-194</v>
      </c>
      <c r="E51" s="3">
        <f t="shared" si="29"/>
        <v>-2329</v>
      </c>
      <c r="F51" s="4">
        <f t="shared" si="30"/>
        <v>25684.368769406767</v>
      </c>
      <c r="H51" s="5">
        <f>IF(RTD("tos.rtd",,H$43,"."&amp;$A$43&amp;$H$42&amp;"C"&amp;$A51)="N/A",0,RTD("tos.rtd",,H$43,"."&amp;$A$43&amp;$H$42&amp;"C"&amp;$A51))</f>
        <v>1224</v>
      </c>
      <c r="I51" s="6">
        <f>-IF(RTD("tos.rtd",,I$43,"."&amp;$A$43&amp;$H$42&amp;"P"&amp;$A51)="N/A",0,RTD("tos.rtd",,I$43,"."&amp;$A$43&amp;$H$42&amp;"P"&amp;$A51))</f>
        <v>-883</v>
      </c>
      <c r="J51" s="5">
        <f>IF(RTD("tos.rtd",,J$2,"."&amp;$A$43&amp;$J$1&amp;"C"&amp;$A51)="N/A",0,RTD("tos.rtd",,J$2,"."&amp;$A$43&amp;$J$1&amp;"C"&amp;$A51))</f>
        <v>940</v>
      </c>
      <c r="K51" s="6">
        <f>-IF(RTD("tos.rtd",,K$2,"."&amp;$A$43&amp;$J$1&amp;"P"&amp;$A51)="N/A",0,RTD("tos.rtd",,K$2,"."&amp;$A$43&amp;$J$1&amp;"P"&amp;$A51))</f>
        <v>-3416</v>
      </c>
      <c r="L51" s="5">
        <f>IF(RTD("tos.rtd",,L$2,"."&amp;$A$43&amp;$L$1&amp;"C"&amp;$A51)="N/A",0,RTD("tos.rtd",,L$2,"."&amp;$A$43&amp;$L$1&amp;"C"&amp;$A51))</f>
        <v>5889</v>
      </c>
      <c r="M51" s="6">
        <f>-IF(RTD("tos.rtd",,M$2,"."&amp;$A$43&amp;$L$1&amp;"P"&amp;$A51)="N/A",0,RTD("tos.rtd",,M$2,"."&amp;$A$43&amp;$L$1&amp;"P"&amp;$A51))</f>
        <v>-6083</v>
      </c>
      <c r="N51" s="1">
        <f t="shared" si="31"/>
        <v>-2329</v>
      </c>
      <c r="O51" s="7">
        <f t="shared" si="24"/>
        <v>623</v>
      </c>
      <c r="P51" s="5">
        <f>IF(RTD("tos.rtd",,P$43,"."&amp;$A$43&amp;$H$42&amp;"C"&amp;$A51)="N/A",0,RTD("tos.rtd",,P$43,"."&amp;$A$43&amp;$H$42&amp;"C"&amp;$A51))</f>
        <v>3333</v>
      </c>
      <c r="Q51" s="6">
        <f>-IF(RTD("tos.rtd",,Q$43,"."&amp;$A$43&amp;$H$42&amp;"P"&amp;$A51)="N/A",0,RTD("tos.rtd",,Q$43,"."&amp;$A$43&amp;$H$42&amp;"P"&amp;$A51))</f>
        <v>-471</v>
      </c>
      <c r="R51" s="5">
        <f>IF(RTD("tos.rtd",,R$2,"."&amp;$A$43&amp;$J$1&amp;"C"&amp;$A51)="N/A",0,RTD("tos.rtd",,R$2,"."&amp;$A$43&amp;$J$1&amp;"C"&amp;$A51))</f>
        <v>1616</v>
      </c>
      <c r="S51" s="6">
        <f>-IF(RTD("tos.rtd",,S$2,"."&amp;$A$43&amp;$J$1&amp;"P"&amp;$A51)="N/A",0,RTD("tos.rtd",,S$2,"."&amp;$A$43&amp;$J$1&amp;"P"&amp;$A51))</f>
        <v>-101</v>
      </c>
      <c r="T51" s="5">
        <f>IF(RTD("tos.rtd",,T$2,"."&amp;$A$43&amp;$L$1&amp;"C"&amp;$A51)="N/A",0,RTD("tos.rtd",,T$2,"."&amp;$A$43&amp;$L$1&amp;"C"&amp;$A51))</f>
        <v>690</v>
      </c>
      <c r="U51" s="6">
        <f>-IF(RTD("tos.rtd",,U$2,"."&amp;$A$43&amp;$L$1&amp;"P"&amp;$A51)="N/A",0,RTD("tos.rtd",,U$2,"."&amp;$A$43&amp;$L$1&amp;"P"&amp;$A51))</f>
        <v>-536</v>
      </c>
      <c r="V51" s="1">
        <f ca="1">+Hoja2!Y52</f>
        <v>4436</v>
      </c>
      <c r="W51" s="1">
        <f t="shared" ca="1" si="26"/>
        <v>8967</v>
      </c>
    </row>
    <row r="52" spans="1:23" ht="13.5" thickBot="1" x14ac:dyDescent="0.25">
      <c r="A52" s="2">
        <f t="shared" si="27"/>
        <v>622</v>
      </c>
      <c r="B52" s="3">
        <f t="shared" si="20"/>
        <v>-1032</v>
      </c>
      <c r="C52" s="3">
        <f t="shared" si="21"/>
        <v>58</v>
      </c>
      <c r="D52" s="3">
        <f t="shared" si="22"/>
        <v>2335</v>
      </c>
      <c r="E52" s="3">
        <f t="shared" si="29"/>
        <v>1361</v>
      </c>
      <c r="F52" s="4">
        <f t="shared" si="30"/>
        <v>25643.141853243993</v>
      </c>
      <c r="H52" s="5">
        <f>IF(RTD("tos.rtd",,H$43,"."&amp;$A$43&amp;$H$42&amp;"C"&amp;$A52)="N/A",0,RTD("tos.rtd",,H$43,"."&amp;$A$43&amp;$H$42&amp;"C"&amp;$A52))</f>
        <v>1459</v>
      </c>
      <c r="I52" s="6">
        <f>-IF(RTD("tos.rtd",,I$43,"."&amp;$A$43&amp;$H$42&amp;"P"&amp;$A52)="N/A",0,RTD("tos.rtd",,I$43,"."&amp;$A$43&amp;$H$42&amp;"P"&amp;$A52))</f>
        <v>-2491</v>
      </c>
      <c r="J52" s="5">
        <f>IF(RTD("tos.rtd",,J$2,"."&amp;$A$43&amp;$J$1&amp;"C"&amp;$A52)="N/A",0,RTD("tos.rtd",,J$2,"."&amp;$A$43&amp;$J$1&amp;"C"&amp;$A52))</f>
        <v>1200</v>
      </c>
      <c r="K52" s="6">
        <f>-IF(RTD("tos.rtd",,K$2,"."&amp;$A$43&amp;$J$1&amp;"P"&amp;$A52)="N/A",0,RTD("tos.rtd",,K$2,"."&amp;$A$43&amp;$J$1&amp;"P"&amp;$A52))</f>
        <v>-1142</v>
      </c>
      <c r="L52" s="5">
        <f>IF(RTD("tos.rtd",,L$2,"."&amp;$A$43&amp;$L$1&amp;"C"&amp;$A52)="N/A",0,RTD("tos.rtd",,L$2,"."&amp;$A$43&amp;$L$1&amp;"C"&amp;$A52))</f>
        <v>4268</v>
      </c>
      <c r="M52" s="6">
        <f>-IF(RTD("tos.rtd",,M$2,"."&amp;$A$43&amp;$L$1&amp;"P"&amp;$A52)="N/A",0,RTD("tos.rtd",,M$2,"."&amp;$A$43&amp;$L$1&amp;"P"&amp;$A52))</f>
        <v>-1933</v>
      </c>
      <c r="N52" s="1">
        <f t="shared" si="31"/>
        <v>1361</v>
      </c>
      <c r="O52" s="7">
        <f t="shared" si="24"/>
        <v>622</v>
      </c>
      <c r="P52" s="5">
        <f>IF(RTD("tos.rtd",,P$43,"."&amp;$A$43&amp;$H$42&amp;"C"&amp;$A52)="N/A",0,RTD("tos.rtd",,P$43,"."&amp;$A$43&amp;$H$42&amp;"C"&amp;$A52))</f>
        <v>3190</v>
      </c>
      <c r="Q52" s="6">
        <f>-IF(RTD("tos.rtd",,Q$43,"."&amp;$A$43&amp;$H$42&amp;"P"&amp;$A52)="N/A",0,RTD("tos.rtd",,Q$43,"."&amp;$A$43&amp;$H$42&amp;"P"&amp;$A52))</f>
        <v>-317</v>
      </c>
      <c r="R52" s="5">
        <f>IF(RTD("tos.rtd",,R$2,"."&amp;$A$43&amp;$J$1&amp;"C"&amp;$A52)="N/A",0,RTD("tos.rtd",,R$2,"."&amp;$A$43&amp;$J$1&amp;"C"&amp;$A52))</f>
        <v>3302</v>
      </c>
      <c r="S52" s="6">
        <f>-IF(RTD("tos.rtd",,S$2,"."&amp;$A$43&amp;$J$1&amp;"P"&amp;$A52)="N/A",0,RTD("tos.rtd",,S$2,"."&amp;$A$43&amp;$J$1&amp;"P"&amp;$A52))</f>
        <v>-233</v>
      </c>
      <c r="T52" s="5">
        <f>IF(RTD("tos.rtd",,T$2,"."&amp;$A$43&amp;$L$1&amp;"C"&amp;$A52)="N/A",0,RTD("tos.rtd",,T$2,"."&amp;$A$43&amp;$L$1&amp;"C"&amp;$A52))</f>
        <v>385</v>
      </c>
      <c r="U52" s="6">
        <f>-IF(RTD("tos.rtd",,U$2,"."&amp;$A$43&amp;$L$1&amp;"P"&amp;$A52)="N/A",0,RTD("tos.rtd",,U$2,"."&amp;$A$43&amp;$L$1&amp;"P"&amp;$A52))</f>
        <v>-161</v>
      </c>
      <c r="V52" s="1">
        <f ca="1">+Hoja2!Y53</f>
        <v>4478</v>
      </c>
      <c r="W52" s="1">
        <f t="shared" ca="1" si="26"/>
        <v>10644</v>
      </c>
    </row>
    <row r="53" spans="1:23" ht="13.5" thickBot="1" x14ac:dyDescent="0.25">
      <c r="A53" s="2">
        <f t="shared" si="27"/>
        <v>621</v>
      </c>
      <c r="B53" s="3">
        <f t="shared" si="20"/>
        <v>202</v>
      </c>
      <c r="C53" s="3">
        <f t="shared" si="21"/>
        <v>428</v>
      </c>
      <c r="D53" s="3">
        <f t="shared" si="22"/>
        <v>693</v>
      </c>
      <c r="E53" s="3">
        <f t="shared" si="29"/>
        <v>1323</v>
      </c>
      <c r="F53" s="4">
        <f t="shared" si="30"/>
        <v>25601.914937081223</v>
      </c>
      <c r="H53" s="5">
        <f>IF(RTD("tos.rtd",,H$43,"."&amp;$A$43&amp;$H$42&amp;"C"&amp;$A53)="N/A",0,RTD("tos.rtd",,H$43,"."&amp;$A$43&amp;$H$42&amp;"C"&amp;$A53))</f>
        <v>1544</v>
      </c>
      <c r="I53" s="6">
        <f>-IF(RTD("tos.rtd",,I$43,"."&amp;$A$43&amp;$H$42&amp;"P"&amp;$A53)="N/A",0,RTD("tos.rtd",,I$43,"."&amp;$A$43&amp;$H$42&amp;"P"&amp;$A53))</f>
        <v>-1342</v>
      </c>
      <c r="J53" s="5">
        <f>IF(RTD("tos.rtd",,J$2,"."&amp;$A$43&amp;$J$1&amp;"C"&amp;$A53)="N/A",0,RTD("tos.rtd",,J$2,"."&amp;$A$43&amp;$J$1&amp;"C"&amp;$A53))</f>
        <v>1017</v>
      </c>
      <c r="K53" s="6">
        <f>-IF(RTD("tos.rtd",,K$2,"."&amp;$A$43&amp;$J$1&amp;"P"&amp;$A53)="N/A",0,RTD("tos.rtd",,K$2,"."&amp;$A$43&amp;$J$1&amp;"P"&amp;$A53))</f>
        <v>-589</v>
      </c>
      <c r="L53" s="5">
        <f>IF(RTD("tos.rtd",,L$2,"."&amp;$A$43&amp;$L$1&amp;"C"&amp;$A53)="N/A",0,RTD("tos.rtd",,L$2,"."&amp;$A$43&amp;$L$1&amp;"C"&amp;$A53))</f>
        <v>1712</v>
      </c>
      <c r="M53" s="6">
        <f>-IF(RTD("tos.rtd",,M$2,"."&amp;$A$43&amp;$L$1&amp;"P"&amp;$A53)="N/A",0,RTD("tos.rtd",,M$2,"."&amp;$A$43&amp;$L$1&amp;"P"&amp;$A53))</f>
        <v>-1019</v>
      </c>
      <c r="N53" s="1">
        <f t="shared" si="31"/>
        <v>1323</v>
      </c>
      <c r="O53" s="7">
        <f t="shared" si="24"/>
        <v>621</v>
      </c>
      <c r="P53" s="5">
        <f>IF(RTD("tos.rtd",,P$43,"."&amp;$A$43&amp;$H$42&amp;"C"&amp;$A53)="N/A",0,RTD("tos.rtd",,P$43,"."&amp;$A$43&amp;$H$42&amp;"C"&amp;$A53))</f>
        <v>5012</v>
      </c>
      <c r="Q53" s="6">
        <f>-IF(RTD("tos.rtd",,Q$43,"."&amp;$A$43&amp;$H$42&amp;"P"&amp;$A53)="N/A",0,RTD("tos.rtd",,Q$43,"."&amp;$A$43&amp;$H$42&amp;"P"&amp;$A53))</f>
        <v>-392</v>
      </c>
      <c r="R53" s="5">
        <f>IF(RTD("tos.rtd",,R$2,"."&amp;$A$43&amp;$J$1&amp;"C"&amp;$A53)="N/A",0,RTD("tos.rtd",,R$2,"."&amp;$A$43&amp;$J$1&amp;"C"&amp;$A53))</f>
        <v>1413</v>
      </c>
      <c r="S53" s="6">
        <f>-IF(RTD("tos.rtd",,S$2,"."&amp;$A$43&amp;$J$1&amp;"P"&amp;$A53)="N/A",0,RTD("tos.rtd",,S$2,"."&amp;$A$43&amp;$J$1&amp;"P"&amp;$A53))</f>
        <v>-98</v>
      </c>
      <c r="T53" s="5">
        <f>IF(RTD("tos.rtd",,T$2,"."&amp;$A$43&amp;$L$1&amp;"C"&amp;$A53)="N/A",0,RTD("tos.rtd",,T$2,"."&amp;$A$43&amp;$L$1&amp;"C"&amp;$A53))</f>
        <v>1145</v>
      </c>
      <c r="U53" s="6">
        <f>-IF(RTD("tos.rtd",,U$2,"."&amp;$A$43&amp;$L$1&amp;"P"&amp;$A53)="N/A",0,RTD("tos.rtd",,U$2,"."&amp;$A$43&amp;$L$1&amp;"P"&amp;$A53))</f>
        <v>-104</v>
      </c>
      <c r="V53" s="1">
        <f ca="1">+Hoja2!Y54</f>
        <v>6603</v>
      </c>
      <c r="W53" s="1">
        <f t="shared" ca="1" si="26"/>
        <v>13579</v>
      </c>
    </row>
    <row r="54" spans="1:23" ht="13.5" thickBot="1" x14ac:dyDescent="0.25">
      <c r="A54" s="2">
        <f t="shared" si="27"/>
        <v>620</v>
      </c>
      <c r="B54" s="3">
        <f t="shared" si="20"/>
        <v>277</v>
      </c>
      <c r="C54" s="3">
        <f t="shared" si="21"/>
        <v>673</v>
      </c>
      <c r="D54" s="3">
        <f t="shared" si="22"/>
        <v>6296</v>
      </c>
      <c r="E54" s="3">
        <f t="shared" si="29"/>
        <v>7246</v>
      </c>
      <c r="F54" s="4">
        <f t="shared" si="30"/>
        <v>25560.688020918449</v>
      </c>
      <c r="H54" s="5">
        <f>IF(RTD("tos.rtd",,H$43,"."&amp;$A$43&amp;$H$42&amp;"C"&amp;$A54)="N/A",0,RTD("tos.rtd",,H$43,"."&amp;$A$43&amp;$H$42&amp;"C"&amp;$A54))</f>
        <v>2617</v>
      </c>
      <c r="I54" s="6">
        <f>-IF(RTD("tos.rtd",,I$43,"."&amp;$A$43&amp;$H$42&amp;"P"&amp;$A54)="N/A",0,RTD("tos.rtd",,I$43,"."&amp;$A$43&amp;$H$42&amp;"P"&amp;$A54))</f>
        <v>-2340</v>
      </c>
      <c r="J54" s="5">
        <f>IF(RTD("tos.rtd",,J$2,"."&amp;$A$43&amp;$J$1&amp;"C"&amp;$A54)="N/A",0,RTD("tos.rtd",,J$2,"."&amp;$A$43&amp;$J$1&amp;"C"&amp;$A54))</f>
        <v>4581</v>
      </c>
      <c r="K54" s="6">
        <f>-IF(RTD("tos.rtd",,K$2,"."&amp;$A$43&amp;$J$1&amp;"P"&amp;$A54)="N/A",0,RTD("tos.rtd",,K$2,"."&amp;$A$43&amp;$J$1&amp;"P"&amp;$A54))</f>
        <v>-3908</v>
      </c>
      <c r="L54" s="5">
        <f>IF(RTD("tos.rtd",,L$2,"."&amp;$A$43&amp;$L$1&amp;"C"&amp;$A54)="N/A",0,RTD("tos.rtd",,L$2,"."&amp;$A$43&amp;$L$1&amp;"C"&amp;$A54))</f>
        <v>16577</v>
      </c>
      <c r="M54" s="6">
        <f>-IF(RTD("tos.rtd",,M$2,"."&amp;$A$43&amp;$L$1&amp;"P"&amp;$A54)="N/A",0,RTD("tos.rtd",,M$2,"."&amp;$A$43&amp;$L$1&amp;"P"&amp;$A54))</f>
        <v>-10281</v>
      </c>
      <c r="N54" s="1">
        <f t="shared" si="31"/>
        <v>7246</v>
      </c>
      <c r="O54" s="7">
        <f t="shared" si="24"/>
        <v>620</v>
      </c>
      <c r="P54" s="5">
        <f>IF(RTD("tos.rtd",,P$43,"."&amp;$A$43&amp;$H$42&amp;"C"&amp;$A54)="N/A",0,RTD("tos.rtd",,P$43,"."&amp;$A$43&amp;$H$42&amp;"C"&amp;$A54))</f>
        <v>12117</v>
      </c>
      <c r="Q54" s="6">
        <f>-IF(RTD("tos.rtd",,Q$43,"."&amp;$A$43&amp;$H$42&amp;"P"&amp;$A54)="N/A",0,RTD("tos.rtd",,Q$43,"."&amp;$A$43&amp;$H$42&amp;"P"&amp;$A54))</f>
        <v>-904</v>
      </c>
      <c r="R54" s="5">
        <f>IF(RTD("tos.rtd",,R$2,"."&amp;$A$43&amp;$J$1&amp;"C"&amp;$A54)="N/A",0,RTD("tos.rtd",,R$2,"."&amp;$A$43&amp;$J$1&amp;"C"&amp;$A54))</f>
        <v>14756</v>
      </c>
      <c r="S54" s="6">
        <f>-IF(RTD("tos.rtd",,S$2,"."&amp;$A$43&amp;$J$1&amp;"P"&amp;$A54)="N/A",0,RTD("tos.rtd",,S$2,"."&amp;$A$43&amp;$J$1&amp;"P"&amp;$A54))</f>
        <v>-1489</v>
      </c>
      <c r="T54" s="5">
        <f>IF(RTD("tos.rtd",,T$2,"."&amp;$A$43&amp;$L$1&amp;"C"&amp;$A54)="N/A",0,RTD("tos.rtd",,T$2,"."&amp;$A$43&amp;$L$1&amp;"C"&amp;$A54))</f>
        <v>11767</v>
      </c>
      <c r="U54" s="6">
        <f>-IF(RTD("tos.rtd",,U$2,"."&amp;$A$43&amp;$L$1&amp;"P"&amp;$A54)="N/A",0,RTD("tos.rtd",,U$2,"."&amp;$A$43&amp;$L$1&amp;"P"&amp;$A54))</f>
        <v>-2026</v>
      </c>
      <c r="V54" s="1">
        <f ca="1">+Hoja2!Y55</f>
        <v>23059</v>
      </c>
      <c r="W54" s="1">
        <f t="shared" ca="1" si="26"/>
        <v>57280</v>
      </c>
    </row>
    <row r="55" spans="1:23" ht="13.5" thickBot="1" x14ac:dyDescent="0.25">
      <c r="A55" s="2">
        <f t="shared" si="27"/>
        <v>619</v>
      </c>
      <c r="B55" s="3">
        <f t="shared" si="20"/>
        <v>342</v>
      </c>
      <c r="C55" s="3">
        <f t="shared" si="21"/>
        <v>-3524</v>
      </c>
      <c r="D55" s="3">
        <f t="shared" si="22"/>
        <v>-275</v>
      </c>
      <c r="E55" s="3">
        <f>SUM(B55:D55)</f>
        <v>-3457</v>
      </c>
      <c r="F55" s="4">
        <f>+$F$44/$A$44*A55</f>
        <v>25519.461104755679</v>
      </c>
      <c r="H55" s="5">
        <f>IF(RTD("tos.rtd",,H$43,"."&amp;$A$43&amp;$H$42&amp;"C"&amp;$A55)="N/A",0,RTD("tos.rtd",,H$43,"."&amp;$A$43&amp;$H$42&amp;"C"&amp;$A55))</f>
        <v>861</v>
      </c>
      <c r="I55" s="6">
        <f>-IF(RTD("tos.rtd",,I$43,"."&amp;$A$43&amp;$H$42&amp;"P"&amp;$A55)="N/A",0,RTD("tos.rtd",,I$43,"."&amp;$A$43&amp;$H$42&amp;"P"&amp;$A55))</f>
        <v>-519</v>
      </c>
      <c r="J55" s="5">
        <f>IF(RTD("tos.rtd",,J$2,"."&amp;$A$43&amp;$J$1&amp;"C"&amp;$A55)="N/A",0,RTD("tos.rtd",,J$2,"."&amp;$A$43&amp;$J$1&amp;"C"&amp;$A55))</f>
        <v>775</v>
      </c>
      <c r="K55" s="6">
        <f>-IF(RTD("tos.rtd",,K$2,"."&amp;$A$43&amp;$J$1&amp;"P"&amp;$A55)="N/A",0,RTD("tos.rtd",,K$2,"."&amp;$A$43&amp;$J$1&amp;"P"&amp;$A55))</f>
        <v>-4299</v>
      </c>
      <c r="L55" s="5">
        <f>IF(RTD("tos.rtd",,L$2,"."&amp;$A$43&amp;$L$1&amp;"C"&amp;$A55)="N/A",0,RTD("tos.rtd",,L$2,"."&amp;$A$43&amp;$L$1&amp;"C"&amp;$A55))</f>
        <v>901</v>
      </c>
      <c r="M55" s="6">
        <f>-IF(RTD("tos.rtd",,M$2,"."&amp;$A$43&amp;$L$1&amp;"P"&amp;$A55)="N/A",0,RTD("tos.rtd",,M$2,"."&amp;$A$43&amp;$L$1&amp;"P"&amp;$A55))</f>
        <v>-1176</v>
      </c>
      <c r="N55" s="1">
        <f>SUM(H55:M55)</f>
        <v>-3457</v>
      </c>
      <c r="O55" s="7">
        <f t="shared" si="24"/>
        <v>619</v>
      </c>
      <c r="P55" s="5">
        <f>IF(RTD("tos.rtd",,P$43,"."&amp;$A$43&amp;$H$42&amp;"C"&amp;$A55)="N/A",0,RTD("tos.rtd",,P$43,"."&amp;$A$43&amp;$H$42&amp;"C"&amp;$A55))</f>
        <v>5020</v>
      </c>
      <c r="Q55" s="6">
        <f>-IF(RTD("tos.rtd",,Q$43,"."&amp;$A$43&amp;$H$42&amp;"P"&amp;$A55)="N/A",0,RTD("tos.rtd",,Q$43,"."&amp;$A$43&amp;$H$42&amp;"P"&amp;$A55))</f>
        <v>-390</v>
      </c>
      <c r="R55" s="5">
        <f>IF(RTD("tos.rtd",,R$2,"."&amp;$A$43&amp;$J$1&amp;"C"&amp;$A55)="N/A",0,RTD("tos.rtd",,R$2,"."&amp;$A$43&amp;$J$1&amp;"C"&amp;$A55))</f>
        <v>1447</v>
      </c>
      <c r="S55" s="6">
        <f>-IF(RTD("tos.rtd",,S$2,"."&amp;$A$43&amp;$J$1&amp;"P"&amp;$A55)="N/A",0,RTD("tos.rtd",,S$2,"."&amp;$A$43&amp;$J$1&amp;"P"&amp;$A55))</f>
        <v>-388</v>
      </c>
      <c r="T55" s="5">
        <f>IF(RTD("tos.rtd",,T$2,"."&amp;$A$43&amp;$L$1&amp;"C"&amp;$A55)="N/A",0,RTD("tos.rtd",,T$2,"."&amp;$A$43&amp;$L$1&amp;"C"&amp;$A55))</f>
        <v>456</v>
      </c>
      <c r="U55" s="6">
        <f>-IF(RTD("tos.rtd",,U$2,"."&amp;$A$43&amp;$L$1&amp;"P"&amp;$A55)="N/A",0,RTD("tos.rtd",,U$2,"."&amp;$A$43&amp;$L$1&amp;"P"&amp;$A55))</f>
        <v>-90</v>
      </c>
      <c r="V55" s="1">
        <f ca="1">+Hoja2!Y56</f>
        <v>6698</v>
      </c>
      <c r="W55" s="1">
        <f t="shared" ca="1" si="26"/>
        <v>12753</v>
      </c>
    </row>
    <row r="56" spans="1:23" ht="13.5" thickBot="1" x14ac:dyDescent="0.25">
      <c r="A56" s="2">
        <f t="shared" si="27"/>
        <v>618</v>
      </c>
      <c r="B56" s="3">
        <f t="shared" si="20"/>
        <v>532</v>
      </c>
      <c r="C56" s="3">
        <f t="shared" si="21"/>
        <v>-3937</v>
      </c>
      <c r="D56" s="3">
        <f t="shared" si="22"/>
        <v>-418</v>
      </c>
      <c r="E56" s="3">
        <f t="shared" si="29"/>
        <v>-3823</v>
      </c>
      <c r="F56" s="4">
        <f t="shared" si="30"/>
        <v>25478.234188592905</v>
      </c>
      <c r="H56" s="5">
        <f>IF(RTD("tos.rtd",,H$43,"."&amp;$A$43&amp;$H$42&amp;"C"&amp;$A56)="N/A",0,RTD("tos.rtd",,H$43,"."&amp;$A$43&amp;$H$42&amp;"C"&amp;$A56))</f>
        <v>2405</v>
      </c>
      <c r="I56" s="6">
        <f>-IF(RTD("tos.rtd",,I$43,"."&amp;$A$43&amp;$H$42&amp;"P"&amp;$A56)="N/A",0,RTD("tos.rtd",,I$43,"."&amp;$A$43&amp;$H$42&amp;"P"&amp;$A56))</f>
        <v>-1873</v>
      </c>
      <c r="J56" s="5">
        <f>IF(RTD("tos.rtd",,J$2,"."&amp;$A$43&amp;$J$1&amp;"C"&amp;$A56)="N/A",0,RTD("tos.rtd",,J$2,"."&amp;$A$43&amp;$J$1&amp;"C"&amp;$A56))</f>
        <v>1585</v>
      </c>
      <c r="K56" s="6">
        <f>-IF(RTD("tos.rtd",,K$2,"."&amp;$A$43&amp;$J$1&amp;"P"&amp;$A56)="N/A",0,RTD("tos.rtd",,K$2,"."&amp;$A$43&amp;$J$1&amp;"P"&amp;$A56))</f>
        <v>-5522</v>
      </c>
      <c r="L56" s="5">
        <f>IF(RTD("tos.rtd",,L$2,"."&amp;$A$43&amp;$L$1&amp;"C"&amp;$A56)="N/A",0,RTD("tos.rtd",,L$2,"."&amp;$A$43&amp;$L$1&amp;"C"&amp;$A56))</f>
        <v>3741</v>
      </c>
      <c r="M56" s="6">
        <f>-IF(RTD("tos.rtd",,M$2,"."&amp;$A$43&amp;$L$1&amp;"P"&amp;$A56)="N/A",0,RTD("tos.rtd",,M$2,"."&amp;$A$43&amp;$L$1&amp;"P"&amp;$A56))</f>
        <v>-4159</v>
      </c>
      <c r="N56" s="1">
        <f t="shared" si="31"/>
        <v>-3823</v>
      </c>
      <c r="O56" s="7">
        <f t="shared" si="24"/>
        <v>618</v>
      </c>
      <c r="P56" s="5">
        <f>IF(RTD("tos.rtd",,P$43,"."&amp;$A$43&amp;$H$42&amp;"C"&amp;$A56)="N/A",0,RTD("tos.rtd",,P$43,"."&amp;$A$43&amp;$H$42&amp;"C"&amp;$A56))</f>
        <v>11416</v>
      </c>
      <c r="Q56" s="6">
        <f>-IF(RTD("tos.rtd",,Q$43,"."&amp;$A$43&amp;$H$42&amp;"P"&amp;$A56)="N/A",0,RTD("tos.rtd",,Q$43,"."&amp;$A$43&amp;$H$42&amp;"P"&amp;$A56))</f>
        <v>-1026</v>
      </c>
      <c r="R56" s="5">
        <f>IF(RTD("tos.rtd",,R$2,"."&amp;$A$43&amp;$J$1&amp;"C"&amp;$A56)="N/A",0,RTD("tos.rtd",,R$2,"."&amp;$A$43&amp;$J$1&amp;"C"&amp;$A56))</f>
        <v>2218</v>
      </c>
      <c r="S56" s="6">
        <f>-IF(RTD("tos.rtd",,S$2,"."&amp;$A$43&amp;$J$1&amp;"P"&amp;$A56)="N/A",0,RTD("tos.rtd",,S$2,"."&amp;$A$43&amp;$J$1&amp;"P"&amp;$A56))</f>
        <v>-494</v>
      </c>
      <c r="T56" s="5">
        <f>IF(RTD("tos.rtd",,T$2,"."&amp;$A$43&amp;$L$1&amp;"C"&amp;$A56)="N/A",0,RTD("tos.rtd",,T$2,"."&amp;$A$43&amp;$L$1&amp;"C"&amp;$A56))</f>
        <v>831</v>
      </c>
      <c r="U56" s="6">
        <f>-IF(RTD("tos.rtd",,U$2,"."&amp;$A$43&amp;$L$1&amp;"P"&amp;$A56)="N/A",0,RTD("tos.rtd",,U$2,"."&amp;$A$43&amp;$L$1&amp;"P"&amp;$A56))</f>
        <v>-2311</v>
      </c>
      <c r="V56" s="1">
        <f ca="1">+Hoja2!Y57</f>
        <v>17423</v>
      </c>
      <c r="W56" s="1">
        <f t="shared" ca="1" si="26"/>
        <v>28057</v>
      </c>
    </row>
    <row r="57" spans="1:23" ht="13.5" thickBot="1" x14ac:dyDescent="0.25">
      <c r="A57" s="2">
        <f t="shared" si="27"/>
        <v>617</v>
      </c>
      <c r="B57" s="3">
        <f t="shared" si="20"/>
        <v>797</v>
      </c>
      <c r="C57" s="3">
        <f t="shared" si="21"/>
        <v>-2539</v>
      </c>
      <c r="D57" s="3">
        <f t="shared" si="22"/>
        <v>-4280</v>
      </c>
      <c r="E57" s="3">
        <f t="shared" si="23"/>
        <v>-6022</v>
      </c>
      <c r="F57" s="4">
        <f t="shared" si="28"/>
        <v>25437.007272430135</v>
      </c>
      <c r="H57" s="5">
        <f>IF(RTD("tos.rtd",,H$43,"."&amp;$A$43&amp;$H$42&amp;"C"&amp;$A57)="N/A",0,RTD("tos.rtd",,H$43,"."&amp;$A$43&amp;$H$42&amp;"C"&amp;$A57))</f>
        <v>2021</v>
      </c>
      <c r="I57" s="6">
        <f>-IF(RTD("tos.rtd",,I$43,"."&amp;$A$43&amp;$H$42&amp;"P"&amp;$A57)="N/A",0,RTD("tos.rtd",,I$43,"."&amp;$A$43&amp;$H$42&amp;"P"&amp;$A57))</f>
        <v>-1224</v>
      </c>
      <c r="J57" s="5">
        <f>IF(RTD("tos.rtd",,J$2,"."&amp;$A$43&amp;$J$1&amp;"C"&amp;$A57)="N/A",0,RTD("tos.rtd",,J$2,"."&amp;$A$43&amp;$J$1&amp;"C"&amp;$A57))</f>
        <v>807</v>
      </c>
      <c r="K57" s="6">
        <f>-IF(RTD("tos.rtd",,K$2,"."&amp;$A$43&amp;$J$1&amp;"P"&amp;$A57)="N/A",0,RTD("tos.rtd",,K$2,"."&amp;$A$43&amp;$J$1&amp;"P"&amp;$A57))</f>
        <v>-3346</v>
      </c>
      <c r="L57" s="5">
        <f>IF(RTD("tos.rtd",,L$2,"."&amp;$A$43&amp;$L$1&amp;"C"&amp;$A57)="N/A",0,RTD("tos.rtd",,L$2,"."&amp;$A$43&amp;$L$1&amp;"C"&amp;$A57))</f>
        <v>748</v>
      </c>
      <c r="M57" s="6">
        <f>-IF(RTD("tos.rtd",,M$2,"."&amp;$A$43&amp;$L$1&amp;"P"&amp;$A57)="N/A",0,RTD("tos.rtd",,M$2,"."&amp;$A$43&amp;$L$1&amp;"P"&amp;$A57))</f>
        <v>-5028</v>
      </c>
      <c r="N57" s="1">
        <f t="shared" si="25"/>
        <v>-6022</v>
      </c>
      <c r="O57" s="7">
        <f t="shared" si="24"/>
        <v>617</v>
      </c>
      <c r="P57" s="5">
        <f>IF(RTD("tos.rtd",,P$43,"."&amp;$A$43&amp;$H$42&amp;"C"&amp;$A57)="N/A",0,RTD("tos.rtd",,P$43,"."&amp;$A$43&amp;$H$42&amp;"C"&amp;$A57))</f>
        <v>7060</v>
      </c>
      <c r="Q57" s="6">
        <f>-IF(RTD("tos.rtd",,Q$43,"."&amp;$A$43&amp;$H$42&amp;"P"&amp;$A57)="N/A",0,RTD("tos.rtd",,Q$43,"."&amp;$A$43&amp;$H$42&amp;"P"&amp;$A57))</f>
        <v>-265</v>
      </c>
      <c r="R57" s="5">
        <f>IF(RTD("tos.rtd",,R$2,"."&amp;$A$43&amp;$J$1&amp;"C"&amp;$A57)="N/A",0,RTD("tos.rtd",,R$2,"."&amp;$A$43&amp;$J$1&amp;"C"&amp;$A57))</f>
        <v>1749</v>
      </c>
      <c r="S57" s="6">
        <f>-IF(RTD("tos.rtd",,S$2,"."&amp;$A$43&amp;$J$1&amp;"P"&amp;$A57)="N/A",0,RTD("tos.rtd",,S$2,"."&amp;$A$43&amp;$J$1&amp;"P"&amp;$A57))</f>
        <v>-734</v>
      </c>
      <c r="T57" s="5">
        <f>IF(RTD("tos.rtd",,T$2,"."&amp;$A$43&amp;$L$1&amp;"C"&amp;$A57)="N/A",0,RTD("tos.rtd",,T$2,"."&amp;$A$43&amp;$L$1&amp;"C"&amp;$A57))</f>
        <v>349</v>
      </c>
      <c r="U57" s="6">
        <f>-IF(RTD("tos.rtd",,U$2,"."&amp;$A$43&amp;$L$1&amp;"P"&amp;$A57)="N/A",0,RTD("tos.rtd",,U$2,"."&amp;$A$43&amp;$L$1&amp;"P"&amp;$A57))</f>
        <v>-4490</v>
      </c>
      <c r="V57" s="1">
        <f ca="1">+Hoja2!Y58</f>
        <v>8982</v>
      </c>
      <c r="W57" s="1">
        <f t="shared" ca="1" si="26"/>
        <v>12651</v>
      </c>
    </row>
    <row r="58" spans="1:23" ht="13.5" thickBot="1" x14ac:dyDescent="0.25">
      <c r="A58" s="2">
        <f t="shared" si="27"/>
        <v>616</v>
      </c>
      <c r="B58" s="3">
        <f t="shared" si="20"/>
        <v>223</v>
      </c>
      <c r="C58" s="3">
        <f t="shared" si="21"/>
        <v>-3806</v>
      </c>
      <c r="D58" s="3">
        <f t="shared" si="22"/>
        <v>-1450</v>
      </c>
      <c r="E58" s="3">
        <f t="shared" si="23"/>
        <v>-5033</v>
      </c>
      <c r="F58" s="4">
        <f t="shared" si="28"/>
        <v>25395.780356267365</v>
      </c>
      <c r="H58" s="5">
        <f>IF(RTD("tos.rtd",,H$43,"."&amp;$A$43&amp;$H$42&amp;"C"&amp;$A58)="N/A",0,RTD("tos.rtd",,H$43,"."&amp;$A$43&amp;$H$42&amp;"C"&amp;$A58))</f>
        <v>1634</v>
      </c>
      <c r="I58" s="6">
        <f>-IF(RTD("tos.rtd",,I$43,"."&amp;$A$43&amp;$H$42&amp;"P"&amp;$A58)="N/A",0,RTD("tos.rtd",,I$43,"."&amp;$A$43&amp;$H$42&amp;"P"&amp;$A58))</f>
        <v>-1411</v>
      </c>
      <c r="J58" s="5">
        <v>1</v>
      </c>
      <c r="K58" s="6">
        <f>-IF(RTD("tos.rtd",,K$2,"."&amp;$A$43&amp;$J$1&amp;"P"&amp;$A58)="N/A",0,RTD("tos.rtd",,K$2,"."&amp;$A$43&amp;$J$1&amp;"P"&amp;$A58))</f>
        <v>-3807</v>
      </c>
      <c r="L58" s="5">
        <f>IF(RTD("tos.rtd",,L$2,"."&amp;$A$43&amp;$L$1&amp;"C"&amp;$A58)="N/A",0,RTD("tos.rtd",,L$2,"."&amp;$A$43&amp;$L$1&amp;"C"&amp;$A58))</f>
        <v>1661</v>
      </c>
      <c r="M58" s="6">
        <f>-IF(RTD("tos.rtd",,M$2,"."&amp;$A$43&amp;$L$1&amp;"P"&amp;$A58)="N/A",0,RTD("tos.rtd",,M$2,"."&amp;$A$43&amp;$L$1&amp;"P"&amp;$A58))</f>
        <v>-3111</v>
      </c>
      <c r="N58" s="1">
        <f t="shared" si="25"/>
        <v>-5033</v>
      </c>
      <c r="O58" s="7">
        <f t="shared" si="24"/>
        <v>616</v>
      </c>
      <c r="P58" s="5">
        <f>IF(RTD("tos.rtd",,P$43,"."&amp;$A$43&amp;$H$42&amp;"C"&amp;$A58)="N/A",0,RTD("tos.rtd",,P$43,"."&amp;$A$43&amp;$H$42&amp;"C"&amp;$A58))</f>
        <v>6588</v>
      </c>
      <c r="Q58" s="6">
        <f>-IF(RTD("tos.rtd",,Q$43,"."&amp;$A$43&amp;$H$42&amp;"P"&amp;$A58)="N/A",0,RTD("tos.rtd",,Q$43,"."&amp;$A$43&amp;$H$42&amp;"P"&amp;$A58))</f>
        <v>-734</v>
      </c>
      <c r="R58" s="5">
        <f>IF(RTD("tos.rtd",,R$2,"."&amp;$A$43&amp;$J$1&amp;"C"&amp;$A58)="N/A",0,RTD("tos.rtd",,R$2,"."&amp;$A$43&amp;$J$1&amp;"C"&amp;$A58))</f>
        <v>1876</v>
      </c>
      <c r="S58" s="6">
        <f>-IF(RTD("tos.rtd",,S$2,"."&amp;$A$43&amp;$J$1&amp;"P"&amp;$A58)="N/A",0,RTD("tos.rtd",,S$2,"."&amp;$A$43&amp;$J$1&amp;"P"&amp;$A58))</f>
        <v>-801</v>
      </c>
      <c r="T58" s="5">
        <f>IF(RTD("tos.rtd",,T$2,"."&amp;$A$43&amp;$L$1&amp;"C"&amp;$A58)="N/A",0,RTD("tos.rtd",,T$2,"."&amp;$A$43&amp;$L$1&amp;"C"&amp;$A58))</f>
        <v>336</v>
      </c>
      <c r="U58" s="6">
        <f>-IF(RTD("tos.rtd",,U$2,"."&amp;$A$43&amp;$L$1&amp;"P"&amp;$A58)="N/A",0,RTD("tos.rtd",,U$2,"."&amp;$A$43&amp;$L$1&amp;"P"&amp;$A58))</f>
        <v>-129</v>
      </c>
      <c r="V58" s="1">
        <f ca="1">+Hoja2!Y59</f>
        <v>9261</v>
      </c>
      <c r="W58" s="1">
        <f t="shared" ca="1" si="26"/>
        <v>16397</v>
      </c>
    </row>
    <row r="59" spans="1:23" ht="13.5" thickBot="1" x14ac:dyDescent="0.25">
      <c r="A59" s="2">
        <f t="shared" si="27"/>
        <v>615</v>
      </c>
      <c r="B59" s="3">
        <f t="shared" si="20"/>
        <v>1356</v>
      </c>
      <c r="C59" s="3">
        <f t="shared" si="21"/>
        <v>-19362</v>
      </c>
      <c r="D59" s="3">
        <f t="shared" si="22"/>
        <v>-18796</v>
      </c>
      <c r="E59" s="3">
        <f>SUM(B59:D59)</f>
        <v>-36802</v>
      </c>
      <c r="F59" s="4">
        <f>+$F$44/$A$44*A59</f>
        <v>25354.553440104592</v>
      </c>
      <c r="H59" s="5">
        <f>IF(RTD("tos.rtd",,H$43,"."&amp;$A$43&amp;$H$42&amp;"C"&amp;$A59)="N/A",0,RTD("tos.rtd",,H$43,"."&amp;$A$43&amp;$H$42&amp;"C"&amp;$A59))</f>
        <v>3128</v>
      </c>
      <c r="I59" s="6">
        <f>-IF(RTD("tos.rtd",,I$43,"."&amp;$A$43&amp;$H$42&amp;"P"&amp;$A59)="N/A",0,RTD("tos.rtd",,I$43,"."&amp;$A$43&amp;$H$42&amp;"P"&amp;$A59))</f>
        <v>-1772</v>
      </c>
      <c r="J59" s="5">
        <f>IF(RTD("tos.rtd",,J$2,"."&amp;$A$43&amp;$J$1&amp;"C"&amp;$A59)="N/A",0,RTD("tos.rtd",,J$2,"."&amp;$A$43&amp;$J$1&amp;"C"&amp;$A59))</f>
        <v>4514</v>
      </c>
      <c r="K59" s="6">
        <f>-IF(RTD("tos.rtd",,K$2,"."&amp;$A$43&amp;$J$1&amp;"P"&amp;$A59)="N/A",0,RTD("tos.rtd",,K$2,"."&amp;$A$43&amp;$J$1&amp;"P"&amp;$A59))</f>
        <v>-23876</v>
      </c>
      <c r="L59" s="5">
        <f>IF(RTD("tos.rtd",,L$2,"."&amp;$A$43&amp;$L$1&amp;"C"&amp;$A59)="N/A",0,RTD("tos.rtd",,L$2,"."&amp;$A$43&amp;$L$1&amp;"C"&amp;$A59))</f>
        <v>7846</v>
      </c>
      <c r="M59" s="6">
        <f>-IF(RTD("tos.rtd",,M$2,"."&amp;$A$43&amp;$L$1&amp;"P"&amp;$A59)="N/A",0,RTD("tos.rtd",,M$2,"."&amp;$A$43&amp;$L$1&amp;"P"&amp;$A59))</f>
        <v>-26642</v>
      </c>
      <c r="N59" s="1">
        <f>SUM(H59:M59)</f>
        <v>-36802</v>
      </c>
      <c r="O59" s="7">
        <f t="shared" si="24"/>
        <v>615</v>
      </c>
      <c r="P59" s="5">
        <f>IF(RTD("tos.rtd",,P$43,"."&amp;$A$43&amp;$H$42&amp;"C"&amp;$A59)="N/A",0,RTD("tos.rtd",,P$43,"."&amp;$A$43&amp;$H$42&amp;"C"&amp;$A59))</f>
        <v>31315</v>
      </c>
      <c r="Q59" s="6">
        <f>-IF(RTD("tos.rtd",,Q$43,"."&amp;$A$43&amp;$H$42&amp;"P"&amp;$A59)="N/A",0,RTD("tos.rtd",,Q$43,"."&amp;$A$43&amp;$H$42&amp;"P"&amp;$A59))</f>
        <v>-1690</v>
      </c>
      <c r="R59" s="5">
        <f>IF(RTD("tos.rtd",,R$2,"."&amp;$A$43&amp;$J$1&amp;"C"&amp;$A59)="N/A",0,RTD("tos.rtd",,R$2,"."&amp;$A$43&amp;$J$1&amp;"C"&amp;$A59))</f>
        <v>13405</v>
      </c>
      <c r="S59" s="6">
        <f>-IF(RTD("tos.rtd",,S$2,"."&amp;$A$43&amp;$J$1&amp;"P"&amp;$A59)="N/A",0,RTD("tos.rtd",,S$2,"."&amp;$A$43&amp;$J$1&amp;"P"&amp;$A59))</f>
        <v>-3913</v>
      </c>
      <c r="T59" s="5">
        <f>IF(RTD("tos.rtd",,T$2,"."&amp;$A$43&amp;$L$1&amp;"C"&amp;$A59)="N/A",0,RTD("tos.rtd",,T$2,"."&amp;$A$43&amp;$L$1&amp;"C"&amp;$A59))</f>
        <v>3208</v>
      </c>
      <c r="U59" s="6">
        <f>-IF(RTD("tos.rtd",,U$2,"."&amp;$A$43&amp;$L$1&amp;"P"&amp;$A59)="N/A",0,RTD("tos.rtd",,U$2,"."&amp;$A$43&amp;$L$1&amp;"P"&amp;$A59))</f>
        <v>-14440</v>
      </c>
      <c r="V59" s="1">
        <f ca="1">+Hoja2!Y60</f>
        <v>50490</v>
      </c>
      <c r="W59" s="1">
        <f t="shared" ca="1" si="26"/>
        <v>78375</v>
      </c>
    </row>
    <row r="60" spans="1:23" ht="13.5" thickBot="1" x14ac:dyDescent="0.25">
      <c r="A60" s="2">
        <f t="shared" si="27"/>
        <v>614</v>
      </c>
      <c r="B60" s="3">
        <f t="shared" si="20"/>
        <v>141</v>
      </c>
      <c r="C60" s="3">
        <f t="shared" si="21"/>
        <v>438</v>
      </c>
      <c r="D60" s="3">
        <f t="shared" si="22"/>
        <v>245</v>
      </c>
      <c r="E60" s="3">
        <f t="shared" si="23"/>
        <v>824</v>
      </c>
      <c r="F60" s="4">
        <f>+$F$44/$A$44*A60</f>
        <v>25313.326523941822</v>
      </c>
      <c r="H60" s="5">
        <f>IF(RTD("tos.rtd",,H$43,"."&amp;$A$43&amp;$H$42&amp;"C"&amp;$A60)="N/A",0,RTD("tos.rtd",,H$43,"."&amp;$A$43&amp;$H$42&amp;"C"&amp;$A60))</f>
        <v>1437</v>
      </c>
      <c r="I60" s="6">
        <f>-IF(RTD("tos.rtd",,I$43,"."&amp;$A$43&amp;$H$42&amp;"P"&amp;$A60)="N/A",0,RTD("tos.rtd",,I$43,"."&amp;$A$43&amp;$H$42&amp;"P"&amp;$A60))</f>
        <v>-1296</v>
      </c>
      <c r="J60" s="5">
        <f>IF(RTD("tos.rtd",,J$2,"."&amp;$A$43&amp;$J$1&amp;"C"&amp;$A60)="N/A",0,RTD("tos.rtd",,J$2,"."&amp;$A$43&amp;$J$1&amp;"C"&amp;$A60))</f>
        <v>1002</v>
      </c>
      <c r="K60" s="6">
        <f>-IF(RTD("tos.rtd",,K$2,"."&amp;$A$43&amp;$J$1&amp;"P"&amp;$A60)="N/A",0,RTD("tos.rtd",,K$2,"."&amp;$A$43&amp;$J$1&amp;"P"&amp;$A60))</f>
        <v>-564</v>
      </c>
      <c r="L60" s="5">
        <f>IF(RTD("tos.rtd",,L$2,"."&amp;$A$43&amp;$L$1&amp;"C"&amp;$A60)="N/A",0,RTD("tos.rtd",,L$2,"."&amp;$A$43&amp;$L$1&amp;"C"&amp;$A60))</f>
        <v>1516</v>
      </c>
      <c r="M60" s="6">
        <f>-IF(RTD("tos.rtd",,M$2,"."&amp;$A$43&amp;$L$1&amp;"P"&amp;$A60)="N/A",0,RTD("tos.rtd",,M$2,"."&amp;$A$43&amp;$L$1&amp;"P"&amp;$A60))</f>
        <v>-1271</v>
      </c>
      <c r="N60" s="1">
        <f t="shared" si="25"/>
        <v>824</v>
      </c>
      <c r="O60" s="7">
        <f t="shared" si="24"/>
        <v>614</v>
      </c>
      <c r="P60" s="5">
        <f>IF(RTD("tos.rtd",,P$43,"."&amp;$A$43&amp;$H$42&amp;"C"&amp;$A60)="N/A",0,RTD("tos.rtd",,P$43,"."&amp;$A$43&amp;$H$42&amp;"C"&amp;$A60))</f>
        <v>29389</v>
      </c>
      <c r="Q60" s="6">
        <f>-IF(RTD("tos.rtd",,Q$43,"."&amp;$A$43&amp;$H$42&amp;"P"&amp;$A60)="N/A",0,RTD("tos.rtd",,Q$43,"."&amp;$A$43&amp;$H$42&amp;"P"&amp;$A60))</f>
        <v>-1183</v>
      </c>
      <c r="R60" s="5">
        <f>IF(RTD("tos.rtd",,R$2,"."&amp;$A$43&amp;$J$1&amp;"C"&amp;$A60)="N/A",0,RTD("tos.rtd",,R$2,"."&amp;$A$43&amp;$J$1&amp;"C"&amp;$A60))</f>
        <v>1796</v>
      </c>
      <c r="S60" s="6">
        <f>-IF(RTD("tos.rtd",,S$2,"."&amp;$A$43&amp;$J$1&amp;"P"&amp;$A60)="N/A",0,RTD("tos.rtd",,S$2,"."&amp;$A$43&amp;$J$1&amp;"P"&amp;$A60))</f>
        <v>-386</v>
      </c>
      <c r="T60" s="5">
        <f>IF(RTD("tos.rtd",,T$2,"."&amp;$A$43&amp;$L$1&amp;"C"&amp;$A60)="N/A",0,RTD("tos.rtd",,T$2,"."&amp;$A$43&amp;$L$1&amp;"C"&amp;$A60))</f>
        <v>320</v>
      </c>
      <c r="U60" s="6">
        <f>-IF(RTD("tos.rtd",,U$2,"."&amp;$A$43&amp;$L$1&amp;"P"&amp;$A60)="N/A",0,RTD("tos.rtd",,U$2,"."&amp;$A$43&amp;$L$1&amp;"P"&amp;$A60))</f>
        <v>-288</v>
      </c>
      <c r="V60" s="1">
        <f ca="1">+Hoja2!Y61</f>
        <v>30483</v>
      </c>
      <c r="W60" s="1">
        <f t="shared" ca="1" si="26"/>
        <v>60131</v>
      </c>
    </row>
    <row r="61" spans="1:23" ht="13.5" thickBot="1" x14ac:dyDescent="0.25">
      <c r="A61" s="2">
        <f t="shared" si="27"/>
        <v>613</v>
      </c>
      <c r="B61" s="3">
        <f t="shared" si="20"/>
        <v>2140</v>
      </c>
      <c r="C61" s="3">
        <f t="shared" si="21"/>
        <v>470</v>
      </c>
      <c r="D61" s="3">
        <f t="shared" si="22"/>
        <v>-1792</v>
      </c>
      <c r="E61" s="3">
        <f t="shared" si="23"/>
        <v>818</v>
      </c>
      <c r="F61" s="4">
        <f t="shared" si="28"/>
        <v>25272.099607779048</v>
      </c>
      <c r="H61" s="5">
        <f>IF(RTD("tos.rtd",,H$43,"."&amp;$A$43&amp;$H$42&amp;"C"&amp;$A61)="N/A",0,RTD("tos.rtd",,H$43,"."&amp;$A$43&amp;$H$42&amp;"C"&amp;$A61))</f>
        <v>3174</v>
      </c>
      <c r="I61" s="6">
        <f>-IF(RTD("tos.rtd",,I$43,"."&amp;$A$43&amp;$H$42&amp;"P"&amp;$A61)="N/A",0,RTD("tos.rtd",,I$43,"."&amp;$A$43&amp;$H$42&amp;"P"&amp;$A61))</f>
        <v>-1034</v>
      </c>
      <c r="J61" s="5">
        <f>IF(RTD("tos.rtd",,J$2,"."&amp;$A$43&amp;$J$1&amp;"C"&amp;$A61)="N/A",0,RTD("tos.rtd",,J$2,"."&amp;$A$43&amp;$J$1&amp;"C"&amp;$A61))</f>
        <v>1950</v>
      </c>
      <c r="K61" s="6">
        <f>-IF(RTD("tos.rtd",,K$2,"."&amp;$A$43&amp;$J$1&amp;"P"&amp;$A61)="N/A",0,RTD("tos.rtd",,K$2,"."&amp;$A$43&amp;$J$1&amp;"P"&amp;$A61))</f>
        <v>-1480</v>
      </c>
      <c r="L61" s="5">
        <f>IF(RTD("tos.rtd",,L$2,"."&amp;$A$43&amp;$L$1&amp;"C"&amp;$A61)="N/A",0,RTD("tos.rtd",,L$2,"."&amp;$A$43&amp;$L$1&amp;"C"&amp;$A61))</f>
        <v>637</v>
      </c>
      <c r="M61" s="6">
        <f>-IF(RTD("tos.rtd",,M$2,"."&amp;$A$43&amp;$L$1&amp;"P"&amp;$A61)="N/A",0,RTD("tos.rtd",,M$2,"."&amp;$A$43&amp;$L$1&amp;"P"&amp;$A61))</f>
        <v>-2429</v>
      </c>
      <c r="N61" s="1">
        <f t="shared" si="25"/>
        <v>818</v>
      </c>
      <c r="O61" s="7">
        <f t="shared" si="24"/>
        <v>613</v>
      </c>
      <c r="P61" s="5">
        <f>IF(RTD("tos.rtd",,P$43,"."&amp;$A$43&amp;$H$42&amp;"C"&amp;$A61)="N/A",0,RTD("tos.rtd",,P$43,"."&amp;$A$43&amp;$H$42&amp;"C"&amp;$A61))</f>
        <v>9578</v>
      </c>
      <c r="Q61" s="6">
        <f>-IF(RTD("tos.rtd",,Q$43,"."&amp;$A$43&amp;$H$42&amp;"P"&amp;$A61)="N/A",0,RTD("tos.rtd",,Q$43,"."&amp;$A$43&amp;$H$42&amp;"P"&amp;$A61))</f>
        <v>-843</v>
      </c>
      <c r="R61" s="5">
        <f>IF(RTD("tos.rtd",,R$2,"."&amp;$A$43&amp;$J$1&amp;"C"&amp;$A61)="N/A",0,RTD("tos.rtd",,R$2,"."&amp;$A$43&amp;$J$1&amp;"C"&amp;$A61))</f>
        <v>5373</v>
      </c>
      <c r="S61" s="6">
        <f>-IF(RTD("tos.rtd",,S$2,"."&amp;$A$43&amp;$J$1&amp;"P"&amp;$A61)="N/A",0,RTD("tos.rtd",,S$2,"."&amp;$A$43&amp;$J$1&amp;"P"&amp;$A61))</f>
        <v>-1743</v>
      </c>
      <c r="T61" s="5">
        <f>IF(RTD("tos.rtd",,T$2,"."&amp;$A$43&amp;$L$1&amp;"C"&amp;$A61)="N/A",0,RTD("tos.rtd",,T$2,"."&amp;$A$43&amp;$L$1&amp;"C"&amp;$A61))</f>
        <v>439</v>
      </c>
      <c r="U61" s="6">
        <f>-IF(RTD("tos.rtd",,U$2,"."&amp;$A$43&amp;$L$1&amp;"P"&amp;$A61)="N/A",0,RTD("tos.rtd",,U$2,"."&amp;$A$43&amp;$L$1&amp;"P"&amp;$A61))</f>
        <v>-233</v>
      </c>
      <c r="V61" s="1">
        <f ca="1">+Hoja2!Y62</f>
        <v>16084</v>
      </c>
      <c r="W61" s="1">
        <f t="shared" ca="1" si="26"/>
        <v>28655</v>
      </c>
    </row>
    <row r="62" spans="1:23" ht="13.5" thickBot="1" x14ac:dyDescent="0.25">
      <c r="A62" s="2">
        <f t="shared" si="27"/>
        <v>612</v>
      </c>
      <c r="B62" s="66">
        <f t="shared" si="20"/>
        <v>113</v>
      </c>
      <c r="C62" s="66">
        <f t="shared" si="21"/>
        <v>-118</v>
      </c>
      <c r="D62" s="66">
        <f t="shared" si="22"/>
        <v>-1397</v>
      </c>
      <c r="E62" s="66">
        <f t="shared" si="23"/>
        <v>-1402</v>
      </c>
      <c r="F62" s="4">
        <f t="shared" si="28"/>
        <v>25230.872691616278</v>
      </c>
      <c r="H62" s="11">
        <f>IF(RTD("tos.rtd",,H$43,"."&amp;$A$43&amp;$H$42&amp;"C"&amp;$A62)="N/A",0,RTD("tos.rtd",,H$43,"."&amp;$A$43&amp;$H$42&amp;"C"&amp;$A62))</f>
        <v>2258</v>
      </c>
      <c r="I62" s="27">
        <f>-IF(RTD("tos.rtd",,I$43,"."&amp;$A$43&amp;$H$42&amp;"P"&amp;$A62)="N/A",0,RTD("tos.rtd",,I$43,"."&amp;$A$43&amp;$H$42&amp;"P"&amp;$A62))</f>
        <v>-2145</v>
      </c>
      <c r="J62" s="11">
        <f>IF(RTD("tos.rtd",,J$2,"."&amp;$A$43&amp;$J$1&amp;"C"&amp;$A62)="N/A",0,RTD("tos.rtd",,J$2,"."&amp;$A$43&amp;$J$1&amp;"C"&amp;$A62))</f>
        <v>1706</v>
      </c>
      <c r="K62" s="27">
        <f>-IF(RTD("tos.rtd",,K$2,"."&amp;$A$43&amp;$J$1&amp;"P"&amp;$A62)="N/A",0,RTD("tos.rtd",,K$2,"."&amp;$A$43&amp;$J$1&amp;"P"&amp;$A62))</f>
        <v>-1824</v>
      </c>
      <c r="L62" s="11">
        <f>IF(RTD("tos.rtd",,L$2,"."&amp;$A$43&amp;$L$1&amp;"C"&amp;$A62)="N/A",0,RTD("tos.rtd",,L$2,"."&amp;$A$43&amp;$L$1&amp;"C"&amp;$A62))</f>
        <v>2708</v>
      </c>
      <c r="M62" s="27">
        <f>-IF(RTD("tos.rtd",,M$2,"."&amp;$A$43&amp;$L$1&amp;"P"&amp;$A62)="N/A",0,RTD("tos.rtd",,M$2,"."&amp;$A$43&amp;$L$1&amp;"P"&amp;$A62))</f>
        <v>-4105</v>
      </c>
      <c r="N62" s="1">
        <f t="shared" si="25"/>
        <v>-1402</v>
      </c>
      <c r="O62" s="7">
        <f t="shared" si="24"/>
        <v>612</v>
      </c>
      <c r="P62" s="11">
        <f>IF(RTD("tos.rtd",,P$43,"."&amp;$A$43&amp;$H$42&amp;"C"&amp;$A62)="N/A",0,RTD("tos.rtd",,P$43,"."&amp;$A$43&amp;$H$42&amp;"C"&amp;$A62))</f>
        <v>19483</v>
      </c>
      <c r="Q62" s="27">
        <f>-IF(RTD("tos.rtd",,Q$43,"."&amp;$A$43&amp;$H$42&amp;"P"&amp;$A62)="N/A",0,RTD("tos.rtd",,Q$43,"."&amp;$A$43&amp;$H$42&amp;"P"&amp;$A62))</f>
        <v>-2844</v>
      </c>
      <c r="R62" s="11">
        <f>IF(RTD("tos.rtd",,R$2,"."&amp;$A$43&amp;$J$1&amp;"C"&amp;$A62)="N/A",0,RTD("tos.rtd",,R$2,"."&amp;$A$43&amp;$J$1&amp;"C"&amp;$A62))</f>
        <v>2899</v>
      </c>
      <c r="S62" s="27">
        <f>-IF(RTD("tos.rtd",,S$2,"."&amp;$A$43&amp;$J$1&amp;"P"&amp;$A62)="N/A",0,RTD("tos.rtd",,S$2,"."&amp;$A$43&amp;$J$1&amp;"P"&amp;$A62))</f>
        <v>-750</v>
      </c>
      <c r="T62" s="11">
        <f>IF(RTD("tos.rtd",,T$2,"."&amp;$A$43&amp;$L$1&amp;"C"&amp;$A62)="N/A",0,RTD("tos.rtd",,T$2,"."&amp;$A$43&amp;$L$1&amp;"C"&amp;$A62))</f>
        <v>1329</v>
      </c>
      <c r="U62" s="27">
        <f>-IF(RTD("tos.rtd",,U$2,"."&amp;$A$43&amp;$L$1&amp;"P"&amp;$A62)="N/A",0,RTD("tos.rtd",,U$2,"."&amp;$A$43&amp;$L$1&amp;"P"&amp;$A62))</f>
        <v>-1458</v>
      </c>
      <c r="V62" s="1">
        <f ca="1">+Hoja2!Y63</f>
        <v>21610</v>
      </c>
      <c r="W62" s="1">
        <f t="shared" ca="1" si="26"/>
        <v>40269</v>
      </c>
    </row>
    <row r="63" spans="1:23" ht="13.5" thickBot="1" x14ac:dyDescent="0.25">
      <c r="A63" s="2">
        <f t="shared" si="27"/>
        <v>611</v>
      </c>
      <c r="B63" s="3">
        <f t="shared" si="20"/>
        <v>653</v>
      </c>
      <c r="C63" s="3">
        <f t="shared" si="21"/>
        <v>-160</v>
      </c>
      <c r="D63" s="3">
        <f t="shared" si="22"/>
        <v>-3001</v>
      </c>
      <c r="E63" s="3">
        <f t="shared" si="23"/>
        <v>-2508</v>
      </c>
      <c r="F63" s="4">
        <f>+$F$44/$A$44*A63</f>
        <v>25189.645775453504</v>
      </c>
      <c r="H63" s="5">
        <f>IF(RTD("tos.rtd",,H$43,"."&amp;$A$43&amp;$H$42&amp;"C"&amp;$A63)="N/A",0,RTD("tos.rtd",,H$43,"."&amp;$A$43&amp;$H$42&amp;"C"&amp;$A63))</f>
        <v>1355</v>
      </c>
      <c r="I63" s="6">
        <f>-IF(RTD("tos.rtd",,I$43,"."&amp;$A$43&amp;$H$42&amp;"P"&amp;$A63)="N/A",0,RTD("tos.rtd",,I$43,"."&amp;$A$43&amp;$H$42&amp;"P"&amp;$A63))</f>
        <v>-702</v>
      </c>
      <c r="J63" s="5">
        <f>IF(RTD("tos.rtd",,J$2,"."&amp;$A$43&amp;$J$1&amp;"C"&amp;$A63)="N/A",0,RTD("tos.rtd",,J$2,"."&amp;$A$43&amp;$J$1&amp;"C"&amp;$A63))</f>
        <v>576</v>
      </c>
      <c r="K63" s="6">
        <f>-IF(RTD("tos.rtd",,K$2,"."&amp;$A$43&amp;$J$1&amp;"P"&amp;$A63)="N/A",0,RTD("tos.rtd",,K$2,"."&amp;$A$43&amp;$J$1&amp;"P"&amp;$A63))</f>
        <v>-736</v>
      </c>
      <c r="L63" s="5">
        <f>IF(RTD("tos.rtd",,L$2,"."&amp;$A$43&amp;$L$1&amp;"C"&amp;$A63)="N/A",0,RTD("tos.rtd",,L$2,"."&amp;$A$43&amp;$L$1&amp;"C"&amp;$A63))</f>
        <v>1416</v>
      </c>
      <c r="M63" s="6">
        <f>-IF(RTD("tos.rtd",,M$2,"."&amp;$A$43&amp;$L$1&amp;"P"&amp;$A63)="N/A",0,RTD("tos.rtd",,M$2,"."&amp;$A$43&amp;$L$1&amp;"P"&amp;$A63))</f>
        <v>-4417</v>
      </c>
      <c r="N63" s="1">
        <f t="shared" si="25"/>
        <v>-2508</v>
      </c>
      <c r="O63" s="7">
        <f t="shared" si="24"/>
        <v>611</v>
      </c>
      <c r="P63" s="5">
        <f>IF(RTD("tos.rtd",,P$43,"."&amp;$A$43&amp;$H$42&amp;"C"&amp;$A63)="N/A",0,RTD("tos.rtd",,P$43,"."&amp;$A$43&amp;$H$42&amp;"C"&amp;$A63))</f>
        <v>12427</v>
      </c>
      <c r="Q63" s="6">
        <f>-IF(RTD("tos.rtd",,Q$43,"."&amp;$A$43&amp;$H$42&amp;"P"&amp;$A63)="N/A",0,RTD("tos.rtd",,Q$43,"."&amp;$A$43&amp;$H$42&amp;"P"&amp;$A63))</f>
        <v>-3043</v>
      </c>
      <c r="R63" s="5">
        <f>IF(RTD("tos.rtd",,R$2,"."&amp;$A$43&amp;$J$1&amp;"C"&amp;$A63)="N/A",0,RTD("tos.rtd",,R$2,"."&amp;$A$43&amp;$J$1&amp;"C"&amp;$A63))</f>
        <v>3287</v>
      </c>
      <c r="S63" s="6">
        <f>-IF(RTD("tos.rtd",,S$2,"."&amp;$A$43&amp;$J$1&amp;"P"&amp;$A63)="N/A",0,RTD("tos.rtd",,S$2,"."&amp;$A$43&amp;$J$1&amp;"P"&amp;$A63))</f>
        <v>-385</v>
      </c>
      <c r="T63" s="5">
        <f>IF(RTD("tos.rtd",,T$2,"."&amp;$A$43&amp;$L$1&amp;"C"&amp;$A63)="N/A",0,RTD("tos.rtd",,T$2,"."&amp;$A$43&amp;$L$1&amp;"C"&amp;$A63))</f>
        <v>1414</v>
      </c>
      <c r="U63" s="6">
        <f>-IF(RTD("tos.rtd",,U$2,"."&amp;$A$43&amp;$L$1&amp;"P"&amp;$A63)="N/A",0,RTD("tos.rtd",,U$2,"."&amp;$A$43&amp;$L$1&amp;"P"&amp;$A63))</f>
        <v>-473</v>
      </c>
      <c r="V63" s="1">
        <f ca="1">+Hoja2!Y64</f>
        <v>12684</v>
      </c>
      <c r="W63" s="1">
        <f t="shared" ca="1" si="26"/>
        <v>25911</v>
      </c>
    </row>
    <row r="64" spans="1:23" ht="13.5" thickBot="1" x14ac:dyDescent="0.25">
      <c r="A64" s="2">
        <f t="shared" si="27"/>
        <v>610</v>
      </c>
      <c r="B64" s="3">
        <f t="shared" si="20"/>
        <v>-3749</v>
      </c>
      <c r="C64" s="3">
        <f t="shared" si="21"/>
        <v>-34837</v>
      </c>
      <c r="D64" s="3">
        <f t="shared" si="22"/>
        <v>-3677</v>
      </c>
      <c r="E64" s="3">
        <f t="shared" si="23"/>
        <v>-42263</v>
      </c>
      <c r="F64" s="30">
        <f t="shared" si="28"/>
        <v>25148.418859290734</v>
      </c>
      <c r="G64" s="10"/>
      <c r="H64" s="5">
        <f>IF(RTD("tos.rtd",,H$43,"."&amp;$A$43&amp;$H$42&amp;"C"&amp;$A64)="N/A",0,RTD("tos.rtd",,H$43,"."&amp;$A$43&amp;$H$42&amp;"C"&amp;$A64))</f>
        <v>732</v>
      </c>
      <c r="I64" s="6">
        <f>-IF(RTD("tos.rtd",,I$43,"."&amp;$A$43&amp;$H$42&amp;"P"&amp;$A64)="N/A",0,RTD("tos.rtd",,I$43,"."&amp;$A$43&amp;$H$42&amp;"P"&amp;$A64))</f>
        <v>-4481</v>
      </c>
      <c r="J64" s="5">
        <f>IF(RTD("tos.rtd",,J$2,"."&amp;$A$43&amp;$J$1&amp;"C"&amp;$A64)="N/A",0,RTD("tos.rtd",,J$2,"."&amp;$A$43&amp;$J$1&amp;"C"&amp;$A64))</f>
        <v>1386</v>
      </c>
      <c r="K64" s="6">
        <f>-IF(RTD("tos.rtd",,K$2,"."&amp;$A$43&amp;$J$1&amp;"P"&amp;$A64)="N/A",0,RTD("tos.rtd",,K$2,"."&amp;$A$43&amp;$J$1&amp;"P"&amp;$A64))</f>
        <v>-36223</v>
      </c>
      <c r="L64" s="5">
        <f>IF(RTD("tos.rtd",,L$2,"."&amp;$A$43&amp;$L$1&amp;"C"&amp;$A64)="N/A",0,RTD("tos.rtd",,L$2,"."&amp;$A$43&amp;$L$1&amp;"C"&amp;$A64))</f>
        <v>19066</v>
      </c>
      <c r="M64" s="6">
        <f>-IF(RTD("tos.rtd",,M$2,"."&amp;$A$43&amp;$L$1&amp;"P"&amp;$A64)="N/A",0,RTD("tos.rtd",,M$2,"."&amp;$A$43&amp;$L$1&amp;"P"&amp;$A64))</f>
        <v>-22743</v>
      </c>
      <c r="N64" s="1">
        <f t="shared" si="25"/>
        <v>-42263</v>
      </c>
      <c r="O64" s="7">
        <f t="shared" si="24"/>
        <v>610</v>
      </c>
      <c r="P64" s="5">
        <f>IF(RTD("tos.rtd",,P$43,"."&amp;$A$43&amp;$H$42&amp;"C"&amp;$A64)="N/A",0,RTD("tos.rtd",,P$43,"."&amp;$A$43&amp;$H$42&amp;"C"&amp;$A64))</f>
        <v>63612</v>
      </c>
      <c r="Q64" s="6">
        <f>-IF(RTD("tos.rtd",,Q$43,"."&amp;$A$43&amp;$H$42&amp;"P"&amp;$A64)="N/A",0,RTD("tos.rtd",,Q$43,"."&amp;$A$43&amp;$H$42&amp;"P"&amp;$A64))</f>
        <v>-11384</v>
      </c>
      <c r="R64" s="5">
        <f>IF(RTD("tos.rtd",,R$2,"."&amp;$A$43&amp;$J$1&amp;"C"&amp;$A64)="N/A",0,RTD("tos.rtd",,R$2,"."&amp;$A$43&amp;$J$1&amp;"C"&amp;$A64))</f>
        <v>11323</v>
      </c>
      <c r="S64" s="6">
        <f>-IF(RTD("tos.rtd",,S$2,"."&amp;$A$43&amp;$J$1&amp;"P"&amp;$A64)="N/A",0,RTD("tos.rtd",,S$2,"."&amp;$A$43&amp;$J$1&amp;"P"&amp;$A64))</f>
        <v>-33995</v>
      </c>
      <c r="T64" s="5">
        <f>IF(RTD("tos.rtd",,T$2,"."&amp;$A$43&amp;$L$1&amp;"C"&amp;$A64)="N/A",0,RTD("tos.rtd",,T$2,"."&amp;$A$43&amp;$L$1&amp;"C"&amp;$A64))</f>
        <v>8481</v>
      </c>
      <c r="U64" s="6">
        <f>-IF(RTD("tos.rtd",,U$2,"."&amp;$A$43&amp;$L$1&amp;"P"&amp;$A64)="N/A",0,RTD("tos.rtd",,U$2,"."&amp;$A$43&amp;$L$1&amp;"P"&amp;$A64))</f>
        <v>-6955</v>
      </c>
      <c r="V64" s="1">
        <f ca="1">+Hoja2!Y65</f>
        <v>85113</v>
      </c>
      <c r="W64" s="1">
        <f t="shared" ca="1" si="26"/>
        <v>116195</v>
      </c>
    </row>
    <row r="65" spans="1:23" ht="13.5" thickBot="1" x14ac:dyDescent="0.25">
      <c r="A65" s="2">
        <f t="shared" si="27"/>
        <v>609</v>
      </c>
      <c r="B65" s="3">
        <f t="shared" si="20"/>
        <v>-509</v>
      </c>
      <c r="C65" s="3">
        <f t="shared" si="21"/>
        <v>-1372</v>
      </c>
      <c r="D65" s="3">
        <f t="shared" si="22"/>
        <v>-2893</v>
      </c>
      <c r="E65" s="3">
        <f>SUM(B65:D65)</f>
        <v>-4774</v>
      </c>
      <c r="F65" s="4">
        <f>+$F$44/$A$44*A65</f>
        <v>25107.19194312796</v>
      </c>
      <c r="H65" s="5">
        <f>IF(RTD("tos.rtd",,H$43,"."&amp;$A$43&amp;$H$42&amp;"C"&amp;$A65)="N/A",0,RTD("tos.rtd",,H$43,"."&amp;$A$43&amp;$H$42&amp;"C"&amp;$A65))</f>
        <v>298</v>
      </c>
      <c r="I65" s="6">
        <f>-IF(RTD("tos.rtd",,I$43,"."&amp;$A$43&amp;$H$42&amp;"P"&amp;$A65)="N/A",0,RTD("tos.rtd",,I$43,"."&amp;$A$43&amp;$H$42&amp;"P"&amp;$A65))</f>
        <v>-807</v>
      </c>
      <c r="J65" s="5">
        <f>IF(RTD("tos.rtd",,J$2,"."&amp;$A$43&amp;$J$1&amp;"C"&amp;$A65)="N/A",0,RTD("tos.rtd",,J$2,"."&amp;$A$43&amp;$J$1&amp;"C"&amp;$A65))</f>
        <v>448</v>
      </c>
      <c r="K65" s="6">
        <f>-IF(RTD("tos.rtd",,K$2,"."&amp;$A$43&amp;$J$1&amp;"P"&amp;$A65)="N/A",0,RTD("tos.rtd",,K$2,"."&amp;$A$43&amp;$J$1&amp;"P"&amp;$A65))</f>
        <v>-1820</v>
      </c>
      <c r="L65" s="5">
        <f>IF(RTD("tos.rtd",,L$2,"."&amp;$A$43&amp;$L$1&amp;"C"&amp;$A65)="N/A",0,RTD("tos.rtd",,L$2,"."&amp;$A$43&amp;$L$1&amp;"C"&amp;$A65))</f>
        <v>301</v>
      </c>
      <c r="M65" s="6">
        <f>-IF(RTD("tos.rtd",,M$2,"."&amp;$A$43&amp;$L$1&amp;"P"&amp;$A65)="N/A",0,RTD("tos.rtd",,M$2,"."&amp;$A$43&amp;$L$1&amp;"P"&amp;$A65))</f>
        <v>-3194</v>
      </c>
      <c r="N65" s="1">
        <f>SUM(H65:M65)</f>
        <v>-4774</v>
      </c>
      <c r="O65" s="7">
        <f t="shared" si="24"/>
        <v>609</v>
      </c>
      <c r="P65" s="5">
        <f>IF(RTD("tos.rtd",,P$43,"."&amp;$A$43&amp;$H$42&amp;"C"&amp;$A65)="N/A",0,RTD("tos.rtd",,P$43,"."&amp;$A$43&amp;$H$42&amp;"C"&amp;$A65))</f>
        <v>23977</v>
      </c>
      <c r="Q65" s="6">
        <f>-IF(RTD("tos.rtd",,Q$43,"."&amp;$A$43&amp;$H$42&amp;"P"&amp;$A65)="N/A",0,RTD("tos.rtd",,Q$43,"."&amp;$A$43&amp;$H$42&amp;"P"&amp;$A65))</f>
        <v>-11865</v>
      </c>
      <c r="R65" s="5">
        <f>IF(RTD("tos.rtd",,R$2,"."&amp;$A$43&amp;$J$1&amp;"C"&amp;$A65)="N/A",0,RTD("tos.rtd",,R$2,"."&amp;$A$43&amp;$J$1&amp;"C"&amp;$A65))</f>
        <v>4255</v>
      </c>
      <c r="S65" s="6">
        <f>-IF(RTD("tos.rtd",,S$2,"."&amp;$A$43&amp;$J$1&amp;"P"&amp;$A65)="N/A",0,RTD("tos.rtd",,S$2,"."&amp;$A$43&amp;$J$1&amp;"P"&amp;$A65))</f>
        <v>-709</v>
      </c>
      <c r="T65" s="5">
        <f>IF(RTD("tos.rtd",,T$2,"."&amp;$A$43&amp;$L$1&amp;"C"&amp;$A65)="N/A",0,RTD("tos.rtd",,T$2,"."&amp;$A$43&amp;$L$1&amp;"C"&amp;$A65))</f>
        <v>516</v>
      </c>
      <c r="U65" s="6">
        <f>-IF(RTD("tos.rtd",,U$2,"."&amp;$A$43&amp;$L$1&amp;"P"&amp;$A65)="N/A",0,RTD("tos.rtd",,U$2,"."&amp;$A$43&amp;$L$1&amp;"P"&amp;$A65))</f>
        <v>-287</v>
      </c>
      <c r="V65" s="1">
        <f ca="1">+Hoja2!Y66</f>
        <v>15835</v>
      </c>
      <c r="W65" s="1">
        <f t="shared" ca="1" si="26"/>
        <v>31722</v>
      </c>
    </row>
    <row r="66" spans="1:23" ht="13.5" thickBot="1" x14ac:dyDescent="0.25">
      <c r="A66" s="2">
        <f t="shared" si="27"/>
        <v>608</v>
      </c>
      <c r="B66" s="3">
        <f t="shared" si="20"/>
        <v>-680</v>
      </c>
      <c r="C66" s="3">
        <f t="shared" si="21"/>
        <v>-1469</v>
      </c>
      <c r="D66" s="3">
        <f t="shared" si="22"/>
        <v>198</v>
      </c>
      <c r="E66" s="3">
        <f>SUM(B66:D66)</f>
        <v>-1951</v>
      </c>
      <c r="F66" s="4">
        <f>+$F$44/$A$44*A66</f>
        <v>25065.96502696519</v>
      </c>
      <c r="H66" s="5">
        <f>IF(RTD("tos.rtd",,H$43,"."&amp;$A$43&amp;$H$42&amp;"C"&amp;$A66)="N/A",0,RTD("tos.rtd",,H$43,"."&amp;$A$43&amp;$H$42&amp;"C"&amp;$A66))</f>
        <v>230</v>
      </c>
      <c r="I66" s="6">
        <f>-IF(RTD("tos.rtd",,I$43,"."&amp;$A$43&amp;$H$42&amp;"P"&amp;$A66)="N/A",0,RTD("tos.rtd",,I$43,"."&amp;$A$43&amp;$H$42&amp;"P"&amp;$A66))</f>
        <v>-910</v>
      </c>
      <c r="J66" s="5">
        <f>IF(RTD("tos.rtd",,J$2,"."&amp;$A$43&amp;$J$1&amp;"C"&amp;$A66)="N/A",0,RTD("tos.rtd",,J$2,"."&amp;$A$43&amp;$J$1&amp;"C"&amp;$A66))</f>
        <v>408</v>
      </c>
      <c r="K66" s="6">
        <f>-IF(RTD("tos.rtd",,K$2,"."&amp;$A$43&amp;$J$1&amp;"P"&amp;$A66)="N/A",0,RTD("tos.rtd",,K$2,"."&amp;$A$43&amp;$J$1&amp;"P"&amp;$A66))</f>
        <v>-1877</v>
      </c>
      <c r="L66" s="5">
        <f>IF(RTD("tos.rtd",,L$2,"."&amp;$A$43&amp;$L$1&amp;"C"&amp;$A66)="N/A",0,RTD("tos.rtd",,L$2,"."&amp;$A$43&amp;$L$1&amp;"C"&amp;$A66))</f>
        <v>2881</v>
      </c>
      <c r="M66" s="6">
        <f>-IF(RTD("tos.rtd",,M$2,"."&amp;$A$43&amp;$L$1&amp;"P"&amp;$A66)="N/A",0,RTD("tos.rtd",,M$2,"."&amp;$A$43&amp;$L$1&amp;"P"&amp;$A66))</f>
        <v>-2683</v>
      </c>
      <c r="N66" s="1">
        <f>SUM(H66:M66)</f>
        <v>-1951</v>
      </c>
      <c r="O66" s="7">
        <f t="shared" si="24"/>
        <v>608</v>
      </c>
      <c r="P66" s="5">
        <f>IF(RTD("tos.rtd",,P$43,"."&amp;$A$43&amp;$H$42&amp;"C"&amp;$A66)="N/A",0,RTD("tos.rtd",,P$43,"."&amp;$A$43&amp;$H$42&amp;"C"&amp;$A66))</f>
        <v>32463</v>
      </c>
      <c r="Q66" s="6">
        <f>-IF(RTD("tos.rtd",,Q$43,"."&amp;$A$43&amp;$H$42&amp;"P"&amp;$A66)="N/A",0,RTD("tos.rtd",,Q$43,"."&amp;$A$43&amp;$H$42&amp;"P"&amp;$A66))</f>
        <v>-21641</v>
      </c>
      <c r="R66" s="5">
        <f>IF(RTD("tos.rtd",,R$2,"."&amp;$A$43&amp;$J$1&amp;"C"&amp;$A66)="N/A",0,RTD("tos.rtd",,R$2,"."&amp;$A$43&amp;$J$1&amp;"C"&amp;$A66))</f>
        <v>4950</v>
      </c>
      <c r="S66" s="6">
        <f>-IF(RTD("tos.rtd",,S$2,"."&amp;$A$43&amp;$J$1&amp;"P"&amp;$A66)="N/A",0,RTD("tos.rtd",,S$2,"."&amp;$A$43&amp;$J$1&amp;"P"&amp;$A66))</f>
        <v>-3224</v>
      </c>
      <c r="T66" s="5">
        <f>IF(RTD("tos.rtd",,T$2,"."&amp;$A$43&amp;$L$1&amp;"C"&amp;$A66)="N/A",0,RTD("tos.rtd",,T$2,"."&amp;$A$43&amp;$L$1&amp;"C"&amp;$A66))</f>
        <v>1964</v>
      </c>
      <c r="U66" s="6">
        <f>-IF(RTD("tos.rtd",,U$2,"."&amp;$A$43&amp;$L$1&amp;"P"&amp;$A66)="N/A",0,RTD("tos.rtd",,U$2,"."&amp;$A$43&amp;$L$1&amp;"P"&amp;$A66))</f>
        <v>-5499</v>
      </c>
      <c r="V66" s="1">
        <f ca="1">+Hoja2!Y67</f>
        <v>16427</v>
      </c>
      <c r="W66" s="1">
        <f t="shared" ca="1" si="26"/>
        <v>25440</v>
      </c>
    </row>
    <row r="67" spans="1:23" ht="13.5" thickBot="1" x14ac:dyDescent="0.25">
      <c r="A67" s="2">
        <f t="shared" si="27"/>
        <v>607</v>
      </c>
      <c r="B67" s="3">
        <f t="shared" si="20"/>
        <v>-1230</v>
      </c>
      <c r="C67" s="3">
        <f t="shared" si="21"/>
        <v>-368</v>
      </c>
      <c r="D67" s="3">
        <f t="shared" si="22"/>
        <v>-1280</v>
      </c>
      <c r="E67" s="3">
        <f>SUM(B67:D67)</f>
        <v>-2878</v>
      </c>
      <c r="F67" s="4">
        <f>+$F$44/$A$44*A67</f>
        <v>25024.738110802416</v>
      </c>
      <c r="H67" s="5">
        <f>IF(RTD("tos.rtd",,H$43,"."&amp;$A$43&amp;$H$42&amp;"C"&amp;$A67)="N/A",0,RTD("tos.rtd",,H$43,"."&amp;$A$43&amp;$H$42&amp;"C"&amp;$A67))</f>
        <v>143</v>
      </c>
      <c r="I67" s="6">
        <f>-IF(RTD("tos.rtd",,I$43,"."&amp;$A$43&amp;$H$42&amp;"P"&amp;$A67)="N/A",0,RTD("tos.rtd",,I$43,"."&amp;$A$43&amp;$H$42&amp;"P"&amp;$A67))</f>
        <v>-1373</v>
      </c>
      <c r="J67" s="5">
        <f>IF(RTD("tos.rtd",,J$2,"."&amp;$A$43&amp;$J$1&amp;"C"&amp;$A67)="N/A",0,RTD("tos.rtd",,J$2,"."&amp;$A$43&amp;$J$1&amp;"C"&amp;$A67))</f>
        <v>630</v>
      </c>
      <c r="K67" s="6">
        <f>-IF(RTD("tos.rtd",,K$2,"."&amp;$A$43&amp;$J$1&amp;"P"&amp;$A67)="N/A",0,RTD("tos.rtd",,K$2,"."&amp;$A$43&amp;$J$1&amp;"P"&amp;$A67))</f>
        <v>-998</v>
      </c>
      <c r="L67" s="5">
        <f>IF(RTD("tos.rtd",,L$2,"."&amp;$A$43&amp;$L$1&amp;"C"&amp;$A67)="N/A",0,RTD("tos.rtd",,L$2,"."&amp;$A$43&amp;$L$1&amp;"C"&amp;$A67))</f>
        <v>169</v>
      </c>
      <c r="M67" s="6">
        <f>-IF(RTD("tos.rtd",,M$2,"."&amp;$A$43&amp;$L$1&amp;"P"&amp;$A67)="N/A",0,RTD("tos.rtd",,M$2,"."&amp;$A$43&amp;$L$1&amp;"P"&amp;$A67))</f>
        <v>-1449</v>
      </c>
      <c r="N67" s="1">
        <f>SUM(H67:M67)</f>
        <v>-2878</v>
      </c>
      <c r="O67" s="7">
        <f t="shared" si="24"/>
        <v>607</v>
      </c>
      <c r="P67" s="5">
        <f>IF(RTD("tos.rtd",,P$43,"."&amp;$A$43&amp;$H$42&amp;"C"&amp;$A67)="N/A",0,RTD("tos.rtd",,P$43,"."&amp;$A$43&amp;$H$42&amp;"C"&amp;$A67))</f>
        <v>23488</v>
      </c>
      <c r="Q67" s="6">
        <f>-IF(RTD("tos.rtd",,Q$43,"."&amp;$A$43&amp;$H$42&amp;"P"&amp;$A67)="N/A",0,RTD("tos.rtd",,Q$43,"."&amp;$A$43&amp;$H$42&amp;"P"&amp;$A67))</f>
        <v>-22183</v>
      </c>
      <c r="R67" s="5">
        <f>IF(RTD("tos.rtd",,R$2,"."&amp;$A$43&amp;$J$1&amp;"C"&amp;$A67)="N/A",0,RTD("tos.rtd",,R$2,"."&amp;$A$43&amp;$J$1&amp;"C"&amp;$A67))</f>
        <v>4619</v>
      </c>
      <c r="S67" s="6">
        <f>-IF(RTD("tos.rtd",,S$2,"."&amp;$A$43&amp;$J$1&amp;"P"&amp;$A67)="N/A",0,RTD("tos.rtd",,S$2,"."&amp;$A$43&amp;$J$1&amp;"P"&amp;$A67))</f>
        <v>-2019</v>
      </c>
      <c r="T67" s="5">
        <f>IF(RTD("tos.rtd",,T$2,"."&amp;$A$43&amp;$L$1&amp;"C"&amp;$A67)="N/A",0,RTD("tos.rtd",,T$2,"."&amp;$A$43&amp;$L$1&amp;"C"&amp;$A67))</f>
        <v>1189</v>
      </c>
      <c r="U67" s="6">
        <f>-IF(RTD("tos.rtd",,U$2,"."&amp;$A$43&amp;$L$1&amp;"P"&amp;$A67)="N/A",0,RTD("tos.rtd",,U$2,"."&amp;$A$43&amp;$L$1&amp;"P"&amp;$A67))</f>
        <v>-984</v>
      </c>
      <c r="V67" s="1">
        <f ca="1">+Hoja2!Y68</f>
        <v>5425</v>
      </c>
      <c r="W67" s="1">
        <f t="shared" ca="1" si="26"/>
        <v>9535</v>
      </c>
    </row>
    <row r="68" spans="1:23" ht="13.5" thickBot="1" x14ac:dyDescent="0.25">
      <c r="A68" s="2">
        <f t="shared" si="27"/>
        <v>606</v>
      </c>
      <c r="B68" s="3">
        <f t="shared" si="20"/>
        <v>-1077</v>
      </c>
      <c r="C68" s="3">
        <f t="shared" si="21"/>
        <v>-718</v>
      </c>
      <c r="D68" s="3">
        <f t="shared" si="22"/>
        <v>1966</v>
      </c>
      <c r="E68" s="3">
        <f>SUM(B68:D68)</f>
        <v>171</v>
      </c>
      <c r="F68" s="4">
        <f>+$F$44/$A$44*A68</f>
        <v>24983.511194639646</v>
      </c>
      <c r="H68" s="5">
        <f>IF(RTD("tos.rtd",,H$43,"."&amp;$A$43&amp;$H$42&amp;"C"&amp;$A68)="N/A",0,RTD("tos.rtd",,H$43,"."&amp;$A$43&amp;$H$42&amp;"C"&amp;$A68))</f>
        <v>89</v>
      </c>
      <c r="I68" s="6">
        <f>-IF(RTD("tos.rtd",,I$43,"."&amp;$A$43&amp;$H$42&amp;"P"&amp;$A68)="N/A",0,RTD("tos.rtd",,I$43,"."&amp;$A$43&amp;$H$42&amp;"P"&amp;$A68))</f>
        <v>-1166</v>
      </c>
      <c r="J68" s="5">
        <f>IF(RTD("tos.rtd",,J$2,"."&amp;$A$43&amp;$J$1&amp;"C"&amp;$A68)="N/A",0,RTD("tos.rtd",,J$2,"."&amp;$A$43&amp;$J$1&amp;"C"&amp;$A68))</f>
        <v>376</v>
      </c>
      <c r="K68" s="6">
        <f>-IF(RTD("tos.rtd",,K$2,"."&amp;$A$43&amp;$J$1&amp;"P"&amp;$A68)="N/A",0,RTD("tos.rtd",,K$2,"."&amp;$A$43&amp;$J$1&amp;"P"&amp;$A68))</f>
        <v>-1094</v>
      </c>
      <c r="L68" s="5">
        <f>IF(RTD("tos.rtd",,L$2,"."&amp;$A$43&amp;$L$1&amp;"C"&amp;$A68)="N/A",0,RTD("tos.rtd",,L$2,"."&amp;$A$43&amp;$L$1&amp;"C"&amp;$A68))</f>
        <v>4613</v>
      </c>
      <c r="M68" s="6">
        <f>-IF(RTD("tos.rtd",,M$2,"."&amp;$A$43&amp;$L$1&amp;"P"&amp;$A68)="N/A",0,RTD("tos.rtd",,M$2,"."&amp;$A$43&amp;$L$1&amp;"P"&amp;$A68))</f>
        <v>-2647</v>
      </c>
      <c r="N68" s="1">
        <f>SUM(H68:M68)</f>
        <v>171</v>
      </c>
      <c r="O68" s="7">
        <f t="shared" si="24"/>
        <v>606</v>
      </c>
      <c r="P68" s="5">
        <f>IF(RTD("tos.rtd",,P$43,"."&amp;$A$43&amp;$H$42&amp;"C"&amp;$A68)="N/A",0,RTD("tos.rtd",,P$43,"."&amp;$A$43&amp;$H$42&amp;"C"&amp;$A68))</f>
        <v>26543</v>
      </c>
      <c r="Q68" s="6">
        <f>-IF(RTD("tos.rtd",,Q$43,"."&amp;$A$43&amp;$H$42&amp;"P"&amp;$A68)="N/A",0,RTD("tos.rtd",,Q$43,"."&amp;$A$43&amp;$H$42&amp;"P"&amp;$A68))</f>
        <v>-16782</v>
      </c>
      <c r="R68" s="5">
        <f>IF(RTD("tos.rtd",,R$2,"."&amp;$A$43&amp;$J$1&amp;"C"&amp;$A68)="N/A",0,RTD("tos.rtd",,R$2,"."&amp;$A$43&amp;$J$1&amp;"C"&amp;$A68))</f>
        <v>2797</v>
      </c>
      <c r="S68" s="6">
        <f>-IF(RTD("tos.rtd",,S$2,"."&amp;$A$43&amp;$J$1&amp;"P"&amp;$A68)="N/A",0,RTD("tos.rtd",,S$2,"."&amp;$A$43&amp;$J$1&amp;"P"&amp;$A68))</f>
        <v>-2876</v>
      </c>
      <c r="T68" s="5">
        <f>IF(RTD("tos.rtd",,T$2,"."&amp;$A$43&amp;$L$1&amp;"C"&amp;$A68)="N/A",0,RTD("tos.rtd",,T$2,"."&amp;$A$43&amp;$L$1&amp;"C"&amp;$A68))</f>
        <v>810</v>
      </c>
      <c r="U68" s="6">
        <f>-IF(RTD("tos.rtd",,U$2,"."&amp;$A$43&amp;$L$1&amp;"P"&amp;$A68)="N/A",0,RTD("tos.rtd",,U$2,"."&amp;$A$43&amp;$L$1&amp;"P"&amp;$A68))</f>
        <v>-1762</v>
      </c>
      <c r="V68" s="1">
        <f ca="1">+Hoja2!Y69</f>
        <v>9573</v>
      </c>
      <c r="W68" s="1">
        <f t="shared" ca="1" si="26"/>
        <v>18303</v>
      </c>
    </row>
    <row r="69" spans="1:23" ht="13.5" thickBot="1" x14ac:dyDescent="0.25">
      <c r="A69" s="2">
        <f t="shared" si="27"/>
        <v>605</v>
      </c>
      <c r="B69" s="3">
        <f t="shared" si="20"/>
        <v>-3000</v>
      </c>
      <c r="C69" s="3">
        <f t="shared" si="21"/>
        <v>-5231</v>
      </c>
      <c r="D69" s="3">
        <f t="shared" si="22"/>
        <v>-5866</v>
      </c>
      <c r="E69" s="3">
        <f>SUM(B69:D69)</f>
        <v>-14097</v>
      </c>
      <c r="F69" s="4">
        <f>+$F$44/$A$44*A69</f>
        <v>24942.284278476876</v>
      </c>
      <c r="H69" s="5">
        <f>IF(RTD("tos.rtd",,H$43,"."&amp;$A$43&amp;$H$42&amp;"C"&amp;$A69)="N/A",0,RTD("tos.rtd",,H$43,"."&amp;$A$43&amp;$H$42&amp;"C"&amp;$A69))</f>
        <v>111</v>
      </c>
      <c r="I69" s="6">
        <f>-IF(RTD("tos.rtd",,I$43,"."&amp;$A$43&amp;$H$42&amp;"P"&amp;$A69)="N/A",0,RTD("tos.rtd",,I$43,"."&amp;$A$43&amp;$H$42&amp;"P"&amp;$A69))</f>
        <v>-3111</v>
      </c>
      <c r="J69" s="5">
        <f>IF(RTD("tos.rtd",,J$2,"."&amp;$A$43&amp;$J$1&amp;"C"&amp;$A69)="N/A",0,RTD("tos.rtd",,J$2,"."&amp;$A$43&amp;$J$1&amp;"C"&amp;$A69))</f>
        <v>1262</v>
      </c>
      <c r="K69" s="6">
        <f>-IF(RTD("tos.rtd",,K$2,"."&amp;$A$43&amp;$J$1&amp;"P"&amp;$A69)="N/A",0,RTD("tos.rtd",,K$2,"."&amp;$A$43&amp;$J$1&amp;"P"&amp;$A69))</f>
        <v>-6493</v>
      </c>
      <c r="L69" s="5">
        <f>IF(RTD("tos.rtd",,L$2,"."&amp;$A$43&amp;$L$1&amp;"C"&amp;$A69)="N/A",0,RTD("tos.rtd",,L$2,"."&amp;$A$43&amp;$L$1&amp;"C"&amp;$A69))</f>
        <v>10694</v>
      </c>
      <c r="M69" s="6">
        <f>-IF(RTD("tos.rtd",,M$2,"."&amp;$A$43&amp;$L$1&amp;"P"&amp;$A69)="N/A",0,RTD("tos.rtd",,M$2,"."&amp;$A$43&amp;$L$1&amp;"P"&amp;$A69))</f>
        <v>-16560</v>
      </c>
      <c r="N69" s="1">
        <f>SUM(H69:M69)</f>
        <v>-14097</v>
      </c>
      <c r="O69" s="7">
        <f t="shared" si="24"/>
        <v>605</v>
      </c>
      <c r="P69" s="5">
        <f>IF(RTD("tos.rtd",,P$43,"."&amp;$A$43&amp;$H$42&amp;"C"&amp;$A69)="N/A",0,RTD("tos.rtd",,P$43,"."&amp;$A$43&amp;$H$42&amp;"C"&amp;$A69))</f>
        <v>50804</v>
      </c>
      <c r="Q69" s="6">
        <f>-IF(RTD("tos.rtd",,Q$43,"."&amp;$A$43&amp;$H$42&amp;"P"&amp;$A69)="N/A",0,RTD("tos.rtd",,Q$43,"."&amp;$A$43&amp;$H$42&amp;"P"&amp;$A69))</f>
        <v>-27668</v>
      </c>
      <c r="R69" s="5">
        <f>IF(RTD("tos.rtd",,R$2,"."&amp;$A$43&amp;$J$1&amp;"C"&amp;$A69)="N/A",0,RTD("tos.rtd",,R$2,"."&amp;$A$43&amp;$J$1&amp;"C"&amp;$A69))</f>
        <v>9850</v>
      </c>
      <c r="S69" s="6">
        <f>-IF(RTD("tos.rtd",,S$2,"."&amp;$A$43&amp;$J$1&amp;"P"&amp;$A69)="N/A",0,RTD("tos.rtd",,S$2,"."&amp;$A$43&amp;$J$1&amp;"P"&amp;$A69))</f>
        <v>-39168</v>
      </c>
      <c r="T69" s="5">
        <f>IF(RTD("tos.rtd",,T$2,"."&amp;$A$43&amp;$L$1&amp;"C"&amp;$A69)="N/A",0,RTD("tos.rtd",,T$2,"."&amp;$A$43&amp;$L$1&amp;"C"&amp;$A69))</f>
        <v>6072</v>
      </c>
      <c r="U69" s="6">
        <f>-IF(RTD("tos.rtd",,U$2,"."&amp;$A$43&amp;$L$1&amp;"P"&amp;$A69)="N/A",0,RTD("tos.rtd",,U$2,"."&amp;$A$43&amp;$L$1&amp;"P"&amp;$A69))</f>
        <v>-7954</v>
      </c>
      <c r="V69" s="1">
        <f ca="1">+Hoja2!Y70</f>
        <v>26367</v>
      </c>
      <c r="W69" s="1">
        <f t="shared" ca="1" si="26"/>
        <v>18303</v>
      </c>
    </row>
    <row r="70" spans="1:23" ht="13.5" thickBot="1" x14ac:dyDescent="0.25">
      <c r="A70" s="2">
        <f t="shared" si="27"/>
        <v>604</v>
      </c>
      <c r="B70" s="3">
        <f t="shared" si="20"/>
        <v>-676</v>
      </c>
      <c r="C70" s="3">
        <f t="shared" si="21"/>
        <v>-458</v>
      </c>
      <c r="D70" s="3">
        <f t="shared" si="22"/>
        <v>-225</v>
      </c>
      <c r="E70" s="3">
        <f t="shared" si="23"/>
        <v>-1359</v>
      </c>
      <c r="F70" s="4">
        <f t="shared" si="28"/>
        <v>24901.057362314103</v>
      </c>
      <c r="H70" s="5">
        <f>IF(RTD("tos.rtd",,H$43,"."&amp;$A$43&amp;$H$42&amp;"C"&amp;$A70)="N/A",0,RTD("tos.rtd",,H$43,"."&amp;$A$43&amp;$H$42&amp;"C"&amp;$A70))</f>
        <v>25</v>
      </c>
      <c r="I70" s="6">
        <f>-IF(RTD("tos.rtd",,I$43,"."&amp;$A$43&amp;$H$42&amp;"P"&amp;$A70)="N/A",0,RTD("tos.rtd",,I$43,"."&amp;$A$43&amp;$H$42&amp;"P"&amp;$A70))</f>
        <v>-701</v>
      </c>
      <c r="J70" s="5">
        <f>IF(RTD("tos.rtd",,J$2,"."&amp;$A$43&amp;$J$1&amp;"C"&amp;$A70)="N/A",0,RTD("tos.rtd",,J$2,"."&amp;$A$43&amp;$J$1&amp;"C"&amp;$A70))</f>
        <v>393</v>
      </c>
      <c r="K70" s="6">
        <f>-IF(RTD("tos.rtd",,K$2,"."&amp;$A$43&amp;$J$1&amp;"P"&amp;$A70)="N/A",0,RTD("tos.rtd",,K$2,"."&amp;$A$43&amp;$J$1&amp;"P"&amp;$A70))</f>
        <v>-851</v>
      </c>
      <c r="L70" s="5">
        <f>IF(RTD("tos.rtd",,L$2,"."&amp;$A$43&amp;$L$1&amp;"C"&amp;$A70)="N/A",0,RTD("tos.rtd",,L$2,"."&amp;$A$43&amp;$L$1&amp;"C"&amp;$A70))</f>
        <v>5155</v>
      </c>
      <c r="M70" s="6">
        <f>-IF(RTD("tos.rtd",,M$2,"."&amp;$A$43&amp;$L$1&amp;"P"&amp;$A70)="N/A",0,RTD("tos.rtd",,M$2,"."&amp;$A$43&amp;$L$1&amp;"P"&amp;$A70))</f>
        <v>-5380</v>
      </c>
      <c r="N70" s="1">
        <f t="shared" si="25"/>
        <v>-1359</v>
      </c>
      <c r="O70" s="7">
        <f t="shared" si="24"/>
        <v>604</v>
      </c>
      <c r="P70" s="5">
        <f>IF(RTD("tos.rtd",,P$43,"."&amp;$A$43&amp;$H$42&amp;"C"&amp;$A70)="N/A",0,RTD("tos.rtd",,P$43,"."&amp;$A$43&amp;$H$42&amp;"C"&amp;$A70))</f>
        <v>25819</v>
      </c>
      <c r="Q70" s="6">
        <f>-IF(RTD("tos.rtd",,Q$43,"."&amp;$A$43&amp;$H$42&amp;"P"&amp;$A70)="N/A",0,RTD("tos.rtd",,Q$43,"."&amp;$A$43&amp;$H$42&amp;"P"&amp;$A70))</f>
        <v>-26216</v>
      </c>
      <c r="R70" s="5">
        <f>IF(RTD("tos.rtd",,R$2,"."&amp;$A$43&amp;$J$1&amp;"C"&amp;$A70)="N/A",0,RTD("tos.rtd",,R$2,"."&amp;$A$43&amp;$J$1&amp;"C"&amp;$A70))</f>
        <v>2609</v>
      </c>
      <c r="S70" s="6">
        <f>-IF(RTD("tos.rtd",,S$2,"."&amp;$A$43&amp;$J$1&amp;"P"&amp;$A70)="N/A",0,RTD("tos.rtd",,S$2,"."&amp;$A$43&amp;$J$1&amp;"P"&amp;$A70))</f>
        <v>-3216</v>
      </c>
      <c r="T70" s="5">
        <f>IF(RTD("tos.rtd",,T$2,"."&amp;$A$43&amp;$L$1&amp;"C"&amp;$A70)="N/A",0,RTD("tos.rtd",,T$2,"."&amp;$A$43&amp;$L$1&amp;"C"&amp;$A70))</f>
        <v>629</v>
      </c>
      <c r="U70" s="6">
        <f>-IF(RTD("tos.rtd",,U$2,"."&amp;$A$43&amp;$L$1&amp;"P"&amp;$A70)="N/A",0,RTD("tos.rtd",,U$2,"."&amp;$A$43&amp;$L$1&amp;"P"&amp;$A70))</f>
        <v>-2350</v>
      </c>
      <c r="V70" s="1">
        <f ca="1">+Hoja2!Y71</f>
        <v>374</v>
      </c>
      <c r="W70" s="1">
        <f t="shared" ca="1" si="26"/>
        <v>-2351</v>
      </c>
    </row>
    <row r="71" spans="1:23" ht="13.5" thickBot="1" x14ac:dyDescent="0.25">
      <c r="A71" s="2">
        <f t="shared" si="27"/>
        <v>603</v>
      </c>
      <c r="B71" s="3">
        <f t="shared" si="20"/>
        <v>-1067</v>
      </c>
      <c r="C71" s="3">
        <f t="shared" si="21"/>
        <v>-914</v>
      </c>
      <c r="D71" s="3">
        <f t="shared" si="22"/>
        <v>-2776</v>
      </c>
      <c r="E71" s="3">
        <f t="shared" si="23"/>
        <v>-4757</v>
      </c>
      <c r="F71" s="4">
        <f t="shared" si="28"/>
        <v>24859.830446151333</v>
      </c>
      <c r="H71" s="5">
        <f>IF(RTD("tos.rtd",,H$43,"."&amp;$A$43&amp;$H$42&amp;"C"&amp;$A71)="N/A",0,RTD("tos.rtd",,H$43,"."&amp;$A$43&amp;$H$42&amp;"C"&amp;$A71))</f>
        <v>86</v>
      </c>
      <c r="I71" s="6">
        <f>-IF(RTD("tos.rtd",,I$43,"."&amp;$A$43&amp;$H$42&amp;"P"&amp;$A71)="N/A",0,RTD("tos.rtd",,I$43,"."&amp;$A$43&amp;$H$42&amp;"P"&amp;$A71))</f>
        <v>-1153</v>
      </c>
      <c r="J71" s="5">
        <f>IF(RTD("tos.rtd",,J$2,"."&amp;$A$43&amp;$J$1&amp;"C"&amp;$A71)="N/A",0,RTD("tos.rtd",,J$2,"."&amp;$A$43&amp;$J$1&amp;"C"&amp;$A71))</f>
        <v>1969</v>
      </c>
      <c r="K71" s="6">
        <f>-IF(RTD("tos.rtd",,K$2,"."&amp;$A$43&amp;$J$1&amp;"P"&amp;$A71)="N/A",0,RTD("tos.rtd",,K$2,"."&amp;$A$43&amp;$J$1&amp;"P"&amp;$A71))</f>
        <v>-2883</v>
      </c>
      <c r="L71" s="5">
        <f>IF(RTD("tos.rtd",,L$2,"."&amp;$A$43&amp;$L$1&amp;"C"&amp;$A71)="N/A",0,RTD("tos.rtd",,L$2,"."&amp;$A$43&amp;$L$1&amp;"C"&amp;$A71))</f>
        <v>184</v>
      </c>
      <c r="M71" s="6">
        <f>-IF(RTD("tos.rtd",,M$2,"."&amp;$A$43&amp;$L$1&amp;"P"&amp;$A71)="N/A",0,RTD("tos.rtd",,M$2,"."&amp;$A$43&amp;$L$1&amp;"P"&amp;$A71))</f>
        <v>-2960</v>
      </c>
      <c r="N71" s="1">
        <f t="shared" si="25"/>
        <v>-4757</v>
      </c>
      <c r="O71" s="7">
        <f t="shared" si="24"/>
        <v>603</v>
      </c>
      <c r="P71" s="5">
        <f>IF(RTD("tos.rtd",,P$43,"."&amp;$A$43&amp;$H$42&amp;"C"&amp;$A71)="N/A",0,RTD("tos.rtd",,P$43,"."&amp;$A$43&amp;$H$42&amp;"C"&amp;$A71))</f>
        <v>23745</v>
      </c>
      <c r="Q71" s="6">
        <f>-IF(RTD("tos.rtd",,Q$43,"."&amp;$A$43&amp;$H$42&amp;"P"&amp;$A71)="N/A",0,RTD("tos.rtd",,Q$43,"."&amp;$A$43&amp;$H$42&amp;"P"&amp;$A71))</f>
        <v>-21121</v>
      </c>
      <c r="R71" s="5">
        <f>IF(RTD("tos.rtd",,R$2,"."&amp;$A$43&amp;$J$1&amp;"C"&amp;$A71)="N/A",0,RTD("tos.rtd",,R$2,"."&amp;$A$43&amp;$J$1&amp;"C"&amp;$A71))</f>
        <v>1754</v>
      </c>
      <c r="S71" s="6">
        <f>-IF(RTD("tos.rtd",,S$2,"."&amp;$A$43&amp;$J$1&amp;"P"&amp;$A71)="N/A",0,RTD("tos.rtd",,S$2,"."&amp;$A$43&amp;$J$1&amp;"P"&amp;$A71))</f>
        <v>-1941</v>
      </c>
      <c r="T71" s="5">
        <f>IF(RTD("tos.rtd",,T$2,"."&amp;$A$43&amp;$L$1&amp;"C"&amp;$A71)="N/A",0,RTD("tos.rtd",,T$2,"."&amp;$A$43&amp;$L$1&amp;"C"&amp;$A71))</f>
        <v>1003</v>
      </c>
      <c r="U71" s="6">
        <f>-IF(RTD("tos.rtd",,U$2,"."&amp;$A$43&amp;$L$1&amp;"P"&amp;$A71)="N/A",0,RTD("tos.rtd",,U$2,"."&amp;$A$43&amp;$L$1&amp;"P"&amp;$A71))</f>
        <v>-4527</v>
      </c>
      <c r="V71" s="1">
        <f ca="1">+Hoja2!Y72</f>
        <v>1666</v>
      </c>
      <c r="W71" s="1">
        <f t="shared" ca="1" si="26"/>
        <v>579</v>
      </c>
    </row>
    <row r="72" spans="1:23" ht="13.5" thickBot="1" x14ac:dyDescent="0.25">
      <c r="A72" s="2">
        <f t="shared" si="27"/>
        <v>602</v>
      </c>
      <c r="B72" s="3">
        <f t="shared" si="20"/>
        <v>-525</v>
      </c>
      <c r="C72" s="3">
        <f t="shared" si="21"/>
        <v>-4385</v>
      </c>
      <c r="D72" s="3">
        <f t="shared" si="22"/>
        <v>3160</v>
      </c>
      <c r="E72" s="3">
        <f t="shared" si="23"/>
        <v>-1750</v>
      </c>
      <c r="F72" s="4">
        <f t="shared" si="28"/>
        <v>24818.603529988559</v>
      </c>
      <c r="H72" s="5">
        <f>IF(RTD("tos.rtd",,H$43,"."&amp;$A$43&amp;$H$42&amp;"C"&amp;$A72)="N/A",0,RTD("tos.rtd",,H$43,"."&amp;$A$43&amp;$H$42&amp;"C"&amp;$A72))</f>
        <v>36</v>
      </c>
      <c r="I72" s="6">
        <f>-IF(RTD("tos.rtd",,I$43,"."&amp;$A$43&amp;$H$42&amp;"P"&amp;$A72)="N/A",0,RTD("tos.rtd",,I$43,"."&amp;$A$43&amp;$H$42&amp;"P"&amp;$A72))</f>
        <v>-561</v>
      </c>
      <c r="J72" s="5">
        <f>IF(RTD("tos.rtd",,J$2,"."&amp;$A$43&amp;$J$1&amp;"C"&amp;$A72)="N/A",0,RTD("tos.rtd",,J$2,"."&amp;$A$43&amp;$J$1&amp;"C"&amp;$A72))</f>
        <v>287</v>
      </c>
      <c r="K72" s="6">
        <f>-IF(RTD("tos.rtd",,K$2,"."&amp;$A$43&amp;$J$1&amp;"P"&amp;$A72)="N/A",0,RTD("tos.rtd",,K$2,"."&amp;$A$43&amp;$J$1&amp;"P"&amp;$A72))</f>
        <v>-4672</v>
      </c>
      <c r="L72" s="5">
        <f>IF(RTD("tos.rtd",,L$2,"."&amp;$A$43&amp;$L$1&amp;"C"&amp;$A72)="N/A",0,RTD("tos.rtd",,L$2,"."&amp;$A$43&amp;$L$1&amp;"C"&amp;$A72))</f>
        <v>6532</v>
      </c>
      <c r="M72" s="6">
        <f>-IF(RTD("tos.rtd",,M$2,"."&amp;$A$43&amp;$L$1&amp;"P"&amp;$A72)="N/A",0,RTD("tos.rtd",,M$2,"."&amp;$A$43&amp;$L$1&amp;"P"&amp;$A72))</f>
        <v>-3372</v>
      </c>
      <c r="N72" s="1">
        <f t="shared" si="25"/>
        <v>-1750</v>
      </c>
      <c r="O72" s="7">
        <f t="shared" si="24"/>
        <v>602</v>
      </c>
      <c r="P72" s="5">
        <f>IF(RTD("tos.rtd",,P$43,"."&amp;$A$43&amp;$H$42&amp;"C"&amp;$A72)="N/A",0,RTD("tos.rtd",,P$43,"."&amp;$A$43&amp;$H$42&amp;"C"&amp;$A72))</f>
        <v>19459</v>
      </c>
      <c r="Q72" s="6">
        <f>-IF(RTD("tos.rtd",,Q$43,"."&amp;$A$43&amp;$H$42&amp;"P"&amp;$A72)="N/A",0,RTD("tos.rtd",,Q$43,"."&amp;$A$43&amp;$H$42&amp;"P"&amp;$A72))</f>
        <v>-26344</v>
      </c>
      <c r="R72" s="5">
        <f>IF(RTD("tos.rtd",,R$2,"."&amp;$A$43&amp;$J$1&amp;"C"&amp;$A72)="N/A",0,RTD("tos.rtd",,R$2,"."&amp;$A$43&amp;$J$1&amp;"C"&amp;$A72))</f>
        <v>2433</v>
      </c>
      <c r="S72" s="6">
        <f>-IF(RTD("tos.rtd",,S$2,"."&amp;$A$43&amp;$J$1&amp;"P"&amp;$A72)="N/A",0,RTD("tos.rtd",,S$2,"."&amp;$A$43&amp;$J$1&amp;"P"&amp;$A72))</f>
        <v>-3508</v>
      </c>
      <c r="T72" s="5">
        <f>IF(RTD("tos.rtd",,T$2,"."&amp;$A$43&amp;$L$1&amp;"C"&amp;$A72)="N/A",0,RTD("tos.rtd",,T$2,"."&amp;$A$43&amp;$L$1&amp;"C"&amp;$A72))</f>
        <v>1301</v>
      </c>
      <c r="U72" s="6">
        <f>-IF(RTD("tos.rtd",,U$2,"."&amp;$A$43&amp;$L$1&amp;"P"&amp;$A72)="N/A",0,RTD("tos.rtd",,U$2,"."&amp;$A$43&amp;$L$1&amp;"P"&amp;$A72))</f>
        <v>-3117</v>
      </c>
      <c r="V72" s="1">
        <f ca="1">+Hoja2!Y73</f>
        <v>-10350</v>
      </c>
      <c r="W72" s="1">
        <f t="shared" ca="1" si="26"/>
        <v>-20126</v>
      </c>
    </row>
    <row r="73" spans="1:23" ht="13.5" thickBot="1" x14ac:dyDescent="0.25">
      <c r="A73" s="2">
        <f t="shared" si="27"/>
        <v>601</v>
      </c>
      <c r="B73" s="3">
        <f t="shared" si="20"/>
        <v>-491</v>
      </c>
      <c r="C73" s="3">
        <f t="shared" si="21"/>
        <v>-3645</v>
      </c>
      <c r="D73" s="3">
        <f t="shared" si="22"/>
        <v>-1748</v>
      </c>
      <c r="E73" s="3">
        <f t="shared" si="23"/>
        <v>-5884</v>
      </c>
      <c r="F73" s="4">
        <f t="shared" si="28"/>
        <v>24777.376613825789</v>
      </c>
      <c r="H73" s="5">
        <f>IF(RTD("tos.rtd",,H$43,"."&amp;$A$43&amp;$H$42&amp;"C"&amp;$A73)="N/A",0,RTD("tos.rtd",,H$43,"."&amp;$A$43&amp;$H$42&amp;"C"&amp;$A73))</f>
        <v>49</v>
      </c>
      <c r="I73" s="6">
        <f>-IF(RTD("tos.rtd",,I$43,"."&amp;$A$43&amp;$H$42&amp;"P"&amp;$A73)="N/A",0,RTD("tos.rtd",,I$43,"."&amp;$A$43&amp;$H$42&amp;"P"&amp;$A73))</f>
        <v>-540</v>
      </c>
      <c r="J73" s="5">
        <f>IF(RTD("tos.rtd",,J$2,"."&amp;$A$43&amp;$J$1&amp;"C"&amp;$A73)="N/A",0,RTD("tos.rtd",,J$2,"."&amp;$A$43&amp;$J$1&amp;"C"&amp;$A73))</f>
        <v>192</v>
      </c>
      <c r="K73" s="6">
        <f>-IF(RTD("tos.rtd",,K$2,"."&amp;$A$43&amp;$J$1&amp;"P"&amp;$A73)="N/A",0,RTD("tos.rtd",,K$2,"."&amp;$A$43&amp;$J$1&amp;"P"&amp;$A73))</f>
        <v>-3837</v>
      </c>
      <c r="L73" s="5">
        <f>IF(RTD("tos.rtd",,L$2,"."&amp;$A$43&amp;$L$1&amp;"C"&amp;$A73)="N/A",0,RTD("tos.rtd",,L$2,"."&amp;$A$43&amp;$L$1&amp;"C"&amp;$A73))</f>
        <v>333</v>
      </c>
      <c r="M73" s="6">
        <f>-IF(RTD("tos.rtd",,M$2,"."&amp;$A$43&amp;$L$1&amp;"P"&amp;$A73)="N/A",0,RTD("tos.rtd",,M$2,"."&amp;$A$43&amp;$L$1&amp;"P"&amp;$A73))</f>
        <v>-2081</v>
      </c>
      <c r="N73" s="1">
        <f t="shared" si="25"/>
        <v>-5884</v>
      </c>
      <c r="O73" s="7">
        <f t="shared" si="24"/>
        <v>601</v>
      </c>
      <c r="P73" s="5">
        <f>IF(RTD("tos.rtd",,P$43,"."&amp;$A$43&amp;$H$42&amp;"C"&amp;$A73)="N/A",0,RTD("tos.rtd",,P$43,"."&amp;$A$43&amp;$H$42&amp;"C"&amp;$A73))</f>
        <v>14595</v>
      </c>
      <c r="Q73" s="6">
        <f>-IF(RTD("tos.rtd",,Q$43,"."&amp;$A$43&amp;$H$42&amp;"P"&amp;$A73)="N/A",0,RTD("tos.rtd",,Q$43,"."&amp;$A$43&amp;$H$42&amp;"P"&amp;$A73))</f>
        <v>-25357</v>
      </c>
      <c r="R73" s="5">
        <f>IF(RTD("tos.rtd",,R$2,"."&amp;$A$43&amp;$J$1&amp;"C"&amp;$A73)="N/A",0,RTD("tos.rtd",,R$2,"."&amp;$A$43&amp;$J$1&amp;"C"&amp;$A73))</f>
        <v>3278</v>
      </c>
      <c r="S73" s="6">
        <f>-IF(RTD("tos.rtd",,S$2,"."&amp;$A$43&amp;$J$1&amp;"P"&amp;$A73)="N/A",0,RTD("tos.rtd",,S$2,"."&amp;$A$43&amp;$J$1&amp;"P"&amp;$A73))</f>
        <v>-2246</v>
      </c>
      <c r="T73" s="5">
        <f>IF(RTD("tos.rtd",,T$2,"."&amp;$A$43&amp;$L$1&amp;"C"&amp;$A73)="N/A",0,RTD("tos.rtd",,T$2,"."&amp;$A$43&amp;$L$1&amp;"C"&amp;$A73))</f>
        <v>2527</v>
      </c>
      <c r="U73" s="6">
        <f>-IF(RTD("tos.rtd",,U$2,"."&amp;$A$43&amp;$L$1&amp;"P"&amp;$A73)="N/A",0,RTD("tos.rtd",,U$2,"."&amp;$A$43&amp;$L$1&amp;"P"&amp;$A73))</f>
        <v>-5413</v>
      </c>
      <c r="V73" s="1">
        <f ca="1">+Hoja2!Y74</f>
        <v>-11629</v>
      </c>
      <c r="W73" s="1">
        <f t="shared" ca="1" si="26"/>
        <v>-24245</v>
      </c>
    </row>
    <row r="74" spans="1:23" ht="13.5" thickBot="1" x14ac:dyDescent="0.25">
      <c r="A74" s="2">
        <f t="shared" si="27"/>
        <v>600</v>
      </c>
      <c r="B74" s="3">
        <f t="shared" si="20"/>
        <v>-7065</v>
      </c>
      <c r="C74" s="3">
        <f t="shared" si="21"/>
        <v>-56423</v>
      </c>
      <c r="D74" s="3">
        <f t="shared" si="22"/>
        <v>-30528</v>
      </c>
      <c r="E74" s="3">
        <f>SUM(B74:D74)</f>
        <v>-94016</v>
      </c>
      <c r="F74" s="4">
        <f>+$F$44/$A$44*A74</f>
        <v>24736.149697663015</v>
      </c>
      <c r="H74" s="5">
        <f>IF(RTD("tos.rtd",,H$43,"."&amp;$A$43&amp;$H$42&amp;"C"&amp;$A74)="N/A",0,RTD("tos.rtd",,H$43,"."&amp;$A$43&amp;$H$42&amp;"C"&amp;$A74))</f>
        <v>117</v>
      </c>
      <c r="I74" s="6">
        <f>-IF(RTD("tos.rtd",,I$43,"."&amp;$A$43&amp;$H$42&amp;"P"&amp;$A74)="N/A",0,RTD("tos.rtd",,I$43,"."&amp;$A$43&amp;$H$42&amp;"P"&amp;$A74))</f>
        <v>-7182</v>
      </c>
      <c r="J74" s="5">
        <f>IF(RTD("tos.rtd",,J$2,"."&amp;$A$43&amp;$J$1&amp;"C"&amp;$A74)="N/A",0,RTD("tos.rtd",,J$2,"."&amp;$A$43&amp;$J$1&amp;"C"&amp;$A74))</f>
        <v>5366</v>
      </c>
      <c r="K74" s="6">
        <f>-IF(RTD("tos.rtd",,K$2,"."&amp;$A$43&amp;$J$1&amp;"P"&amp;$A74)="N/A",0,RTD("tos.rtd",,K$2,"."&amp;$A$43&amp;$J$1&amp;"P"&amp;$A74))</f>
        <v>-61789</v>
      </c>
      <c r="L74" s="5">
        <f>IF(RTD("tos.rtd",,L$2,"."&amp;$A$43&amp;$L$1&amp;"C"&amp;$A74)="N/A",0,RTD("tos.rtd",,L$2,"."&amp;$A$43&amp;$L$1&amp;"C"&amp;$A74))</f>
        <v>49712</v>
      </c>
      <c r="M74" s="6">
        <f>-IF(RTD("tos.rtd",,M$2,"."&amp;$A$43&amp;$L$1&amp;"P"&amp;$A74)="N/A",0,RTD("tos.rtd",,M$2,"."&amp;$A$43&amp;$L$1&amp;"P"&amp;$A74))</f>
        <v>-80240</v>
      </c>
      <c r="N74" s="1">
        <f>SUM(H74:M74)</f>
        <v>-94016</v>
      </c>
      <c r="O74" s="7">
        <f t="shared" si="24"/>
        <v>600</v>
      </c>
      <c r="P74" s="5">
        <f>IF(RTD("tos.rtd",,P$43,"."&amp;$A$43&amp;$H$42&amp;"C"&amp;$A74)="N/A",0,RTD("tos.rtd",,P$43,"."&amp;$A$43&amp;$H$42&amp;"C"&amp;$A74))</f>
        <v>20519</v>
      </c>
      <c r="Q74" s="6">
        <f>-IF(RTD("tos.rtd",,Q$43,"."&amp;$A$43&amp;$H$42&amp;"P"&amp;$A74)="N/A",0,RTD("tos.rtd",,Q$43,"."&amp;$A$43&amp;$H$42&amp;"P"&amp;$A74))</f>
        <v>-67165</v>
      </c>
      <c r="R74" s="5">
        <f>IF(RTD("tos.rtd",,R$2,"."&amp;$A$43&amp;$J$1&amp;"C"&amp;$A74)="N/A",0,RTD("tos.rtd",,R$2,"."&amp;$A$43&amp;$J$1&amp;"C"&amp;$A74))</f>
        <v>6013</v>
      </c>
      <c r="S74" s="6">
        <f>-IF(RTD("tos.rtd",,S$2,"."&amp;$A$43&amp;$J$1&amp;"P"&amp;$A74)="N/A",0,RTD("tos.rtd",,S$2,"."&amp;$A$43&amp;$J$1&amp;"P"&amp;$A74))</f>
        <v>-29960</v>
      </c>
      <c r="T74" s="5">
        <f>IF(RTD("tos.rtd",,T$2,"."&amp;$A$43&amp;$L$1&amp;"C"&amp;$A74)="N/A",0,RTD("tos.rtd",,T$2,"."&amp;$A$43&amp;$L$1&amp;"C"&amp;$A74))</f>
        <v>2695</v>
      </c>
      <c r="U74" s="6">
        <f>-IF(RTD("tos.rtd",,U$2,"."&amp;$A$43&amp;$L$1&amp;"P"&amp;$A74)="N/A",0,RTD("tos.rtd",,U$2,"."&amp;$A$43&amp;$L$1&amp;"P"&amp;$A74))</f>
        <v>-22375</v>
      </c>
      <c r="V74" s="1">
        <f ca="1">+Hoja2!Y75</f>
        <v>-91071</v>
      </c>
      <c r="W74" s="1">
        <f t="shared" ca="1" si="26"/>
        <v>-181344</v>
      </c>
    </row>
    <row r="75" spans="1:23" ht="13.5" thickBot="1" x14ac:dyDescent="0.25">
      <c r="A75" s="2">
        <f t="shared" si="27"/>
        <v>599</v>
      </c>
      <c r="B75" s="3">
        <f t="shared" si="20"/>
        <v>-339</v>
      </c>
      <c r="C75" s="3">
        <f t="shared" si="21"/>
        <v>-1831</v>
      </c>
      <c r="D75" s="3">
        <f t="shared" si="22"/>
        <v>-159</v>
      </c>
      <c r="E75" s="3">
        <f t="shared" si="23"/>
        <v>-2329</v>
      </c>
      <c r="F75" s="4">
        <f t="shared" si="28"/>
        <v>24694.922781500245</v>
      </c>
      <c r="H75" s="5">
        <f>IF(RTD("tos.rtd",,H$43,"."&amp;$A$43&amp;$H$42&amp;"C"&amp;$A75)="N/A",0,RTD("tos.rtd",,H$43,"."&amp;$A$43&amp;$H$42&amp;"C"&amp;$A75))</f>
        <v>35</v>
      </c>
      <c r="I75" s="6">
        <f>-IF(RTD("tos.rtd",,I$43,"."&amp;$A$43&amp;$H$42&amp;"P"&amp;$A75)="N/A",0,RTD("tos.rtd",,I$43,"."&amp;$A$43&amp;$H$42&amp;"P"&amp;$A75))</f>
        <v>-374</v>
      </c>
      <c r="J75" s="5">
        <f>IF(RTD("tos.rtd",,J$2,"."&amp;$A$43&amp;$J$1&amp;"C"&amp;$A75)="N/A",0,RTD("tos.rtd",,J$2,"."&amp;$A$43&amp;$J$1&amp;"C"&amp;$A75))</f>
        <v>254</v>
      </c>
      <c r="K75" s="6">
        <f>-IF(RTD("tos.rtd",,K$2,"."&amp;$A$43&amp;$J$1&amp;"P"&amp;$A75)="N/A",0,RTD("tos.rtd",,K$2,"."&amp;$A$43&amp;$J$1&amp;"P"&amp;$A75))</f>
        <v>-2085</v>
      </c>
      <c r="L75" s="5">
        <f>IF(RTD("tos.rtd",,L$2,"."&amp;$A$43&amp;$L$1&amp;"C"&amp;$A75)="N/A",0,RTD("tos.rtd",,L$2,"."&amp;$A$43&amp;$L$1&amp;"C"&amp;$A75))</f>
        <v>674</v>
      </c>
      <c r="M75" s="6">
        <f>-IF(RTD("tos.rtd",,M$2,"."&amp;$A$43&amp;$L$1&amp;"P"&amp;$A75)="N/A",0,RTD("tos.rtd",,M$2,"."&amp;$A$43&amp;$L$1&amp;"P"&amp;$A75))</f>
        <v>-833</v>
      </c>
      <c r="N75" s="1">
        <f t="shared" si="25"/>
        <v>-2329</v>
      </c>
      <c r="O75" s="7">
        <f t="shared" si="24"/>
        <v>599</v>
      </c>
      <c r="P75" s="5">
        <f>IF(RTD("tos.rtd",,P$43,"."&amp;$A$43&amp;$H$42&amp;"C"&amp;$A75)="N/A",0,RTD("tos.rtd",,P$43,"."&amp;$A$43&amp;$H$42&amp;"C"&amp;$A75))</f>
        <v>4706</v>
      </c>
      <c r="Q75" s="6">
        <f>-IF(RTD("tos.rtd",,Q$43,"."&amp;$A$43&amp;$H$42&amp;"P"&amp;$A75)="N/A",0,RTD("tos.rtd",,Q$43,"."&amp;$A$43&amp;$H$42&amp;"P"&amp;$A75))</f>
        <v>-17272</v>
      </c>
      <c r="R75" s="5">
        <f>IF(RTD("tos.rtd",,R$2,"."&amp;$A$43&amp;$J$1&amp;"C"&amp;$A75)="N/A",0,RTD("tos.rtd",,R$2,"."&amp;$A$43&amp;$J$1&amp;"C"&amp;$A75))</f>
        <v>412</v>
      </c>
      <c r="S75" s="6">
        <f>-IF(RTD("tos.rtd",,S$2,"."&amp;$A$43&amp;$J$1&amp;"P"&amp;$A75)="N/A",0,RTD("tos.rtd",,S$2,"."&amp;$A$43&amp;$J$1&amp;"P"&amp;$A75))</f>
        <v>-1369</v>
      </c>
      <c r="T75" s="5">
        <f>IF(RTD("tos.rtd",,T$2,"."&amp;$A$43&amp;$L$1&amp;"C"&amp;$A75)="N/A",0,RTD("tos.rtd",,T$2,"."&amp;$A$43&amp;$L$1&amp;"C"&amp;$A75))</f>
        <v>339</v>
      </c>
      <c r="U75" s="6">
        <f>-IF(RTD("tos.rtd",,U$2,"."&amp;$A$43&amp;$L$1&amp;"P"&amp;$A75)="N/A",0,RTD("tos.rtd",,U$2,"."&amp;$A$43&amp;$L$1&amp;"P"&amp;$A75))</f>
        <v>-1349</v>
      </c>
      <c r="V75" s="1">
        <f ca="1">+Hoja2!Y76</f>
        <v>-15056</v>
      </c>
      <c r="W75" s="1">
        <f t="shared" ca="1" si="26"/>
        <v>-29589</v>
      </c>
    </row>
    <row r="76" spans="1:23" ht="13.5" thickBot="1" x14ac:dyDescent="0.25">
      <c r="A76" s="2">
        <f t="shared" si="27"/>
        <v>598</v>
      </c>
      <c r="B76" s="3">
        <f t="shared" si="20"/>
        <v>-797</v>
      </c>
      <c r="C76" s="3">
        <f t="shared" si="21"/>
        <v>-399</v>
      </c>
      <c r="D76" s="3">
        <f t="shared" si="22"/>
        <v>-1852</v>
      </c>
      <c r="E76" s="3">
        <f t="shared" si="23"/>
        <v>-3048</v>
      </c>
      <c r="F76" s="4">
        <f t="shared" si="28"/>
        <v>24653.695865337471</v>
      </c>
      <c r="H76" s="5">
        <f>IF(RTD("tos.rtd",,H$43,"."&amp;$A$43&amp;$H$42&amp;"C"&amp;$A76)="N/A",0,RTD("tos.rtd",,H$43,"."&amp;$A$43&amp;$H$42&amp;"C"&amp;$A76))</f>
        <v>45</v>
      </c>
      <c r="I76" s="6">
        <f>-IF(RTD("tos.rtd",,I$43,"."&amp;$A$43&amp;$H$42&amp;"P"&amp;$A76)="N/A",0,RTD("tos.rtd",,I$43,"."&amp;$A$43&amp;$H$42&amp;"P"&amp;$A76))</f>
        <v>-842</v>
      </c>
      <c r="J76" s="5">
        <f>IF(RTD("tos.rtd",,J$2,"."&amp;$A$43&amp;$J$1&amp;"C"&amp;$A76)="N/A",0,RTD("tos.rtd",,J$2,"."&amp;$A$43&amp;$J$1&amp;"C"&amp;$A76))</f>
        <v>242</v>
      </c>
      <c r="K76" s="6">
        <f>-IF(RTD("tos.rtd",,K$2,"."&amp;$A$43&amp;$J$1&amp;"P"&amp;$A76)="N/A",0,RTD("tos.rtd",,K$2,"."&amp;$A$43&amp;$J$1&amp;"P"&amp;$A76))</f>
        <v>-641</v>
      </c>
      <c r="L76" s="5">
        <f>IF(RTD("tos.rtd",,L$2,"."&amp;$A$43&amp;$L$1&amp;"C"&amp;$A76)="N/A",0,RTD("tos.rtd",,L$2,"."&amp;$A$43&amp;$L$1&amp;"C"&amp;$A76))</f>
        <v>2642</v>
      </c>
      <c r="M76" s="6">
        <f>-IF(RTD("tos.rtd",,M$2,"."&amp;$A$43&amp;$L$1&amp;"P"&amp;$A76)="N/A",0,RTD("tos.rtd",,M$2,"."&amp;$A$43&amp;$L$1&amp;"P"&amp;$A76))</f>
        <v>-4494</v>
      </c>
      <c r="N76" s="1">
        <f t="shared" si="25"/>
        <v>-3048</v>
      </c>
      <c r="O76" s="7">
        <f t="shared" si="24"/>
        <v>598</v>
      </c>
      <c r="P76" s="5">
        <f>IF(RTD("tos.rtd",,P$43,"."&amp;$A$43&amp;$H$42&amp;"C"&amp;$A76)="N/A",0,RTD("tos.rtd",,P$43,"."&amp;$A$43&amp;$H$42&amp;"C"&amp;$A76))</f>
        <v>2471</v>
      </c>
      <c r="Q76" s="6">
        <f>-IF(RTD("tos.rtd",,Q$43,"."&amp;$A$43&amp;$H$42&amp;"P"&amp;$A76)="N/A",0,RTD("tos.rtd",,Q$43,"."&amp;$A$43&amp;$H$42&amp;"P"&amp;$A76))</f>
        <v>-14170</v>
      </c>
      <c r="R76" s="5">
        <f>IF(RTD("tos.rtd",,R$2,"."&amp;$A$43&amp;$J$1&amp;"C"&amp;$A76)="N/A",0,RTD("tos.rtd",,R$2,"."&amp;$A$43&amp;$J$1&amp;"C"&amp;$A76))</f>
        <v>193</v>
      </c>
      <c r="S76" s="6">
        <f>-IF(RTD("tos.rtd",,S$2,"."&amp;$A$43&amp;$J$1&amp;"P"&amp;$A76)="N/A",0,RTD("tos.rtd",,S$2,"."&amp;$A$43&amp;$J$1&amp;"P"&amp;$A76))</f>
        <v>-1711</v>
      </c>
      <c r="T76" s="5">
        <f>IF(RTD("tos.rtd",,T$2,"."&amp;$A$43&amp;$L$1&amp;"C"&amp;$A76)="N/A",0,RTD("tos.rtd",,T$2,"."&amp;$A$43&amp;$L$1&amp;"C"&amp;$A76))</f>
        <v>208</v>
      </c>
      <c r="U76" s="6">
        <f>-IF(RTD("tos.rtd",,U$2,"."&amp;$A$43&amp;$L$1&amp;"P"&amp;$A76)="N/A",0,RTD("tos.rtd",,U$2,"."&amp;$A$43&amp;$L$1&amp;"P"&amp;$A76))</f>
        <v>-857</v>
      </c>
      <c r="V76" s="1">
        <f ca="1">+Hoja2!Y77</f>
        <v>-14047</v>
      </c>
      <c r="W76" s="1">
        <f t="shared" ca="1" si="26"/>
        <v>-27913</v>
      </c>
    </row>
    <row r="77" spans="1:23" ht="13.5" thickBot="1" x14ac:dyDescent="0.25">
      <c r="A77" s="2">
        <f t="shared" si="27"/>
        <v>597</v>
      </c>
      <c r="B77" s="3">
        <f t="shared" si="20"/>
        <v>-638</v>
      </c>
      <c r="C77" s="3">
        <f t="shared" si="21"/>
        <v>-1020</v>
      </c>
      <c r="D77" s="3">
        <f t="shared" si="22"/>
        <v>-3034</v>
      </c>
      <c r="E77" s="3">
        <f t="shared" si="23"/>
        <v>-4692</v>
      </c>
      <c r="F77" s="4">
        <f t="shared" si="28"/>
        <v>24612.468949174701</v>
      </c>
      <c r="H77" s="5">
        <f>IF(RTD("tos.rtd",,H$43,"."&amp;$A$43&amp;$H$42&amp;"C"&amp;$A77)="N/A",0,RTD("tos.rtd",,H$43,"."&amp;$A$43&amp;$H$42&amp;"C"&amp;$A77))</f>
        <v>58</v>
      </c>
      <c r="I77" s="6">
        <f>-IF(RTD("tos.rtd",,I$43,"."&amp;$A$43&amp;$H$42&amp;"P"&amp;$A77)="N/A",0,RTD("tos.rtd",,I$43,"."&amp;$A$43&amp;$H$42&amp;"P"&amp;$A77))</f>
        <v>-696</v>
      </c>
      <c r="J77" s="5">
        <f>IF(RTD("tos.rtd",,J$2,"."&amp;$A$43&amp;$J$1&amp;"C"&amp;$A77)="N/A",0,RTD("tos.rtd",,J$2,"."&amp;$A$43&amp;$J$1&amp;"C"&amp;$A77))</f>
        <v>157</v>
      </c>
      <c r="K77" s="6">
        <f>-IF(RTD("tos.rtd",,K$2,"."&amp;$A$43&amp;$J$1&amp;"P"&amp;$A77)="N/A",0,RTD("tos.rtd",,K$2,"."&amp;$A$43&amp;$J$1&amp;"P"&amp;$A77))</f>
        <v>-1177</v>
      </c>
      <c r="L77" s="5">
        <f>IF(RTD("tos.rtd",,L$2,"."&amp;$A$43&amp;$L$1&amp;"C"&amp;$A77)="N/A",0,RTD("tos.rtd",,L$2,"."&amp;$A$43&amp;$L$1&amp;"C"&amp;$A77))</f>
        <v>86</v>
      </c>
      <c r="M77" s="6">
        <f>-IF(RTD("tos.rtd",,M$2,"."&amp;$A$43&amp;$L$1&amp;"P"&amp;$A77)="N/A",0,RTD("tos.rtd",,M$2,"."&amp;$A$43&amp;$L$1&amp;"P"&amp;$A77))</f>
        <v>-3120</v>
      </c>
      <c r="N77" s="1">
        <f t="shared" si="25"/>
        <v>-4692</v>
      </c>
      <c r="O77" s="7">
        <f t="shared" si="24"/>
        <v>597</v>
      </c>
      <c r="P77" s="5">
        <f>IF(RTD("tos.rtd",,P$43,"."&amp;$A$43&amp;$H$42&amp;"C"&amp;$A77)="N/A",0,RTD("tos.rtd",,P$43,"."&amp;$A$43&amp;$H$42&amp;"C"&amp;$A77))</f>
        <v>1262</v>
      </c>
      <c r="Q77" s="6">
        <f>-IF(RTD("tos.rtd",,Q$43,"."&amp;$A$43&amp;$H$42&amp;"P"&amp;$A77)="N/A",0,RTD("tos.rtd",,Q$43,"."&amp;$A$43&amp;$H$42&amp;"P"&amp;$A77))</f>
        <v>-10843</v>
      </c>
      <c r="R77" s="5">
        <f>IF(RTD("tos.rtd",,R$2,"."&amp;$A$43&amp;$J$1&amp;"C"&amp;$A77)="N/A",0,RTD("tos.rtd",,R$2,"."&amp;$A$43&amp;$J$1&amp;"C"&amp;$A77))</f>
        <v>117</v>
      </c>
      <c r="S77" s="6">
        <f>-IF(RTD("tos.rtd",,S$2,"."&amp;$A$43&amp;$J$1&amp;"P"&amp;$A77)="N/A",0,RTD("tos.rtd",,S$2,"."&amp;$A$43&amp;$J$1&amp;"P"&amp;$A77))</f>
        <v>-1143</v>
      </c>
      <c r="T77" s="5">
        <f>IF(RTD("tos.rtd",,T$2,"."&amp;$A$43&amp;$L$1&amp;"C"&amp;$A77)="N/A",0,RTD("tos.rtd",,T$2,"."&amp;$A$43&amp;$L$1&amp;"C"&amp;$A77))</f>
        <v>91</v>
      </c>
      <c r="U77" s="6">
        <f>-IF(RTD("tos.rtd",,U$2,"."&amp;$A$43&amp;$L$1&amp;"P"&amp;$A77)="N/A",0,RTD("tos.rtd",,U$2,"."&amp;$A$43&amp;$L$1&amp;"P"&amp;$A77))</f>
        <v>-2492</v>
      </c>
      <c r="V77" s="1">
        <f ca="1">+Hoja2!Y78</f>
        <v>-12297</v>
      </c>
      <c r="W77" s="1">
        <f t="shared" ca="1" si="26"/>
        <v>-25305</v>
      </c>
    </row>
    <row r="78" spans="1:23" ht="13.5" thickBot="1" x14ac:dyDescent="0.25">
      <c r="A78" s="2">
        <f t="shared" si="27"/>
        <v>596</v>
      </c>
      <c r="B78" s="3">
        <f t="shared" si="20"/>
        <v>-524</v>
      </c>
      <c r="C78" s="3">
        <f t="shared" si="21"/>
        <v>-2450</v>
      </c>
      <c r="D78" s="3">
        <f t="shared" si="22"/>
        <v>-33543</v>
      </c>
      <c r="E78" s="3">
        <f t="shared" si="23"/>
        <v>-36517</v>
      </c>
      <c r="F78" s="4">
        <f t="shared" si="28"/>
        <v>24571.242033011931</v>
      </c>
      <c r="H78" s="5">
        <f>IF(RTD("tos.rtd",,H$43,"."&amp;$A$43&amp;$H$42&amp;"C"&amp;$A78)="N/A",0,RTD("tos.rtd",,H$43,"."&amp;$A$43&amp;$H$42&amp;"C"&amp;$A78))</f>
        <v>54</v>
      </c>
      <c r="I78" s="6">
        <f>-IF(RTD("tos.rtd",,I$43,"."&amp;$A$43&amp;$H$42&amp;"P"&amp;$A78)="N/A",0,RTD("tos.rtd",,I$43,"."&amp;$A$43&amp;$H$42&amp;"P"&amp;$A78))</f>
        <v>-578</v>
      </c>
      <c r="J78" s="5">
        <f>IF(RTD("tos.rtd",,J$2,"."&amp;$A$43&amp;$J$1&amp;"C"&amp;$A78)="N/A",0,RTD("tos.rtd",,J$2,"."&amp;$A$43&amp;$J$1&amp;"C"&amp;$A78))</f>
        <v>362</v>
      </c>
      <c r="K78" s="6">
        <f>-IF(RTD("tos.rtd",,K$2,"."&amp;$A$43&amp;$J$1&amp;"P"&amp;$A78)="N/A",0,RTD("tos.rtd",,K$2,"."&amp;$A$43&amp;$J$1&amp;"P"&amp;$A78))</f>
        <v>-2812</v>
      </c>
      <c r="L78" s="5">
        <f>IF(RTD("tos.rtd",,L$2,"."&amp;$A$43&amp;$L$1&amp;"C"&amp;$A78)="N/A",0,RTD("tos.rtd",,L$2,"."&amp;$A$43&amp;$L$1&amp;"C"&amp;$A78))</f>
        <v>1137</v>
      </c>
      <c r="M78" s="6">
        <f>-IF(RTD("tos.rtd",,M$2,"."&amp;$A$43&amp;$L$1&amp;"P"&amp;$A78)="N/A",0,RTD("tos.rtd",,M$2,"."&amp;$A$43&amp;$L$1&amp;"P"&amp;$A78))</f>
        <v>-34680</v>
      </c>
      <c r="N78" s="1">
        <f t="shared" si="25"/>
        <v>-36517</v>
      </c>
      <c r="O78" s="7">
        <f t="shared" si="24"/>
        <v>596</v>
      </c>
      <c r="P78" s="5">
        <f>IF(RTD("tos.rtd",,P$43,"."&amp;$A$43&amp;$H$42&amp;"C"&amp;$A78)="N/A",0,RTD("tos.rtd",,P$43,"."&amp;$A$43&amp;$H$42&amp;"C"&amp;$A78))</f>
        <v>606</v>
      </c>
      <c r="Q78" s="6">
        <f>-IF(RTD("tos.rtd",,Q$43,"."&amp;$A$43&amp;$H$42&amp;"P"&amp;$A78)="N/A",0,RTD("tos.rtd",,Q$43,"."&amp;$A$43&amp;$H$42&amp;"P"&amp;$A78))</f>
        <v>-13992</v>
      </c>
      <c r="R78" s="5">
        <f>IF(RTD("tos.rtd",,R$2,"."&amp;$A$43&amp;$J$1&amp;"C"&amp;$A78)="N/A",0,RTD("tos.rtd",,R$2,"."&amp;$A$43&amp;$J$1&amp;"C"&amp;$A78))</f>
        <v>86</v>
      </c>
      <c r="S78" s="6">
        <f>-IF(RTD("tos.rtd",,S$2,"."&amp;$A$43&amp;$J$1&amp;"P"&amp;$A78)="N/A",0,RTD("tos.rtd",,S$2,"."&amp;$A$43&amp;$J$1&amp;"P"&amp;$A78))</f>
        <v>-1463</v>
      </c>
      <c r="T78" s="5">
        <f>IF(RTD("tos.rtd",,T$2,"."&amp;$A$43&amp;$L$1&amp;"C"&amp;$A78)="N/A",0,RTD("tos.rtd",,T$2,"."&amp;$A$43&amp;$L$1&amp;"C"&amp;$A78))</f>
        <v>47</v>
      </c>
      <c r="U78" s="6">
        <f>-IF(RTD("tos.rtd",,U$2,"."&amp;$A$43&amp;$L$1&amp;"P"&amp;$A78)="N/A",0,RTD("tos.rtd",,U$2,"."&amp;$A$43&amp;$L$1&amp;"P"&amp;$A78))</f>
        <v>-477</v>
      </c>
      <c r="V78" s="1">
        <f ca="1">+Hoja2!Y79</f>
        <v>-18092</v>
      </c>
      <c r="W78" s="1">
        <f t="shared" ca="1" si="26"/>
        <v>-33285</v>
      </c>
    </row>
    <row r="79" spans="1:23" ht="13.5" thickBot="1" x14ac:dyDescent="0.25">
      <c r="A79" s="2">
        <f t="shared" si="27"/>
        <v>595</v>
      </c>
      <c r="B79" s="31">
        <f t="shared" si="20"/>
        <v>-3819</v>
      </c>
      <c r="C79" s="31">
        <f t="shared" si="21"/>
        <v>-7134</v>
      </c>
      <c r="D79" s="31">
        <f t="shared" si="22"/>
        <v>-10253</v>
      </c>
      <c r="E79" s="31">
        <f t="shared" si="23"/>
        <v>-21206</v>
      </c>
      <c r="F79" s="9">
        <f t="shared" si="28"/>
        <v>24530.015116849157</v>
      </c>
      <c r="H79" s="13">
        <f>IF(RTD("tos.rtd",,H$43,"."&amp;$A$43&amp;$H$42&amp;"C"&amp;$A79)="N/A",0,RTD("tos.rtd",,H$43,"."&amp;$A$43&amp;$H$42&amp;"C"&amp;$A79))</f>
        <v>84</v>
      </c>
      <c r="I79" s="32">
        <f>-IF(RTD("tos.rtd",,I$43,"."&amp;$A$43&amp;$H$42&amp;"P"&amp;$A79)="N/A",0,RTD("tos.rtd",,I$43,"."&amp;$A$43&amp;$H$42&amp;"P"&amp;$A79))</f>
        <v>-3903</v>
      </c>
      <c r="J79" s="13">
        <f>IF(RTD("tos.rtd",,J$2,"."&amp;$A$43&amp;$J$1&amp;"C"&amp;$A79)="N/A",0,RTD("tos.rtd",,J$2,"."&amp;$A$43&amp;$J$1&amp;"C"&amp;$A79))</f>
        <v>288</v>
      </c>
      <c r="K79" s="32">
        <f>-IF(RTD("tos.rtd",,K$2,"."&amp;$A$43&amp;$J$1&amp;"P"&amp;$A79)="N/A",0,RTD("tos.rtd",,K$2,"."&amp;$A$43&amp;$J$1&amp;"P"&amp;$A79))</f>
        <v>-7422</v>
      </c>
      <c r="L79" s="13">
        <f>IF(RTD("tos.rtd",,L$2,"."&amp;$A$43&amp;$L$1&amp;"C"&amp;$A79)="N/A",0,RTD("tos.rtd",,L$2,"."&amp;$A$43&amp;$L$1&amp;"C"&amp;$A79))</f>
        <v>6349</v>
      </c>
      <c r="M79" s="32">
        <f>-IF(RTD("tos.rtd",,M$2,"."&amp;$A$43&amp;$L$1&amp;"P"&amp;$A79)="N/A",0,RTD("tos.rtd",,M$2,"."&amp;$A$43&amp;$L$1&amp;"P"&amp;$A79))</f>
        <v>-16602</v>
      </c>
      <c r="N79" s="1">
        <f t="shared" si="25"/>
        <v>-21206</v>
      </c>
      <c r="O79" s="7">
        <f t="shared" si="24"/>
        <v>595</v>
      </c>
      <c r="P79" s="13">
        <f>IF(RTD("tos.rtd",,P$43,"."&amp;$A$43&amp;$H$42&amp;"C"&amp;$A79)="N/A",0,RTD("tos.rtd",,P$43,"."&amp;$A$43&amp;$H$42&amp;"C"&amp;$A79))</f>
        <v>2175</v>
      </c>
      <c r="Q79" s="32">
        <f>-IF(RTD("tos.rtd",,Q$43,"."&amp;$A$43&amp;$H$42&amp;"P"&amp;$A79)="N/A",0,RTD("tos.rtd",,Q$43,"."&amp;$A$43&amp;$H$42&amp;"P"&amp;$A79))</f>
        <v>-25235</v>
      </c>
      <c r="R79" s="13">
        <f>IF(RTD("tos.rtd",,R$2,"."&amp;$A$43&amp;$J$1&amp;"C"&amp;$A79)="N/A",0,RTD("tos.rtd",,R$2,"."&amp;$A$43&amp;$J$1&amp;"C"&amp;$A79))</f>
        <v>742</v>
      </c>
      <c r="S79" s="32">
        <f>-IF(RTD("tos.rtd",,S$2,"."&amp;$A$43&amp;$J$1&amp;"P"&amp;$A79)="N/A",0,RTD("tos.rtd",,S$2,"."&amp;$A$43&amp;$J$1&amp;"P"&amp;$A79))</f>
        <v>-15816</v>
      </c>
      <c r="T79" s="13">
        <f>IF(RTD("tos.rtd",,T$2,"."&amp;$A$43&amp;$L$1&amp;"C"&amp;$A79)="N/A",0,RTD("tos.rtd",,T$2,"."&amp;$A$43&amp;$L$1&amp;"C"&amp;$A79))</f>
        <v>202</v>
      </c>
      <c r="U79" s="32">
        <f>-IF(RTD("tos.rtd",,U$2,"."&amp;$A$43&amp;$L$1&amp;"P"&amp;$A79)="N/A",0,RTD("tos.rtd",,U$2,"."&amp;$A$43&amp;$L$1&amp;"P"&amp;$A79))</f>
        <v>-15997</v>
      </c>
      <c r="V79" s="1">
        <f ca="1">+Hoja2!Y80</f>
        <v>-43687</v>
      </c>
      <c r="W79" s="1">
        <f t="shared" ca="1" si="26"/>
        <v>-97616</v>
      </c>
    </row>
    <row r="80" spans="1:23" x14ac:dyDescent="0.2">
      <c r="A80" s="43"/>
      <c r="B80" s="18">
        <f>MAX(B45:B79)/2</f>
        <v>1140.5</v>
      </c>
      <c r="C80" s="18">
        <f>MAX(C45:C79)/2</f>
        <v>336.5</v>
      </c>
      <c r="D80" s="18">
        <f>MAX(D45:D79)/2</f>
        <v>3148</v>
      </c>
      <c r="E80" s="18">
        <f>MAX(E45:E79)/2</f>
        <v>3623</v>
      </c>
      <c r="H80" s="37" t="s">
        <v>15</v>
      </c>
      <c r="I80" s="37" t="s">
        <v>16</v>
      </c>
      <c r="J80" s="37" t="s">
        <v>15</v>
      </c>
      <c r="K80" s="37" t="s">
        <v>16</v>
      </c>
      <c r="L80" s="37" t="s">
        <v>15</v>
      </c>
      <c r="M80" s="37" t="s">
        <v>16</v>
      </c>
      <c r="P80" s="37" t="s">
        <v>15</v>
      </c>
      <c r="Q80" s="37" t="s">
        <v>16</v>
      </c>
      <c r="R80" s="37" t="s">
        <v>15</v>
      </c>
      <c r="S80" s="37" t="s">
        <v>16</v>
      </c>
      <c r="T80" s="37" t="s">
        <v>15</v>
      </c>
      <c r="U80" s="37" t="s">
        <v>16</v>
      </c>
      <c r="V80" s="55"/>
      <c r="W80" s="1">
        <f ca="1">MIN(W45:W79)</f>
        <v>-181344</v>
      </c>
    </row>
    <row r="81" spans="1:23" ht="13.5" thickBot="1" x14ac:dyDescent="0.25">
      <c r="A81" s="43">
        <v>5</v>
      </c>
      <c r="D81" s="44">
        <f>+F84-57</f>
        <v>6708</v>
      </c>
      <c r="E81" s="54">
        <v>6600</v>
      </c>
    </row>
    <row r="82" spans="1:23" ht="13.5" thickBot="1" x14ac:dyDescent="0.25">
      <c r="A82" s="18" t="s">
        <v>9</v>
      </c>
      <c r="B82" s="40" t="s">
        <v>10</v>
      </c>
      <c r="C82" s="40" t="s">
        <v>10</v>
      </c>
      <c r="D82" s="40" t="s">
        <v>9</v>
      </c>
      <c r="E82" s="18">
        <f>RTD("tos.rtd", ,"MARK", A83)</f>
        <v>6728.8</v>
      </c>
      <c r="F82" s="18">
        <f>+[3]Sheet1!$AD$2</f>
        <v>6247.6750637224113</v>
      </c>
      <c r="H82" s="20" t="str">
        <f>+B83</f>
        <v>251110</v>
      </c>
      <c r="I82" s="20"/>
      <c r="J82" s="20" t="str">
        <f>+C83</f>
        <v>251114</v>
      </c>
      <c r="K82" s="20"/>
      <c r="L82" s="20" t="str">
        <f>+D83</f>
        <v>251121</v>
      </c>
      <c r="M82" s="20"/>
      <c r="P82" s="64" t="str">
        <f>+B83</f>
        <v>251110</v>
      </c>
      <c r="Q82" s="64" t="str">
        <f>+P82</f>
        <v>251110</v>
      </c>
      <c r="R82" s="64" t="str">
        <f>+C83</f>
        <v>251114</v>
      </c>
      <c r="S82" s="64" t="str">
        <f>+C83</f>
        <v>251114</v>
      </c>
      <c r="T82" s="64" t="str">
        <f>+D83</f>
        <v>251121</v>
      </c>
      <c r="U82" s="64" t="str">
        <f>+T82</f>
        <v>251121</v>
      </c>
      <c r="V82" s="61"/>
      <c r="W82" s="1">
        <f ca="1">MAX(W85:W130)</f>
        <v>33765</v>
      </c>
    </row>
    <row r="83" spans="1:23" s="51" customFormat="1" ht="13.5" thickBot="1" x14ac:dyDescent="0.3">
      <c r="A83" s="40" t="s">
        <v>9</v>
      </c>
      <c r="B83" s="40" t="str">
        <f>+B2</f>
        <v>251110</v>
      </c>
      <c r="C83" s="40" t="str">
        <f>+C2</f>
        <v>251114</v>
      </c>
      <c r="D83" s="40" t="str">
        <f>+D2</f>
        <v>251121</v>
      </c>
      <c r="E83" s="40"/>
      <c r="F83" s="16" t="s">
        <v>0</v>
      </c>
      <c r="G83" s="18"/>
      <c r="H83" s="16" t="s">
        <v>1</v>
      </c>
      <c r="I83" s="16" t="s">
        <v>1</v>
      </c>
      <c r="J83" s="16" t="s">
        <v>1</v>
      </c>
      <c r="K83" s="16" t="s">
        <v>1</v>
      </c>
      <c r="L83" s="16" t="s">
        <v>1</v>
      </c>
      <c r="M83" s="45" t="s">
        <v>1</v>
      </c>
      <c r="N83" s="18"/>
      <c r="O83" s="18"/>
      <c r="P83" s="16" t="s">
        <v>7</v>
      </c>
      <c r="Q83" s="16" t="s">
        <v>7</v>
      </c>
      <c r="R83" s="16" t="s">
        <v>7</v>
      </c>
      <c r="S83" s="16" t="s">
        <v>7</v>
      </c>
      <c r="T83" s="16" t="s">
        <v>7</v>
      </c>
      <c r="U83" s="45" t="s">
        <v>7</v>
      </c>
      <c r="V83" s="62"/>
      <c r="W83" s="18" t="s">
        <v>14</v>
      </c>
    </row>
    <row r="84" spans="1:23" s="51" customFormat="1" ht="13.5" thickBot="1" x14ac:dyDescent="0.3">
      <c r="A84" s="41">
        <f>+E82</f>
        <v>6728.8</v>
      </c>
      <c r="B84" s="25">
        <f>+H84/I84</f>
        <v>-0.4091802692720124</v>
      </c>
      <c r="C84" s="25">
        <f>+J84/K84</f>
        <v>-0.58385379338589127</v>
      </c>
      <c r="D84" s="25">
        <f>+L84/M84</f>
        <v>-1.1042089848363172</v>
      </c>
      <c r="E84" s="26">
        <v>0</v>
      </c>
      <c r="F84" s="42">
        <f>RTD("tos.rtd", ,"MARK", F83)</f>
        <v>6765</v>
      </c>
      <c r="G84" s="18"/>
      <c r="H84" s="46">
        <f t="shared" ref="H84:M84" si="32">SUM(H85:H130)</f>
        <v>13737</v>
      </c>
      <c r="I84" s="47">
        <f t="shared" si="32"/>
        <v>-33572</v>
      </c>
      <c r="J84" s="46">
        <f t="shared" si="32"/>
        <v>22810</v>
      </c>
      <c r="K84" s="47">
        <f t="shared" si="32"/>
        <v>-39068</v>
      </c>
      <c r="L84" s="46">
        <f t="shared" si="32"/>
        <v>116875</v>
      </c>
      <c r="M84" s="47">
        <f t="shared" si="32"/>
        <v>-105845</v>
      </c>
      <c r="N84" s="47">
        <f>SUM(N85:N130)</f>
        <v>-25063</v>
      </c>
      <c r="O84" s="18">
        <v>0</v>
      </c>
      <c r="P84" s="46">
        <f t="shared" ref="P84:U84" si="33">SUM(P85:P130)</f>
        <v>146876</v>
      </c>
      <c r="Q84" s="47">
        <f t="shared" si="33"/>
        <v>-128940</v>
      </c>
      <c r="R84" s="46">
        <f t="shared" si="33"/>
        <v>41449</v>
      </c>
      <c r="S84" s="47">
        <f t="shared" si="33"/>
        <v>-22821</v>
      </c>
      <c r="T84" s="46">
        <f t="shared" si="33"/>
        <v>15127</v>
      </c>
      <c r="U84" s="47">
        <f t="shared" si="33"/>
        <v>-9449</v>
      </c>
      <c r="V84" s="47"/>
      <c r="W84" s="47">
        <f ca="1">SUM(W85:W130)</f>
        <v>76525</v>
      </c>
    </row>
    <row r="85" spans="1:23" s="51" customFormat="1" ht="12" customHeight="1" thickBot="1" x14ac:dyDescent="0.25">
      <c r="A85" s="2">
        <f>ROUND(E82/A81,0)*A81+22*A81</f>
        <v>6840</v>
      </c>
      <c r="B85" s="3">
        <f t="shared" ref="B85:B130" si="34">+IF($A$1="ABS",H85-I85,H85+I85)</f>
        <v>331</v>
      </c>
      <c r="C85" s="3">
        <f t="shared" ref="C85:C130" si="35">+IF($A$1="ABS",J85-K85,J85+K85)</f>
        <v>229</v>
      </c>
      <c r="D85" s="3">
        <f t="shared" ref="D85:D130" si="36">+IF($A$1="ABS",L85-M85,L85+M85)</f>
        <v>213</v>
      </c>
      <c r="E85" s="3">
        <f t="shared" ref="E85:E96" si="37">SUM(B85:D85)</f>
        <v>773</v>
      </c>
      <c r="F85" s="4">
        <f>+$F$84/$A$84*A85</f>
        <v>6876.7982403994765</v>
      </c>
      <c r="G85" s="18"/>
      <c r="H85" s="53">
        <f>IF(RTD("tos.rtd",,H$83,"."&amp;$B$82&amp;$H$82&amp;"C"&amp;$A85)="N/A",0,RTD("tos.rtd",,H$83,"."&amp;$B$82&amp;$H$82&amp;"C"&amp;$A85))</f>
        <v>572</v>
      </c>
      <c r="I85" s="26">
        <f>-IF(RTD("tos.rtd",,I$83,"."&amp;$B$82&amp;$H$82&amp;"P"&amp;$A85)="N/A",0,RTD("tos.rtd",,I$83,"."&amp;$B$82&amp;$H$82&amp;"P"&amp;$A85))</f>
        <v>-241</v>
      </c>
      <c r="J85" s="53">
        <f>IF(RTD("tos.rtd",,J$83,"."&amp;$C$82&amp;$J$82&amp;"C"&amp;$A85)="N/A",0,RTD("tos.rtd",,J$83,"."&amp;$C$82&amp;$J$82&amp;"C"&amp;$A85))</f>
        <v>560</v>
      </c>
      <c r="K85" s="26">
        <f>-IF(RTD("tos.rtd",,K$83,"."&amp;$C$82&amp;$J$82&amp;"P"&amp;$A85)="N/A",0,RTD("tos.rtd",,K$83,"."&amp;$C$82&amp;$J$82&amp;"P"&amp;$A85))</f>
        <v>-331</v>
      </c>
      <c r="L85" s="53">
        <f>IF(RTD("tos.rtd",,L$83,"."&amp;$D$82&amp;$L$82&amp;"C"&amp;$A85)="N/A",0,RTD("tos.rtd",,L$83,"."&amp;$D$82&amp;$L$82&amp;"C"&amp;$A85))</f>
        <v>456</v>
      </c>
      <c r="M85" s="26">
        <f>-IF(RTD("tos.rtd",,M$83,"."&amp;$D$82&amp;$L$82&amp;"P"&amp;$A85)="N/A",0,RTD("tos.rtd",,M$83,"."&amp;$D$82&amp;$L$82&amp;"P"&amp;$A85))</f>
        <v>-243</v>
      </c>
      <c r="N85" s="3">
        <f>SUM(H85:M85)</f>
        <v>773</v>
      </c>
      <c r="O85" s="7">
        <f t="shared" ref="O85:O130" si="38">+A85</f>
        <v>6840</v>
      </c>
      <c r="P85" s="53">
        <f>IF(RTD("tos.rtd",,P$83,"."&amp;$B$82&amp;$H$82&amp;"C"&amp;$A85)="N/A",0,RTD("tos.rtd",,P$83,"."&amp;$B$82&amp;$H$82&amp;"C"&amp;$A85))</f>
        <v>982</v>
      </c>
      <c r="Q85" s="26">
        <f>-IF(RTD("tos.rtd",,Q$83,"."&amp;$B$82&amp;$H$82&amp;"P"&amp;$A85)="N/A",0,RTD("tos.rtd",,Q$83,"."&amp;$B$82&amp;$H$82&amp;"P"&amp;$A85))</f>
        <v>-170</v>
      </c>
      <c r="R85" s="53">
        <f>IF(RTD("tos.rtd",,R$83,"."&amp;$C$82&amp;$J$82&amp;"C"&amp;$A85)="N/A",0,RTD("tos.rtd",,R$83,"."&amp;$C$82&amp;$J$82&amp;"C"&amp;$A85))</f>
        <v>649</v>
      </c>
      <c r="S85" s="26">
        <f>-IF(RTD("tos.rtd",,S$83,"."&amp;$C$82&amp;$J$82&amp;"P"&amp;$A85)="N/A",0,RTD("tos.rtd",,S$83,"."&amp;$C$82&amp;$J$82&amp;"P"&amp;$A85))</f>
        <v>-15</v>
      </c>
      <c r="T85" s="53">
        <f>IF(RTD("tos.rtd",,T$83,"."&amp;$D$82&amp;$L$82&amp;"C"&amp;$A85)="N/A",0,RTD("tos.rtd",,T$83,"."&amp;$D$82&amp;$L$82&amp;"C"&amp;$A85))</f>
        <v>45</v>
      </c>
      <c r="U85" s="26">
        <f>-IF(RTD("tos.rtd",,U$83,"."&amp;$D$82&amp;$L$82&amp;"P"&amp;$A85)="N/A",0,RTD("tos.rtd",,U$83,"."&amp;$D$82&amp;$L$82&amp;"P"&amp;$A85))</f>
        <v>-6</v>
      </c>
      <c r="V85" s="3">
        <f ca="1">+Hoja2!Y86</f>
        <v>2816</v>
      </c>
      <c r="W85" s="3">
        <f>SUM(P85:U85)</f>
        <v>1485</v>
      </c>
    </row>
    <row r="86" spans="1:23" s="51" customFormat="1" ht="12" customHeight="1" thickBot="1" x14ac:dyDescent="0.25">
      <c r="A86" s="2">
        <f>+A85-$A$81</f>
        <v>6835</v>
      </c>
      <c r="B86" s="3">
        <f t="shared" si="34"/>
        <v>137</v>
      </c>
      <c r="C86" s="3">
        <f t="shared" si="35"/>
        <v>224</v>
      </c>
      <c r="D86" s="3">
        <f t="shared" si="36"/>
        <v>156</v>
      </c>
      <c r="E86" s="3">
        <f t="shared" si="37"/>
        <v>517</v>
      </c>
      <c r="F86" s="4">
        <f>+$F$84/$A$84*A86</f>
        <v>6871.771341100939</v>
      </c>
      <c r="G86" s="18"/>
      <c r="H86" s="48">
        <f>IF(RTD("tos.rtd",,H$83,"."&amp;$B$82&amp;$H$82&amp;"C"&amp;$A86)="N/A",0,RTD("tos.rtd",,H$83,"."&amp;$B$82&amp;$H$82&amp;"C"&amp;$A86))</f>
        <v>262</v>
      </c>
      <c r="I86" s="3">
        <f>-IF(RTD("tos.rtd",,I$83,"."&amp;$B$82&amp;$H$82&amp;"P"&amp;$A86)="N/A",0,RTD("tos.rtd",,I$83,"."&amp;$B$82&amp;$H$82&amp;"P"&amp;$A86))</f>
        <v>-125</v>
      </c>
      <c r="J86" s="48">
        <f>IF(RTD("tos.rtd",,J$83,"."&amp;$C$82&amp;$J$82&amp;"C"&amp;$A86)="N/A",0,RTD("tos.rtd",,J$83,"."&amp;$C$82&amp;$J$82&amp;"C"&amp;$A86))</f>
        <v>341</v>
      </c>
      <c r="K86" s="3">
        <f>-IF(RTD("tos.rtd",,K$83,"."&amp;$C$82&amp;$J$82&amp;"P"&amp;$A86)="N/A",0,RTD("tos.rtd",,K$83,"."&amp;$C$82&amp;$J$82&amp;"P"&amp;$A86))</f>
        <v>-117</v>
      </c>
      <c r="L86" s="48">
        <f>IF(RTD("tos.rtd",,L$83,"."&amp;$D$82&amp;$L$82&amp;"C"&amp;$A86)="N/A",0,RTD("tos.rtd",,L$83,"."&amp;$D$82&amp;$L$82&amp;"C"&amp;$A86))</f>
        <v>233</v>
      </c>
      <c r="M86" s="3">
        <f>-IF(RTD("tos.rtd",,M$83,"."&amp;$D$82&amp;$L$82&amp;"P"&amp;$A86)="N/A",0,RTD("tos.rtd",,M$83,"."&amp;$D$82&amp;$L$82&amp;"P"&amp;$A86))</f>
        <v>-77</v>
      </c>
      <c r="N86" s="3">
        <f t="shared" ref="N86:N98" si="39">SUM(H86:M86)</f>
        <v>517</v>
      </c>
      <c r="O86" s="7">
        <f t="shared" si="38"/>
        <v>6835</v>
      </c>
      <c r="P86" s="48">
        <f>IF(RTD("tos.rtd",,P$83,"."&amp;$B$82&amp;$H$82&amp;"C"&amp;$A86)="N/A",0,RTD("tos.rtd",,P$83,"."&amp;$B$82&amp;$H$82&amp;"C"&amp;$A86))</f>
        <v>1712</v>
      </c>
      <c r="Q86" s="3">
        <f>-IF(RTD("tos.rtd",,Q$83,"."&amp;$B$82&amp;$H$82&amp;"P"&amp;$A86)="N/A",0,RTD("tos.rtd",,Q$83,"."&amp;$B$82&amp;$H$82&amp;"P"&amp;$A86))</f>
        <v>-63</v>
      </c>
      <c r="R86" s="48">
        <f>IF(RTD("tos.rtd",,R$83,"."&amp;$C$82&amp;$J$82&amp;"C"&amp;$A86)="N/A",0,RTD("tos.rtd",,R$83,"."&amp;$C$82&amp;$J$82&amp;"C"&amp;$A86))</f>
        <v>683</v>
      </c>
      <c r="S86" s="3">
        <f>-IF(RTD("tos.rtd",,S$83,"."&amp;$C$82&amp;$J$82&amp;"P"&amp;$A86)="N/A",0,RTD("tos.rtd",,S$83,"."&amp;$C$82&amp;$J$82&amp;"P"&amp;$A86))</f>
        <v>-23</v>
      </c>
      <c r="T86" s="48">
        <f>IF(RTD("tos.rtd",,T$83,"."&amp;$D$82&amp;$L$82&amp;"C"&amp;$A86)="N/A",0,RTD("tos.rtd",,T$83,"."&amp;$D$82&amp;$L$82&amp;"C"&amp;$A86))</f>
        <v>25</v>
      </c>
      <c r="U86" s="3">
        <f>-IF(RTD("tos.rtd",,U$83,"."&amp;$D$82&amp;$L$82&amp;"P"&amp;$A86)="N/A",0,RTD("tos.rtd",,U$83,"."&amp;$D$82&amp;$L$82&amp;"P"&amp;$A86))</f>
        <v>-3</v>
      </c>
      <c r="V86" s="3">
        <f ca="1">+Hoja2!Y87</f>
        <v>2855</v>
      </c>
      <c r="W86" s="3">
        <f t="shared" ref="W86:W130" ca="1" si="40">SUM(P86:V86)</f>
        <v>5186</v>
      </c>
    </row>
    <row r="87" spans="1:23" s="51" customFormat="1" ht="12" customHeight="1" thickBot="1" x14ac:dyDescent="0.25">
      <c r="A87" s="2">
        <f t="shared" ref="A87:A130" si="41">+A86-$A$81</f>
        <v>6830</v>
      </c>
      <c r="B87" s="3">
        <f t="shared" si="34"/>
        <v>177</v>
      </c>
      <c r="C87" s="3">
        <f t="shared" si="35"/>
        <v>4465</v>
      </c>
      <c r="D87" s="3">
        <f t="shared" si="36"/>
        <v>48</v>
      </c>
      <c r="E87" s="3">
        <f t="shared" si="37"/>
        <v>4690</v>
      </c>
      <c r="F87" s="4">
        <f t="shared" ref="F87:F92" si="42">+$F$84/$A$84*A87</f>
        <v>6866.7444418024015</v>
      </c>
      <c r="G87" s="18"/>
      <c r="H87" s="48">
        <f>IF(RTD("tos.rtd",,H$83,"."&amp;$B$82&amp;$H$82&amp;"C"&amp;$A87)="N/A",0,RTD("tos.rtd",,H$83,"."&amp;$B$82&amp;$H$82&amp;"C"&amp;$A87))</f>
        <v>482</v>
      </c>
      <c r="I87" s="3">
        <f>-IF(RTD("tos.rtd",,I$83,"."&amp;$B$82&amp;$H$82&amp;"P"&amp;$A87)="N/A",0,RTD("tos.rtd",,I$83,"."&amp;$B$82&amp;$H$82&amp;"P"&amp;$A87))</f>
        <v>-305</v>
      </c>
      <c r="J87" s="48">
        <f>IF(RTD("tos.rtd",,J$83,"."&amp;$C$82&amp;$J$82&amp;"C"&amp;$A87)="N/A",0,RTD("tos.rtd",,J$83,"."&amp;$C$82&amp;$J$82&amp;"C"&amp;$A87))</f>
        <v>4717</v>
      </c>
      <c r="K87" s="3">
        <f>-IF(RTD("tos.rtd",,K$83,"."&amp;$C$82&amp;$J$82&amp;"P"&amp;$A87)="N/A",0,RTD("tos.rtd",,K$83,"."&amp;$C$82&amp;$J$82&amp;"P"&amp;$A87))</f>
        <v>-252</v>
      </c>
      <c r="L87" s="48">
        <f>IF(RTD("tos.rtd",,L$83,"."&amp;$D$82&amp;$L$82&amp;"C"&amp;$A87)="N/A",0,RTD("tos.rtd",,L$83,"."&amp;$D$82&amp;$L$82&amp;"C"&amp;$A87))</f>
        <v>621</v>
      </c>
      <c r="M87" s="3">
        <f>-IF(RTD("tos.rtd",,M$83,"."&amp;$D$82&amp;$L$82&amp;"P"&amp;$A87)="N/A",0,RTD("tos.rtd",,M$83,"."&amp;$D$82&amp;$L$82&amp;"P"&amp;$A87))</f>
        <v>-573</v>
      </c>
      <c r="N87" s="3">
        <f t="shared" si="39"/>
        <v>4690</v>
      </c>
      <c r="O87" s="7">
        <f t="shared" si="38"/>
        <v>6830</v>
      </c>
      <c r="P87" s="48">
        <f>IF(RTD("tos.rtd",,P$83,"."&amp;$B$82&amp;$H$82&amp;"C"&amp;$A87)="N/A",0,RTD("tos.rtd",,P$83,"."&amp;$B$82&amp;$H$82&amp;"C"&amp;$A87))</f>
        <v>3098</v>
      </c>
      <c r="Q87" s="3">
        <f>-IF(RTD("tos.rtd",,Q$83,"."&amp;$B$82&amp;$H$82&amp;"P"&amp;$A87)="N/A",0,RTD("tos.rtd",,Q$83,"."&amp;$B$82&amp;$H$82&amp;"P"&amp;$A87))</f>
        <v>-171</v>
      </c>
      <c r="R87" s="48">
        <f>IF(RTD("tos.rtd",,R$83,"."&amp;$C$82&amp;$J$82&amp;"C"&amp;$A87)="N/A",0,RTD("tos.rtd",,R$83,"."&amp;$C$82&amp;$J$82&amp;"C"&amp;$A87))</f>
        <v>5375</v>
      </c>
      <c r="S87" s="3">
        <f>-IF(RTD("tos.rtd",,S$83,"."&amp;$C$82&amp;$J$82&amp;"P"&amp;$A87)="N/A",0,RTD("tos.rtd",,S$83,"."&amp;$C$82&amp;$J$82&amp;"P"&amp;$A87))</f>
        <v>-71</v>
      </c>
      <c r="T87" s="48">
        <f>IF(RTD("tos.rtd",,T$83,"."&amp;$D$82&amp;$L$82&amp;"C"&amp;$A87)="N/A",0,RTD("tos.rtd",,T$83,"."&amp;$D$82&amp;$L$82&amp;"C"&amp;$A87))</f>
        <v>177</v>
      </c>
      <c r="U87" s="3">
        <f>-IF(RTD("tos.rtd",,U$83,"."&amp;$D$82&amp;$L$82&amp;"P"&amp;$A87)="N/A",0,RTD("tos.rtd",,U$83,"."&amp;$D$82&amp;$L$82&amp;"P"&amp;$A87))</f>
        <v>-62</v>
      </c>
      <c r="V87" s="3">
        <f ca="1">+Hoja2!Y88</f>
        <v>5014</v>
      </c>
      <c r="W87" s="3">
        <f t="shared" ca="1" si="40"/>
        <v>13360</v>
      </c>
    </row>
    <row r="88" spans="1:23" s="51" customFormat="1" ht="12" customHeight="1" thickBot="1" x14ac:dyDescent="0.25">
      <c r="A88" s="2">
        <f t="shared" si="41"/>
        <v>6825</v>
      </c>
      <c r="B88" s="3">
        <f t="shared" si="34"/>
        <v>-150</v>
      </c>
      <c r="C88" s="3">
        <f t="shared" si="35"/>
        <v>974</v>
      </c>
      <c r="D88" s="3">
        <f t="shared" si="36"/>
        <v>1816</v>
      </c>
      <c r="E88" s="3">
        <f t="shared" si="37"/>
        <v>2640</v>
      </c>
      <c r="F88" s="4">
        <f t="shared" si="42"/>
        <v>6861.717542503864</v>
      </c>
      <c r="G88" s="18"/>
      <c r="H88" s="48">
        <f>IF(RTD("tos.rtd",,H$83,"."&amp;$B$82&amp;$H$82&amp;"C"&amp;$A88)="N/A",0,RTD("tos.rtd",,H$83,"."&amp;$B$82&amp;$H$82&amp;"C"&amp;$A88))</f>
        <v>547</v>
      </c>
      <c r="I88" s="3">
        <f>-IF(RTD("tos.rtd",,I$83,"."&amp;$B$82&amp;$H$82&amp;"P"&amp;$A88)="N/A",0,RTD("tos.rtd",,I$83,"."&amp;$B$82&amp;$H$82&amp;"P"&amp;$A88))</f>
        <v>-697</v>
      </c>
      <c r="J88" s="48">
        <f>IF(RTD("tos.rtd",,J$83,"."&amp;$C$82&amp;$J$82&amp;"C"&amp;$A88)="N/A",0,RTD("tos.rtd",,J$83,"."&amp;$C$82&amp;$J$82&amp;"C"&amp;$A88))</f>
        <v>1284</v>
      </c>
      <c r="K88" s="3">
        <f>-IF(RTD("tos.rtd",,K$83,"."&amp;$C$82&amp;$J$82&amp;"P"&amp;$A88)="N/A",0,RTD("tos.rtd",,K$83,"."&amp;$C$82&amp;$J$82&amp;"P"&amp;$A88))</f>
        <v>-310</v>
      </c>
      <c r="L88" s="48">
        <f>IF(RTD("tos.rtd",,L$83,"."&amp;$D$82&amp;$L$82&amp;"C"&amp;$A88)="N/A",0,RTD("tos.rtd",,L$83,"."&amp;$D$82&amp;$L$82&amp;"C"&amp;$A88))</f>
        <v>3634</v>
      </c>
      <c r="M88" s="3">
        <f>-IF(RTD("tos.rtd",,M$83,"."&amp;$D$82&amp;$L$82&amp;"P"&amp;$A88)="N/A",0,RTD("tos.rtd",,M$83,"."&amp;$D$82&amp;$L$82&amp;"P"&amp;$A88))</f>
        <v>-1818</v>
      </c>
      <c r="N88" s="3">
        <f t="shared" si="39"/>
        <v>2640</v>
      </c>
      <c r="O88" s="7">
        <f t="shared" si="38"/>
        <v>6825</v>
      </c>
      <c r="P88" s="48">
        <f>IF(RTD("tos.rtd",,P$83,"."&amp;$B$82&amp;$H$82&amp;"C"&amp;$A88)="N/A",0,RTD("tos.rtd",,P$83,"."&amp;$B$82&amp;$H$82&amp;"C"&amp;$A88))</f>
        <v>3422</v>
      </c>
      <c r="Q88" s="3">
        <f>-IF(RTD("tos.rtd",,Q$83,"."&amp;$B$82&amp;$H$82&amp;"P"&amp;$A88)="N/A",0,RTD("tos.rtd",,Q$83,"."&amp;$B$82&amp;$H$82&amp;"P"&amp;$A88))</f>
        <v>-61</v>
      </c>
      <c r="R88" s="48">
        <f>IF(RTD("tos.rtd",,R$83,"."&amp;$C$82&amp;$J$82&amp;"C"&amp;$A88)="N/A",0,RTD("tos.rtd",,R$83,"."&amp;$C$82&amp;$J$82&amp;"C"&amp;$A88))</f>
        <v>858</v>
      </c>
      <c r="S88" s="3">
        <f>-IF(RTD("tos.rtd",,S$83,"."&amp;$C$82&amp;$J$82&amp;"P"&amp;$A88)="N/A",0,RTD("tos.rtd",,S$83,"."&amp;$C$82&amp;$J$82&amp;"P"&amp;$A88))</f>
        <v>-34</v>
      </c>
      <c r="T88" s="48">
        <f>IF(RTD("tos.rtd",,T$83,"."&amp;$D$82&amp;$L$82&amp;"C"&amp;$A88)="N/A",0,RTD("tos.rtd",,T$83,"."&amp;$D$82&amp;$L$82&amp;"C"&amp;$A88))</f>
        <v>282</v>
      </c>
      <c r="U88" s="3">
        <f>-IF(RTD("tos.rtd",,U$83,"."&amp;$D$82&amp;$L$82&amp;"P"&amp;$A88)="N/A",0,RTD("tos.rtd",,U$83,"."&amp;$D$82&amp;$L$82&amp;"P"&amp;$A88))</f>
        <v>-1</v>
      </c>
      <c r="V88" s="3">
        <f ca="1">+Hoja2!Y89</f>
        <v>4116</v>
      </c>
      <c r="W88" s="3">
        <f t="shared" ca="1" si="40"/>
        <v>8582</v>
      </c>
    </row>
    <row r="89" spans="1:23" s="51" customFormat="1" ht="12" customHeight="1" thickBot="1" x14ac:dyDescent="0.25">
      <c r="A89" s="2">
        <f t="shared" si="41"/>
        <v>6820</v>
      </c>
      <c r="B89" s="3">
        <f t="shared" si="34"/>
        <v>83</v>
      </c>
      <c r="C89" s="3">
        <f t="shared" si="35"/>
        <v>-637</v>
      </c>
      <c r="D89" s="3">
        <f t="shared" si="36"/>
        <v>429</v>
      </c>
      <c r="E89" s="3">
        <f t="shared" si="37"/>
        <v>-125</v>
      </c>
      <c r="F89" s="4">
        <f t="shared" si="42"/>
        <v>6856.6906432053265</v>
      </c>
      <c r="G89" s="18"/>
      <c r="H89" s="48">
        <f>IF(RTD("tos.rtd",,H$83,"."&amp;$B$82&amp;$H$82&amp;"C"&amp;$A89)="N/A",0,RTD("tos.rtd",,H$83,"."&amp;$B$82&amp;$H$82&amp;"C"&amp;$A89))</f>
        <v>647</v>
      </c>
      <c r="I89" s="3">
        <f>-IF(RTD("tos.rtd",,I$83,"."&amp;$B$82&amp;$H$82&amp;"P"&amp;$A89)="N/A",0,RTD("tos.rtd",,I$83,"."&amp;$B$82&amp;$H$82&amp;"P"&amp;$A89))</f>
        <v>-564</v>
      </c>
      <c r="J89" s="48">
        <f>IF(RTD("tos.rtd",,J$83,"."&amp;$C$82&amp;$J$82&amp;"C"&amp;$A89)="N/A",0,RTD("tos.rtd",,J$83,"."&amp;$C$82&amp;$J$82&amp;"C"&amp;$A89))</f>
        <v>697</v>
      </c>
      <c r="K89" s="3">
        <f>-IF(RTD("tos.rtd",,K$83,"."&amp;$C$82&amp;$J$82&amp;"P"&amp;$A89)="N/A",0,RTD("tos.rtd",,K$83,"."&amp;$C$82&amp;$J$82&amp;"P"&amp;$A89))</f>
        <v>-1334</v>
      </c>
      <c r="L89" s="48">
        <f>IF(RTD("tos.rtd",,L$83,"."&amp;$D$82&amp;$L$82&amp;"C"&amp;$A89)="N/A",0,RTD("tos.rtd",,L$83,"."&amp;$D$82&amp;$L$82&amp;"C"&amp;$A89))</f>
        <v>621</v>
      </c>
      <c r="M89" s="3">
        <f>-IF(RTD("tos.rtd",,M$83,"."&amp;$D$82&amp;$L$82&amp;"P"&amp;$A89)="N/A",0,RTD("tos.rtd",,M$83,"."&amp;$D$82&amp;$L$82&amp;"P"&amp;$A89))</f>
        <v>-192</v>
      </c>
      <c r="N89" s="3">
        <f t="shared" si="39"/>
        <v>-125</v>
      </c>
      <c r="O89" s="7">
        <f t="shared" si="38"/>
        <v>6820</v>
      </c>
      <c r="P89" s="48">
        <f>IF(RTD("tos.rtd",,P$83,"."&amp;$B$82&amp;$H$82&amp;"C"&amp;$A89)="N/A",0,RTD("tos.rtd",,P$83,"."&amp;$B$82&amp;$H$82&amp;"C"&amp;$A89))</f>
        <v>3690</v>
      </c>
      <c r="Q89" s="3">
        <f>-IF(RTD("tos.rtd",,Q$83,"."&amp;$B$82&amp;$H$82&amp;"P"&amp;$A89)="N/A",0,RTD("tos.rtd",,Q$83,"."&amp;$B$82&amp;$H$82&amp;"P"&amp;$A89))</f>
        <v>-156</v>
      </c>
      <c r="R89" s="48">
        <f>IF(RTD("tos.rtd",,R$83,"."&amp;$C$82&amp;$J$82&amp;"C"&amp;$A89)="N/A",0,RTD("tos.rtd",,R$83,"."&amp;$C$82&amp;$J$82&amp;"C"&amp;$A89))</f>
        <v>6995</v>
      </c>
      <c r="S89" s="3">
        <f>-IF(RTD("tos.rtd",,S$83,"."&amp;$C$82&amp;$J$82&amp;"P"&amp;$A89)="N/A",0,RTD("tos.rtd",,S$83,"."&amp;$C$82&amp;$J$82&amp;"P"&amp;$A89))</f>
        <v>-10</v>
      </c>
      <c r="T89" s="48">
        <f>IF(RTD("tos.rtd",,T$83,"."&amp;$D$82&amp;$L$82&amp;"C"&amp;$A89)="N/A",0,RTD("tos.rtd",,T$83,"."&amp;$D$82&amp;$L$82&amp;"C"&amp;$A89))</f>
        <v>32</v>
      </c>
      <c r="U89" s="3">
        <f>-IF(RTD("tos.rtd",,U$83,"."&amp;$D$82&amp;$L$82&amp;"P"&amp;$A89)="N/A",0,RTD("tos.rtd",,U$83,"."&amp;$D$82&amp;$L$82&amp;"P"&amp;$A89))</f>
        <v>0</v>
      </c>
      <c r="V89" s="3">
        <f ca="1">+Hoja2!Y90</f>
        <v>5558</v>
      </c>
      <c r="W89" s="3">
        <f t="shared" ca="1" si="40"/>
        <v>16109</v>
      </c>
    </row>
    <row r="90" spans="1:23" s="51" customFormat="1" ht="12" customHeight="1" thickBot="1" x14ac:dyDescent="0.25">
      <c r="A90" s="2">
        <f t="shared" si="41"/>
        <v>6815</v>
      </c>
      <c r="B90" s="3">
        <f t="shared" si="34"/>
        <v>-31</v>
      </c>
      <c r="C90" s="3">
        <f t="shared" si="35"/>
        <v>-195</v>
      </c>
      <c r="D90" s="3">
        <f t="shared" si="36"/>
        <v>126</v>
      </c>
      <c r="E90" s="3">
        <f t="shared" si="37"/>
        <v>-100</v>
      </c>
      <c r="F90" s="4">
        <f t="shared" si="42"/>
        <v>6851.663743906789</v>
      </c>
      <c r="G90" s="18"/>
      <c r="H90" s="48">
        <f>IF(RTD("tos.rtd",,H$83,"."&amp;$B$82&amp;$H$82&amp;"C"&amp;$A90)="N/A",0,RTD("tos.rtd",,H$83,"."&amp;$B$82&amp;$H$82&amp;"C"&amp;$A90))</f>
        <v>516</v>
      </c>
      <c r="I90" s="3">
        <f>-IF(RTD("tos.rtd",,I$83,"."&amp;$B$82&amp;$H$82&amp;"P"&amp;$A90)="N/A",0,RTD("tos.rtd",,I$83,"."&amp;$B$82&amp;$H$82&amp;"P"&amp;$A90))</f>
        <v>-547</v>
      </c>
      <c r="J90" s="48">
        <f>IF(RTD("tos.rtd",,J$83,"."&amp;$C$82&amp;$J$82&amp;"C"&amp;$A90)="N/A",0,RTD("tos.rtd",,J$83,"."&amp;$C$82&amp;$J$82&amp;"C"&amp;$A90))</f>
        <v>78</v>
      </c>
      <c r="K90" s="3">
        <f>-IF(RTD("tos.rtd",,K$83,"."&amp;$C$82&amp;$J$82&amp;"P"&amp;$A90)="N/A",0,RTD("tos.rtd",,K$83,"."&amp;$C$82&amp;$J$82&amp;"P"&amp;$A90))</f>
        <v>-273</v>
      </c>
      <c r="L90" s="48">
        <f>IF(RTD("tos.rtd",,L$83,"."&amp;$D$82&amp;$L$82&amp;"C"&amp;$A90)="N/A",0,RTD("tos.rtd",,L$83,"."&amp;$D$82&amp;$L$82&amp;"C"&amp;$A90))</f>
        <v>1177</v>
      </c>
      <c r="M90" s="3">
        <f>-IF(RTD("tos.rtd",,M$83,"."&amp;$D$82&amp;$L$82&amp;"P"&amp;$A90)="N/A",0,RTD("tos.rtd",,M$83,"."&amp;$D$82&amp;$L$82&amp;"P"&amp;$A90))</f>
        <v>-1051</v>
      </c>
      <c r="N90" s="3">
        <f t="shared" si="39"/>
        <v>-100</v>
      </c>
      <c r="O90" s="7">
        <f t="shared" si="38"/>
        <v>6815</v>
      </c>
      <c r="P90" s="48">
        <f>IF(RTD("tos.rtd",,P$83,"."&amp;$B$82&amp;$H$82&amp;"C"&amp;$A90)="N/A",0,RTD("tos.rtd",,P$83,"."&amp;$B$82&amp;$H$82&amp;"C"&amp;$A90))</f>
        <v>4830</v>
      </c>
      <c r="Q90" s="3">
        <f>-IF(RTD("tos.rtd",,Q$83,"."&amp;$B$82&amp;$H$82&amp;"P"&amp;$A90)="N/A",0,RTD("tos.rtd",,Q$83,"."&amp;$B$82&amp;$H$82&amp;"P"&amp;$A90))</f>
        <v>-80</v>
      </c>
      <c r="R90" s="48">
        <f>IF(RTD("tos.rtd",,R$83,"."&amp;$C$82&amp;$J$82&amp;"C"&amp;$A90)="N/A",0,RTD("tos.rtd",,R$83,"."&amp;$C$82&amp;$J$82&amp;"C"&amp;$A90))</f>
        <v>1136</v>
      </c>
      <c r="S90" s="3">
        <f>-IF(RTD("tos.rtd",,S$83,"."&amp;$C$82&amp;$J$82&amp;"P"&amp;$A90)="N/A",0,RTD("tos.rtd",,S$83,"."&amp;$C$82&amp;$J$82&amp;"P"&amp;$A90))</f>
        <v>-26</v>
      </c>
      <c r="T90" s="48">
        <f>IF(RTD("tos.rtd",,T$83,"."&amp;$D$82&amp;$L$82&amp;"C"&amp;$A90)="N/A",0,RTD("tos.rtd",,T$83,"."&amp;$D$82&amp;$L$82&amp;"C"&amp;$A90))</f>
        <v>57</v>
      </c>
      <c r="U90" s="3">
        <f>-IF(RTD("tos.rtd",,U$83,"."&amp;$D$82&amp;$L$82&amp;"P"&amp;$A90)="N/A",0,RTD("tos.rtd",,U$83,"."&amp;$D$82&amp;$L$82&amp;"P"&amp;$A90))</f>
        <v>-66</v>
      </c>
      <c r="V90" s="3">
        <f ca="1">+Hoja2!Y91</f>
        <v>6074</v>
      </c>
      <c r="W90" s="3">
        <f t="shared" ca="1" si="40"/>
        <v>11925</v>
      </c>
    </row>
    <row r="91" spans="1:23" s="51" customFormat="1" ht="12" customHeight="1" thickBot="1" x14ac:dyDescent="0.25">
      <c r="A91" s="2">
        <f t="shared" si="41"/>
        <v>6810</v>
      </c>
      <c r="B91" s="3">
        <f t="shared" si="34"/>
        <v>-419</v>
      </c>
      <c r="C91" s="3">
        <f t="shared" si="35"/>
        <v>529</v>
      </c>
      <c r="D91" s="3">
        <f t="shared" si="36"/>
        <v>558</v>
      </c>
      <c r="E91" s="3">
        <f t="shared" si="37"/>
        <v>668</v>
      </c>
      <c r="F91" s="4">
        <f t="shared" si="42"/>
        <v>6846.6368446082515</v>
      </c>
      <c r="G91" s="18"/>
      <c r="H91" s="48">
        <f>IF(RTD("tos.rtd",,H$83,"."&amp;$B$82&amp;$H$82&amp;"C"&amp;$A91)="N/A",0,RTD("tos.rtd",,H$83,"."&amp;$B$82&amp;$H$82&amp;"C"&amp;$A91))</f>
        <v>443</v>
      </c>
      <c r="I91" s="3">
        <f>-IF(RTD("tos.rtd",,I$83,"."&amp;$B$82&amp;$H$82&amp;"P"&amp;$A91)="N/A",0,RTD("tos.rtd",,I$83,"."&amp;$B$82&amp;$H$82&amp;"P"&amp;$A91))</f>
        <v>-862</v>
      </c>
      <c r="J91" s="48">
        <f>IF(RTD("tos.rtd",,J$83,"."&amp;$C$82&amp;$J$82&amp;"C"&amp;$A91)="N/A",0,RTD("tos.rtd",,J$83,"."&amp;$C$82&amp;$J$82&amp;"C"&amp;$A91))</f>
        <v>677</v>
      </c>
      <c r="K91" s="3">
        <f>-IF(RTD("tos.rtd",,K$83,"."&amp;$C$82&amp;$J$82&amp;"P"&amp;$A91)="N/A",0,RTD("tos.rtd",,K$83,"."&amp;$C$82&amp;$J$82&amp;"P"&amp;$A91))</f>
        <v>-148</v>
      </c>
      <c r="L91" s="48">
        <f>IF(RTD("tos.rtd",,L$83,"."&amp;$D$82&amp;$L$82&amp;"C"&amp;$A91)="N/A",0,RTD("tos.rtd",,L$83,"."&amp;$D$82&amp;$L$82&amp;"C"&amp;$A91))</f>
        <v>700</v>
      </c>
      <c r="M91" s="3">
        <f>-IF(RTD("tos.rtd",,M$83,"."&amp;$D$82&amp;$L$82&amp;"P"&amp;$A91)="N/A",0,RTD("tos.rtd",,M$83,"."&amp;$D$82&amp;$L$82&amp;"P"&amp;$A91))</f>
        <v>-142</v>
      </c>
      <c r="N91" s="3">
        <f t="shared" si="39"/>
        <v>668</v>
      </c>
      <c r="O91" s="7">
        <f t="shared" si="38"/>
        <v>6810</v>
      </c>
      <c r="P91" s="48">
        <f>IF(RTD("tos.rtd",,P$83,"."&amp;$B$82&amp;$H$82&amp;"C"&amp;$A91)="N/A",0,RTD("tos.rtd",,P$83,"."&amp;$B$82&amp;$H$82&amp;"C"&amp;$A91))</f>
        <v>2630</v>
      </c>
      <c r="Q91" s="3">
        <f>-IF(RTD("tos.rtd",,Q$83,"."&amp;$B$82&amp;$H$82&amp;"P"&amp;$A91)="N/A",0,RTD("tos.rtd",,Q$83,"."&amp;$B$82&amp;$H$82&amp;"P"&amp;$A91))</f>
        <v>-577</v>
      </c>
      <c r="R91" s="48">
        <f>IF(RTD("tos.rtd",,R$83,"."&amp;$C$82&amp;$J$82&amp;"C"&amp;$A91)="N/A",0,RTD("tos.rtd",,R$83,"."&amp;$C$82&amp;$J$82&amp;"C"&amp;$A91))</f>
        <v>1455</v>
      </c>
      <c r="S91" s="3">
        <f>-IF(RTD("tos.rtd",,S$83,"."&amp;$C$82&amp;$J$82&amp;"P"&amp;$A91)="N/A",0,RTD("tos.rtd",,S$83,"."&amp;$C$82&amp;$J$82&amp;"P"&amp;$A91))</f>
        <v>-28</v>
      </c>
      <c r="T91" s="48">
        <f>IF(RTD("tos.rtd",,T$83,"."&amp;$D$82&amp;$L$82&amp;"C"&amp;$A91)="N/A",0,RTD("tos.rtd",,T$83,"."&amp;$D$82&amp;$L$82&amp;"C"&amp;$A91))</f>
        <v>28</v>
      </c>
      <c r="U91" s="3">
        <f>-IF(RTD("tos.rtd",,U$83,"."&amp;$D$82&amp;$L$82&amp;"P"&amp;$A91)="N/A",0,RTD("tos.rtd",,U$83,"."&amp;$D$82&amp;$L$82&amp;"P"&amp;$A91))</f>
        <v>-5</v>
      </c>
      <c r="V91" s="3">
        <f ca="1">+Hoja2!Y92</f>
        <v>3615</v>
      </c>
      <c r="W91" s="3">
        <f t="shared" ca="1" si="40"/>
        <v>7118</v>
      </c>
    </row>
    <row r="92" spans="1:23" s="51" customFormat="1" ht="12" customHeight="1" thickBot="1" x14ac:dyDescent="0.25">
      <c r="A92" s="2">
        <f t="shared" si="41"/>
        <v>6805</v>
      </c>
      <c r="B92" s="3">
        <f t="shared" si="34"/>
        <v>174</v>
      </c>
      <c r="C92" s="3">
        <f t="shared" si="35"/>
        <v>40</v>
      </c>
      <c r="D92" s="3">
        <f t="shared" si="36"/>
        <v>-348</v>
      </c>
      <c r="E92" s="3">
        <f t="shared" si="37"/>
        <v>-134</v>
      </c>
      <c r="F92" s="4">
        <f t="shared" si="42"/>
        <v>6841.6099453097131</v>
      </c>
      <c r="G92" s="18"/>
      <c r="H92" s="48">
        <f>IF(RTD("tos.rtd",,H$83,"."&amp;$B$82&amp;$H$82&amp;"C"&amp;$A92)="N/A",0,RTD("tos.rtd",,H$83,"."&amp;$B$82&amp;$H$82&amp;"C"&amp;$A92))</f>
        <v>267</v>
      </c>
      <c r="I92" s="3">
        <f>-IF(RTD("tos.rtd",,I$83,"."&amp;$B$82&amp;$H$82&amp;"P"&amp;$A92)="N/A",0,RTD("tos.rtd",,I$83,"."&amp;$B$82&amp;$H$82&amp;"P"&amp;$A92))</f>
        <v>-93</v>
      </c>
      <c r="J92" s="48">
        <f>IF(RTD("tos.rtd",,J$83,"."&amp;$C$82&amp;$J$82&amp;"C"&amp;$A92)="N/A",0,RTD("tos.rtd",,J$83,"."&amp;$C$82&amp;$J$82&amp;"C"&amp;$A92))</f>
        <v>305</v>
      </c>
      <c r="K92" s="3">
        <f>-IF(RTD("tos.rtd",,K$83,"."&amp;$C$82&amp;$J$82&amp;"P"&amp;$A92)="N/A",0,RTD("tos.rtd",,K$83,"."&amp;$C$82&amp;$J$82&amp;"P"&amp;$A92))</f>
        <v>-265</v>
      </c>
      <c r="L92" s="48">
        <f>IF(RTD("tos.rtd",,L$83,"."&amp;$D$82&amp;$L$82&amp;"C"&amp;$A92)="N/A",0,RTD("tos.rtd",,L$83,"."&amp;$D$82&amp;$L$82&amp;"C"&amp;$A92))</f>
        <v>335</v>
      </c>
      <c r="M92" s="3">
        <f>-IF(RTD("tos.rtd",,M$83,"."&amp;$D$82&amp;$L$82&amp;"P"&amp;$A92)="N/A",0,RTD("tos.rtd",,M$83,"."&amp;$D$82&amp;$L$82&amp;"P"&amp;$A92))</f>
        <v>-683</v>
      </c>
      <c r="N92" s="3">
        <f t="shared" si="39"/>
        <v>-134</v>
      </c>
      <c r="O92" s="7">
        <f t="shared" si="38"/>
        <v>6805</v>
      </c>
      <c r="P92" s="48">
        <f>IF(RTD("tos.rtd",,P$83,"."&amp;$B$82&amp;$H$82&amp;"C"&amp;$A92)="N/A",0,RTD("tos.rtd",,P$83,"."&amp;$B$82&amp;$H$82&amp;"C"&amp;$A92))</f>
        <v>2808</v>
      </c>
      <c r="Q92" s="3">
        <f>-IF(RTD("tos.rtd",,Q$83,"."&amp;$B$82&amp;$H$82&amp;"P"&amp;$A92)="N/A",0,RTD("tos.rtd",,Q$83,"."&amp;$B$82&amp;$H$82&amp;"P"&amp;$A92))</f>
        <v>-73</v>
      </c>
      <c r="R92" s="48">
        <f>IF(RTD("tos.rtd",,R$83,"."&amp;$C$82&amp;$J$82&amp;"C"&amp;$A92)="N/A",0,RTD("tos.rtd",,R$83,"."&amp;$C$82&amp;$J$82&amp;"C"&amp;$A92))</f>
        <v>1074</v>
      </c>
      <c r="S92" s="3">
        <f>-IF(RTD("tos.rtd",,S$83,"."&amp;$C$82&amp;$J$82&amp;"P"&amp;$A92)="N/A",0,RTD("tos.rtd",,S$83,"."&amp;$C$82&amp;$J$82&amp;"P"&amp;$A92))</f>
        <v>-156</v>
      </c>
      <c r="T92" s="48">
        <f>IF(RTD("tos.rtd",,T$83,"."&amp;$D$82&amp;$L$82&amp;"C"&amp;$A92)="N/A",0,RTD("tos.rtd",,T$83,"."&amp;$D$82&amp;$L$82&amp;"C"&amp;$A92))</f>
        <v>41</v>
      </c>
      <c r="U92" s="3">
        <f>-IF(RTD("tos.rtd",,U$83,"."&amp;$D$82&amp;$L$82&amp;"P"&amp;$A92)="N/A",0,RTD("tos.rtd",,U$83,"."&amp;$D$82&amp;$L$82&amp;"P"&amp;$A92))</f>
        <v>-20</v>
      </c>
      <c r="V92" s="3">
        <f ca="1">+Hoja2!Y93</f>
        <v>4705</v>
      </c>
      <c r="W92" s="3">
        <f t="shared" ca="1" si="40"/>
        <v>8379</v>
      </c>
    </row>
    <row r="93" spans="1:23" s="51" customFormat="1" ht="12" customHeight="1" thickBot="1" x14ac:dyDescent="0.25">
      <c r="A93" s="2">
        <f t="shared" si="41"/>
        <v>6800</v>
      </c>
      <c r="B93" s="3">
        <f t="shared" si="34"/>
        <v>280</v>
      </c>
      <c r="C93" s="3">
        <f t="shared" si="35"/>
        <v>-892</v>
      </c>
      <c r="D93" s="3">
        <f t="shared" si="36"/>
        <v>9247</v>
      </c>
      <c r="E93" s="3">
        <f t="shared" si="37"/>
        <v>8635</v>
      </c>
      <c r="F93" s="4">
        <f t="shared" ref="F93:F99" si="43">+$F$84/$A$84*A93</f>
        <v>6836.5830460111756</v>
      </c>
      <c r="G93" s="18"/>
      <c r="H93" s="48">
        <f>IF(RTD("tos.rtd",,H$83,"."&amp;$B$82&amp;$H$82&amp;"C"&amp;$A93)="N/A",0,RTD("tos.rtd",,H$83,"."&amp;$B$82&amp;$H$82&amp;"C"&amp;$A93))</f>
        <v>3515</v>
      </c>
      <c r="I93" s="3">
        <f>-IF(RTD("tos.rtd",,I$83,"."&amp;$B$82&amp;$H$82&amp;"P"&amp;$A93)="N/A",0,RTD("tos.rtd",,I$83,"."&amp;$B$82&amp;$H$82&amp;"P"&amp;$A93))</f>
        <v>-3235</v>
      </c>
      <c r="J93" s="48">
        <f>IF(RTD("tos.rtd",,J$83,"."&amp;$C$82&amp;$J$82&amp;"C"&amp;$A93)="N/A",0,RTD("tos.rtd",,J$83,"."&amp;$C$82&amp;$J$82&amp;"C"&amp;$A93))</f>
        <v>3231</v>
      </c>
      <c r="K93" s="3">
        <f>-IF(RTD("tos.rtd",,K$83,"."&amp;$C$82&amp;$J$82&amp;"P"&amp;$A93)="N/A",0,RTD("tos.rtd",,K$83,"."&amp;$C$82&amp;$J$82&amp;"P"&amp;$A93))</f>
        <v>-4123</v>
      </c>
      <c r="L93" s="48">
        <f>IF(RTD("tos.rtd",,L$83,"."&amp;$D$82&amp;$L$82&amp;"C"&amp;$A93)="N/A",0,RTD("tos.rtd",,L$83,"."&amp;$D$82&amp;$L$82&amp;"C"&amp;$A93))</f>
        <v>24665</v>
      </c>
      <c r="M93" s="3">
        <f>-IF(RTD("tos.rtd",,M$83,"."&amp;$D$82&amp;$L$82&amp;"P"&amp;$A93)="N/A",0,RTD("tos.rtd",,M$83,"."&amp;$D$82&amp;$L$82&amp;"P"&amp;$A93))</f>
        <v>-15418</v>
      </c>
      <c r="N93" s="3">
        <f t="shared" si="39"/>
        <v>8635</v>
      </c>
      <c r="O93" s="7">
        <f t="shared" si="38"/>
        <v>6800</v>
      </c>
      <c r="P93" s="48">
        <f>IF(RTD("tos.rtd",,P$83,"."&amp;$B$82&amp;$H$82&amp;"C"&amp;$A93)="N/A",0,RTD("tos.rtd",,P$83,"."&amp;$B$82&amp;$H$82&amp;"C"&amp;$A93))</f>
        <v>10257</v>
      </c>
      <c r="Q93" s="3">
        <f>-IF(RTD("tos.rtd",,Q$83,"."&amp;$B$82&amp;$H$82&amp;"P"&amp;$A93)="N/A",0,RTD("tos.rtd",,Q$83,"."&amp;$B$82&amp;$H$82&amp;"P"&amp;$A93))</f>
        <v>-312</v>
      </c>
      <c r="R93" s="48">
        <f>IF(RTD("tos.rtd",,R$83,"."&amp;$C$82&amp;$J$82&amp;"C"&amp;$A93)="N/A",0,RTD("tos.rtd",,R$83,"."&amp;$C$82&amp;$J$82&amp;"C"&amp;$A93))</f>
        <v>5273</v>
      </c>
      <c r="S93" s="3">
        <f>-IF(RTD("tos.rtd",,S$83,"."&amp;$C$82&amp;$J$82&amp;"P"&amp;$A93)="N/A",0,RTD("tos.rtd",,S$83,"."&amp;$C$82&amp;$J$82&amp;"P"&amp;$A93))</f>
        <v>-2698</v>
      </c>
      <c r="T93" s="48">
        <f>IF(RTD("tos.rtd",,T$83,"."&amp;$D$82&amp;$L$82&amp;"C"&amp;$A93)="N/A",0,RTD("tos.rtd",,T$83,"."&amp;$D$82&amp;$L$82&amp;"C"&amp;$A93))</f>
        <v>3831</v>
      </c>
      <c r="U93" s="3">
        <f>-IF(RTD("tos.rtd",,U$83,"."&amp;$D$82&amp;$L$82&amp;"P"&amp;$A93)="N/A",0,RTD("tos.rtd",,U$83,"."&amp;$D$82&amp;$L$82&amp;"P"&amp;$A93))</f>
        <v>-235</v>
      </c>
      <c r="V93" s="3">
        <f ca="1">+Hoja2!Y94</f>
        <v>17649</v>
      </c>
      <c r="W93" s="3">
        <f t="shared" ca="1" si="40"/>
        <v>33765</v>
      </c>
    </row>
    <row r="94" spans="1:23" s="51" customFormat="1" ht="12" customHeight="1" thickBot="1" x14ac:dyDescent="0.25">
      <c r="A94" s="2">
        <f t="shared" si="41"/>
        <v>6795</v>
      </c>
      <c r="B94" s="3">
        <f t="shared" si="34"/>
        <v>-214</v>
      </c>
      <c r="C94" s="3">
        <f t="shared" si="35"/>
        <v>-222</v>
      </c>
      <c r="D94" s="3">
        <f t="shared" si="36"/>
        <v>166</v>
      </c>
      <c r="E94" s="3">
        <f t="shared" si="37"/>
        <v>-270</v>
      </c>
      <c r="F94" s="4">
        <f t="shared" si="43"/>
        <v>6831.5561467126381</v>
      </c>
      <c r="G94" s="18"/>
      <c r="H94" s="48">
        <f>IF(RTD("tos.rtd",,H$83,"."&amp;$B$82&amp;$H$82&amp;"C"&amp;$A94)="N/A",0,RTD("tos.rtd",,H$83,"."&amp;$B$82&amp;$H$82&amp;"C"&amp;$A94))</f>
        <v>239</v>
      </c>
      <c r="I94" s="3">
        <f>-IF(RTD("tos.rtd",,I$83,"."&amp;$B$82&amp;$H$82&amp;"P"&amp;$A94)="N/A",0,RTD("tos.rtd",,I$83,"."&amp;$B$82&amp;$H$82&amp;"P"&amp;$A94))</f>
        <v>-453</v>
      </c>
      <c r="J94" s="48">
        <f>IF(RTD("tos.rtd",,J$83,"."&amp;$C$82&amp;$J$82&amp;"C"&amp;$A94)="N/A",0,RTD("tos.rtd",,J$83,"."&amp;$C$82&amp;$J$82&amp;"C"&amp;$A94))</f>
        <v>215</v>
      </c>
      <c r="K94" s="3">
        <f>-IF(RTD("tos.rtd",,K$83,"."&amp;$C$82&amp;$J$82&amp;"P"&amp;$A94)="N/A",0,RTD("tos.rtd",,K$83,"."&amp;$C$82&amp;$J$82&amp;"P"&amp;$A94))</f>
        <v>-437</v>
      </c>
      <c r="L94" s="48">
        <f>IF(RTD("tos.rtd",,L$83,"."&amp;$D$82&amp;$L$82&amp;"C"&amp;$A94)="N/A",0,RTD("tos.rtd",,L$83,"."&amp;$D$82&amp;$L$82&amp;"C"&amp;$A94))</f>
        <v>419</v>
      </c>
      <c r="M94" s="3">
        <f>-IF(RTD("tos.rtd",,M$83,"."&amp;$D$82&amp;$L$82&amp;"P"&amp;$A94)="N/A",0,RTD("tos.rtd",,M$83,"."&amp;$D$82&amp;$L$82&amp;"P"&amp;$A94))</f>
        <v>-253</v>
      </c>
      <c r="N94" s="3">
        <f t="shared" si="39"/>
        <v>-270</v>
      </c>
      <c r="O94" s="7">
        <f t="shared" si="38"/>
        <v>6795</v>
      </c>
      <c r="P94" s="48">
        <f>IF(RTD("tos.rtd",,P$83,"."&amp;$B$82&amp;$H$82&amp;"C"&amp;$A94)="N/A",0,RTD("tos.rtd",,P$83,"."&amp;$B$82&amp;$H$82&amp;"C"&amp;$A94))</f>
        <v>1894</v>
      </c>
      <c r="Q94" s="3">
        <f>-IF(RTD("tos.rtd",,Q$83,"."&amp;$B$82&amp;$H$82&amp;"P"&amp;$A94)="N/A",0,RTD("tos.rtd",,Q$83,"."&amp;$B$82&amp;$H$82&amp;"P"&amp;$A94))</f>
        <v>-159</v>
      </c>
      <c r="R94" s="48">
        <f>IF(RTD("tos.rtd",,R$83,"."&amp;$C$82&amp;$J$82&amp;"C"&amp;$A94)="N/A",0,RTD("tos.rtd",,R$83,"."&amp;$C$82&amp;$J$82&amp;"C"&amp;$A94))</f>
        <v>347</v>
      </c>
      <c r="S94" s="3">
        <f>-IF(RTD("tos.rtd",,S$83,"."&amp;$C$82&amp;$J$82&amp;"P"&amp;$A94)="N/A",0,RTD("tos.rtd",,S$83,"."&amp;$C$82&amp;$J$82&amp;"P"&amp;$A94))</f>
        <v>-276</v>
      </c>
      <c r="T94" s="48">
        <f>IF(RTD("tos.rtd",,T$83,"."&amp;$D$82&amp;$L$82&amp;"C"&amp;$A94)="N/A",0,RTD("tos.rtd",,T$83,"."&amp;$D$82&amp;$L$82&amp;"C"&amp;$A94))</f>
        <v>26</v>
      </c>
      <c r="U94" s="3">
        <f>-IF(RTD("tos.rtd",,U$83,"."&amp;$D$82&amp;$L$82&amp;"P"&amp;$A94)="N/A",0,RTD("tos.rtd",,U$83,"."&amp;$D$82&amp;$L$82&amp;"P"&amp;$A94))</f>
        <v>-17</v>
      </c>
      <c r="V94" s="3">
        <f ca="1">+Hoja2!Y95</f>
        <v>2271</v>
      </c>
      <c r="W94" s="3">
        <f t="shared" ca="1" si="40"/>
        <v>4086</v>
      </c>
    </row>
    <row r="95" spans="1:23" s="51" customFormat="1" ht="12" customHeight="1" thickBot="1" x14ac:dyDescent="0.25">
      <c r="A95" s="2">
        <f t="shared" si="41"/>
        <v>6790</v>
      </c>
      <c r="B95" s="3">
        <f t="shared" si="34"/>
        <v>43</v>
      </c>
      <c r="C95" s="3">
        <f t="shared" si="35"/>
        <v>-407</v>
      </c>
      <c r="D95" s="3">
        <f t="shared" si="36"/>
        <v>1839</v>
      </c>
      <c r="E95" s="3">
        <f t="shared" si="37"/>
        <v>1475</v>
      </c>
      <c r="F95" s="4">
        <f t="shared" si="43"/>
        <v>6826.5292474141006</v>
      </c>
      <c r="G95" s="18"/>
      <c r="H95" s="48">
        <f>IF(RTD("tos.rtd",,H$83,"."&amp;$B$82&amp;$H$82&amp;"C"&amp;$A95)="N/A",0,RTD("tos.rtd",,H$83,"."&amp;$B$82&amp;$H$82&amp;"C"&amp;$A95))</f>
        <v>280</v>
      </c>
      <c r="I95" s="3">
        <f>-IF(RTD("tos.rtd",,I$83,"."&amp;$B$82&amp;$H$82&amp;"P"&amp;$A95)="N/A",0,RTD("tos.rtd",,I$83,"."&amp;$B$82&amp;$H$82&amp;"P"&amp;$A95))</f>
        <v>-237</v>
      </c>
      <c r="J95" s="48">
        <f>IF(RTD("tos.rtd",,J$83,"."&amp;$C$82&amp;$J$82&amp;"C"&amp;$A95)="N/A",0,RTD("tos.rtd",,J$83,"."&amp;$C$82&amp;$J$82&amp;"C"&amp;$A95))</f>
        <v>242</v>
      </c>
      <c r="K95" s="3">
        <f>-IF(RTD("tos.rtd",,K$83,"."&amp;$C$82&amp;$J$82&amp;"P"&amp;$A95)="N/A",0,RTD("tos.rtd",,K$83,"."&amp;$C$82&amp;$J$82&amp;"P"&amp;$A95))</f>
        <v>-649</v>
      </c>
      <c r="L95" s="48">
        <f>IF(RTD("tos.rtd",,L$83,"."&amp;$D$82&amp;$L$82&amp;"C"&amp;$A95)="N/A",0,RTD("tos.rtd",,L$83,"."&amp;$D$82&amp;$L$82&amp;"C"&amp;$A95))</f>
        <v>2175</v>
      </c>
      <c r="M95" s="3">
        <f>-IF(RTD("tos.rtd",,M$83,"."&amp;$D$82&amp;$L$82&amp;"P"&amp;$A95)="N/A",0,RTD("tos.rtd",,M$83,"."&amp;$D$82&amp;$L$82&amp;"P"&amp;$A95))</f>
        <v>-336</v>
      </c>
      <c r="N95" s="3">
        <f t="shared" si="39"/>
        <v>1475</v>
      </c>
      <c r="O95" s="7">
        <f t="shared" si="38"/>
        <v>6790</v>
      </c>
      <c r="P95" s="48">
        <f>IF(RTD("tos.rtd",,P$83,"."&amp;$B$82&amp;$H$82&amp;"C"&amp;$A95)="N/A",0,RTD("tos.rtd",,P$83,"."&amp;$B$82&amp;$H$82&amp;"C"&amp;$A95))</f>
        <v>2575</v>
      </c>
      <c r="Q95" s="3">
        <f>-IF(RTD("tos.rtd",,Q$83,"."&amp;$B$82&amp;$H$82&amp;"P"&amp;$A95)="N/A",0,RTD("tos.rtd",,Q$83,"."&amp;$B$82&amp;$H$82&amp;"P"&amp;$A95))</f>
        <v>-265</v>
      </c>
      <c r="R95" s="48">
        <f>IF(RTD("tos.rtd",,R$83,"."&amp;$C$82&amp;$J$82&amp;"C"&amp;$A95)="N/A",0,RTD("tos.rtd",,R$83,"."&amp;$C$82&amp;$J$82&amp;"C"&amp;$A95))</f>
        <v>551</v>
      </c>
      <c r="S95" s="3">
        <f>-IF(RTD("tos.rtd",,S$83,"."&amp;$C$82&amp;$J$82&amp;"P"&amp;$A95)="N/A",0,RTD("tos.rtd",,S$83,"."&amp;$C$82&amp;$J$82&amp;"P"&amp;$A95))</f>
        <v>-54</v>
      </c>
      <c r="T95" s="48">
        <f>IF(RTD("tos.rtd",,T$83,"."&amp;$D$82&amp;$L$82&amp;"C"&amp;$A95)="N/A",0,RTD("tos.rtd",,T$83,"."&amp;$D$82&amp;$L$82&amp;"C"&amp;$A95))</f>
        <v>36</v>
      </c>
      <c r="U95" s="3">
        <f>-IF(RTD("tos.rtd",,U$83,"."&amp;$D$82&amp;$L$82&amp;"P"&amp;$A95)="N/A",0,RTD("tos.rtd",,U$83,"."&amp;$D$82&amp;$L$82&amp;"P"&amp;$A95))</f>
        <v>-8</v>
      </c>
      <c r="V95" s="3">
        <f ca="1">+Hoja2!Y96</f>
        <v>3825</v>
      </c>
      <c r="W95" s="3">
        <f t="shared" ca="1" si="40"/>
        <v>6660</v>
      </c>
    </row>
    <row r="96" spans="1:23" s="51" customFormat="1" ht="12" customHeight="1" thickBot="1" x14ac:dyDescent="0.25">
      <c r="A96" s="2">
        <f t="shared" si="41"/>
        <v>6785</v>
      </c>
      <c r="B96" s="3">
        <f t="shared" si="34"/>
        <v>-501</v>
      </c>
      <c r="C96" s="3">
        <f t="shared" si="35"/>
        <v>-45</v>
      </c>
      <c r="D96" s="3">
        <f t="shared" si="36"/>
        <v>21</v>
      </c>
      <c r="E96" s="3">
        <f t="shared" si="37"/>
        <v>-525</v>
      </c>
      <c r="F96" s="4">
        <f t="shared" si="43"/>
        <v>6821.5023481155631</v>
      </c>
      <c r="G96" s="18"/>
      <c r="H96" s="48">
        <f>IF(RTD("tos.rtd",,H$83,"."&amp;$B$82&amp;$H$82&amp;"C"&amp;$A96)="N/A",0,RTD("tos.rtd",,H$83,"."&amp;$B$82&amp;$H$82&amp;"C"&amp;$A96))</f>
        <v>139</v>
      </c>
      <c r="I96" s="3">
        <f>-IF(RTD("tos.rtd",,I$83,"."&amp;$B$82&amp;$H$82&amp;"P"&amp;$A96)="N/A",0,RTD("tos.rtd",,I$83,"."&amp;$B$82&amp;$H$82&amp;"P"&amp;$A96))</f>
        <v>-640</v>
      </c>
      <c r="J96" s="48">
        <f>IF(RTD("tos.rtd",,J$83,"."&amp;$C$82&amp;$J$82&amp;"C"&amp;$A96)="N/A",0,RTD("tos.rtd",,J$83,"."&amp;$C$82&amp;$J$82&amp;"C"&amp;$A96))</f>
        <v>151</v>
      </c>
      <c r="K96" s="3">
        <f>-IF(RTD("tos.rtd",,K$83,"."&amp;$C$82&amp;$J$82&amp;"P"&amp;$A96)="N/A",0,RTD("tos.rtd",,K$83,"."&amp;$C$82&amp;$J$82&amp;"P"&amp;$A96))</f>
        <v>-196</v>
      </c>
      <c r="L96" s="48">
        <f>IF(RTD("tos.rtd",,L$83,"."&amp;$D$82&amp;$L$82&amp;"C"&amp;$A96)="N/A",0,RTD("tos.rtd",,L$83,"."&amp;$D$82&amp;$L$82&amp;"C"&amp;$A96))</f>
        <v>276</v>
      </c>
      <c r="M96" s="3">
        <f>-IF(RTD("tos.rtd",,M$83,"."&amp;$D$82&amp;$L$82&amp;"P"&amp;$A96)="N/A",0,RTD("tos.rtd",,M$83,"."&amp;$D$82&amp;$L$82&amp;"P"&amp;$A96))</f>
        <v>-255</v>
      </c>
      <c r="N96" s="3">
        <f t="shared" si="39"/>
        <v>-525</v>
      </c>
      <c r="O96" s="7">
        <f t="shared" si="38"/>
        <v>6785</v>
      </c>
      <c r="P96" s="48">
        <f>IF(RTD("tos.rtd",,P$83,"."&amp;$B$82&amp;$H$82&amp;"C"&amp;$A96)="N/A",0,RTD("tos.rtd",,P$83,"."&amp;$B$82&amp;$H$82&amp;"C"&amp;$A96))</f>
        <v>2555</v>
      </c>
      <c r="Q96" s="3">
        <f>-IF(RTD("tos.rtd",,Q$83,"."&amp;$B$82&amp;$H$82&amp;"P"&amp;$A96)="N/A",0,RTD("tos.rtd",,Q$83,"."&amp;$B$82&amp;$H$82&amp;"P"&amp;$A96))</f>
        <v>-637</v>
      </c>
      <c r="R96" s="48">
        <f>IF(RTD("tos.rtd",,R$83,"."&amp;$C$82&amp;$J$82&amp;"C"&amp;$A96)="N/A",0,RTD("tos.rtd",,R$83,"."&amp;$C$82&amp;$J$82&amp;"C"&amp;$A96))</f>
        <v>556</v>
      </c>
      <c r="S96" s="3">
        <f>-IF(RTD("tos.rtd",,S$83,"."&amp;$C$82&amp;$J$82&amp;"P"&amp;$A96)="N/A",0,RTD("tos.rtd",,S$83,"."&amp;$C$82&amp;$J$82&amp;"P"&amp;$A96))</f>
        <v>-37</v>
      </c>
      <c r="T96" s="48">
        <f>IF(RTD("tos.rtd",,T$83,"."&amp;$D$82&amp;$L$82&amp;"C"&amp;$A96)="N/A",0,RTD("tos.rtd",,T$83,"."&amp;$D$82&amp;$L$82&amp;"C"&amp;$A96))</f>
        <v>131</v>
      </c>
      <c r="U96" s="3">
        <f>-IF(RTD("tos.rtd",,U$83,"."&amp;$D$82&amp;$L$82&amp;"P"&amp;$A96)="N/A",0,RTD("tos.rtd",,U$83,"."&amp;$D$82&amp;$L$82&amp;"P"&amp;$A96))</f>
        <v>-2</v>
      </c>
      <c r="V96" s="3">
        <f ca="1">+Hoja2!Y97</f>
        <v>2717</v>
      </c>
      <c r="W96" s="3">
        <f t="shared" ca="1" si="40"/>
        <v>5283</v>
      </c>
    </row>
    <row r="97" spans="1:23" s="51" customFormat="1" ht="12" customHeight="1" thickBot="1" x14ac:dyDescent="0.25">
      <c r="A97" s="2">
        <f t="shared" si="41"/>
        <v>6780</v>
      </c>
      <c r="B97" s="3">
        <f t="shared" si="34"/>
        <v>-1322</v>
      </c>
      <c r="C97" s="3">
        <f t="shared" si="35"/>
        <v>-96</v>
      </c>
      <c r="D97" s="3">
        <f t="shared" si="36"/>
        <v>181</v>
      </c>
      <c r="E97" s="3">
        <f>SUM(B97:D97)</f>
        <v>-1237</v>
      </c>
      <c r="F97" s="4">
        <f t="shared" si="43"/>
        <v>6816.4754488170256</v>
      </c>
      <c r="G97" s="18"/>
      <c r="H97" s="48">
        <f>IF(RTD("tos.rtd",,H$83,"."&amp;$B$82&amp;$H$82&amp;"C"&amp;$A97)="N/A",0,RTD("tos.rtd",,H$83,"."&amp;$B$82&amp;$H$82&amp;"C"&amp;$A97))</f>
        <v>256</v>
      </c>
      <c r="I97" s="3">
        <f>-IF(RTD("tos.rtd",,I$83,"."&amp;$B$82&amp;$H$82&amp;"P"&amp;$A97)="N/A",0,RTD("tos.rtd",,I$83,"."&amp;$B$82&amp;$H$82&amp;"P"&amp;$A97))</f>
        <v>-1578</v>
      </c>
      <c r="J97" s="48">
        <f>IF(RTD("tos.rtd",,J$83,"."&amp;$C$82&amp;$J$82&amp;"C"&amp;$A97)="N/A",0,RTD("tos.rtd",,J$83,"."&amp;$C$82&amp;$J$82&amp;"C"&amp;$A97))</f>
        <v>353</v>
      </c>
      <c r="K97" s="3">
        <f>-IF(RTD("tos.rtd",,K$83,"."&amp;$C$82&amp;$J$82&amp;"P"&amp;$A97)="N/A",0,RTD("tos.rtd",,K$83,"."&amp;$C$82&amp;$J$82&amp;"P"&amp;$A97))</f>
        <v>-449</v>
      </c>
      <c r="L97" s="48">
        <f>IF(RTD("tos.rtd",,L$83,"."&amp;$D$82&amp;$L$82&amp;"C"&amp;$A97)="N/A",0,RTD("tos.rtd",,L$83,"."&amp;$D$82&amp;$L$82&amp;"C"&amp;$A97))</f>
        <v>1271</v>
      </c>
      <c r="M97" s="3">
        <f>-IF(RTD("tos.rtd",,M$83,"."&amp;$D$82&amp;$L$82&amp;"P"&amp;$A97)="N/A",0,RTD("tos.rtd",,M$83,"."&amp;$D$82&amp;$L$82&amp;"P"&amp;$A97))</f>
        <v>-1090</v>
      </c>
      <c r="N97" s="3">
        <f t="shared" si="39"/>
        <v>-1237</v>
      </c>
      <c r="O97" s="7">
        <f t="shared" si="38"/>
        <v>6780</v>
      </c>
      <c r="P97" s="48">
        <f>IF(RTD("tos.rtd",,P$83,"."&amp;$B$82&amp;$H$82&amp;"C"&amp;$A97)="N/A",0,RTD("tos.rtd",,P$83,"."&amp;$B$82&amp;$H$82&amp;"C"&amp;$A97))</f>
        <v>4833</v>
      </c>
      <c r="Q97" s="3">
        <f>-IF(RTD("tos.rtd",,Q$83,"."&amp;$B$82&amp;$H$82&amp;"P"&amp;$A97)="N/A",0,RTD("tos.rtd",,Q$83,"."&amp;$B$82&amp;$H$82&amp;"P"&amp;$A97))</f>
        <v>-1161</v>
      </c>
      <c r="R97" s="48">
        <f>IF(RTD("tos.rtd",,R$83,"."&amp;$C$82&amp;$J$82&amp;"C"&amp;$A97)="N/A",0,RTD("tos.rtd",,R$83,"."&amp;$C$82&amp;$J$82&amp;"C"&amp;$A97))</f>
        <v>560</v>
      </c>
      <c r="S97" s="3">
        <f>-IF(RTD("tos.rtd",,S$83,"."&amp;$C$82&amp;$J$82&amp;"P"&amp;$A97)="N/A",0,RTD("tos.rtd",,S$83,"."&amp;$C$82&amp;$J$82&amp;"P"&amp;$A97))</f>
        <v>-52</v>
      </c>
      <c r="T97" s="48">
        <f>IF(RTD("tos.rtd",,T$83,"."&amp;$D$82&amp;$L$82&amp;"C"&amp;$A97)="N/A",0,RTD("tos.rtd",,T$83,"."&amp;$D$82&amp;$L$82&amp;"C"&amp;$A97))</f>
        <v>82</v>
      </c>
      <c r="U97" s="3">
        <f>-IF(RTD("tos.rtd",,U$83,"."&amp;$D$82&amp;$L$82&amp;"P"&amp;$A97)="N/A",0,RTD("tos.rtd",,U$83,"."&amp;$D$82&amp;$L$82&amp;"P"&amp;$A97))</f>
        <v>-22</v>
      </c>
      <c r="V97" s="3">
        <f ca="1">+Hoja2!Y98</f>
        <v>6101</v>
      </c>
      <c r="W97" s="3">
        <f t="shared" ca="1" si="40"/>
        <v>10341</v>
      </c>
    </row>
    <row r="98" spans="1:23" s="51" customFormat="1" ht="12" customHeight="1" thickBot="1" x14ac:dyDescent="0.25">
      <c r="A98" s="2">
        <f t="shared" si="41"/>
        <v>6775</v>
      </c>
      <c r="B98" s="3">
        <f t="shared" si="34"/>
        <v>-16</v>
      </c>
      <c r="C98" s="3">
        <f t="shared" si="35"/>
        <v>-10</v>
      </c>
      <c r="D98" s="3">
        <f t="shared" si="36"/>
        <v>846</v>
      </c>
      <c r="E98" s="3">
        <f>SUM(B98:D98)</f>
        <v>820</v>
      </c>
      <c r="F98" s="4">
        <f t="shared" si="43"/>
        <v>6811.4485495184881</v>
      </c>
      <c r="G98" s="18"/>
      <c r="H98" s="48">
        <f>IF(RTD("tos.rtd",,H$83,"."&amp;$B$82&amp;$H$82&amp;"C"&amp;$A98)="N/A",0,RTD("tos.rtd",,H$83,"."&amp;$B$82&amp;$H$82&amp;"C"&amp;$A98))</f>
        <v>314</v>
      </c>
      <c r="I98" s="3">
        <f>-IF(RTD("tos.rtd",,I$83,"."&amp;$B$82&amp;$H$82&amp;"P"&amp;$A98)="N/A",0,RTD("tos.rtd",,I$83,"."&amp;$B$82&amp;$H$82&amp;"P"&amp;$A98))</f>
        <v>-330</v>
      </c>
      <c r="J98" s="48">
        <f>IF(RTD("tos.rtd",,J$83,"."&amp;$C$82&amp;$J$82&amp;"C"&amp;$A98)="N/A",0,RTD("tos.rtd",,J$83,"."&amp;$C$82&amp;$J$82&amp;"C"&amp;$A98))</f>
        <v>1503</v>
      </c>
      <c r="K98" s="3">
        <f>-IF(RTD("tos.rtd",,K$83,"."&amp;$C$82&amp;$J$82&amp;"P"&amp;$A98)="N/A",0,RTD("tos.rtd",,K$83,"."&amp;$C$82&amp;$J$82&amp;"P"&amp;$A98))</f>
        <v>-1513</v>
      </c>
      <c r="L98" s="48">
        <f>IF(RTD("tos.rtd",,L$83,"."&amp;$D$82&amp;$L$82&amp;"C"&amp;$A98)="N/A",0,RTD("tos.rtd",,L$83,"."&amp;$D$82&amp;$L$82&amp;"C"&amp;$A98))</f>
        <v>2222</v>
      </c>
      <c r="M98" s="3">
        <f>-IF(RTD("tos.rtd",,M$83,"."&amp;$D$82&amp;$L$82&amp;"P"&amp;$A98)="N/A",0,RTD("tos.rtd",,M$83,"."&amp;$D$82&amp;$L$82&amp;"P"&amp;$A98))</f>
        <v>-1376</v>
      </c>
      <c r="N98" s="3">
        <f t="shared" si="39"/>
        <v>820</v>
      </c>
      <c r="O98" s="7">
        <f t="shared" si="38"/>
        <v>6775</v>
      </c>
      <c r="P98" s="48">
        <f>IF(RTD("tos.rtd",,P$83,"."&amp;$B$82&amp;$H$82&amp;"C"&amp;$A98)="N/A",0,RTD("tos.rtd",,P$83,"."&amp;$B$82&amp;$H$82&amp;"C"&amp;$A98))</f>
        <v>3752</v>
      </c>
      <c r="Q98" s="3">
        <f>-IF(RTD("tos.rtd",,Q$83,"."&amp;$B$82&amp;$H$82&amp;"P"&amp;$A98)="N/A",0,RTD("tos.rtd",,Q$83,"."&amp;$B$82&amp;$H$82&amp;"P"&amp;$A98))</f>
        <v>-336</v>
      </c>
      <c r="R98" s="48">
        <f>IF(RTD("tos.rtd",,R$83,"."&amp;$C$82&amp;$J$82&amp;"C"&amp;$A98)="N/A",0,RTD("tos.rtd",,R$83,"."&amp;$C$82&amp;$J$82&amp;"C"&amp;$A98))</f>
        <v>1153</v>
      </c>
      <c r="S98" s="3">
        <f>-IF(RTD("tos.rtd",,S$83,"."&amp;$C$82&amp;$J$82&amp;"P"&amp;$A98)="N/A",0,RTD("tos.rtd",,S$83,"."&amp;$C$82&amp;$J$82&amp;"P"&amp;$A98))</f>
        <v>-420</v>
      </c>
      <c r="T98" s="48">
        <f>IF(RTD("tos.rtd",,T$83,"."&amp;$D$82&amp;$L$82&amp;"C"&amp;$A98)="N/A",0,RTD("tos.rtd",,T$83,"."&amp;$D$82&amp;$L$82&amp;"C"&amp;$A98))</f>
        <v>127</v>
      </c>
      <c r="U98" s="3">
        <f>-IF(RTD("tos.rtd",,U$83,"."&amp;$D$82&amp;$L$82&amp;"P"&amp;$A98)="N/A",0,RTD("tos.rtd",,U$83,"."&amp;$D$82&amp;$L$82&amp;"P"&amp;$A98))</f>
        <v>-43</v>
      </c>
      <c r="V98" s="3">
        <f ca="1">+Hoja2!Y99</f>
        <v>4051</v>
      </c>
      <c r="W98" s="3">
        <f t="shared" ca="1" si="40"/>
        <v>8284</v>
      </c>
    </row>
    <row r="99" spans="1:23" s="51" customFormat="1" ht="12" customHeight="1" thickBot="1" x14ac:dyDescent="0.25">
      <c r="A99" s="2">
        <f t="shared" si="41"/>
        <v>6770</v>
      </c>
      <c r="B99" s="3">
        <f t="shared" si="34"/>
        <v>-546</v>
      </c>
      <c r="C99" s="3">
        <f t="shared" si="35"/>
        <v>-661</v>
      </c>
      <c r="D99" s="3">
        <f t="shared" si="36"/>
        <v>245</v>
      </c>
      <c r="E99" s="3">
        <f t="shared" ref="E99:E129" si="44">SUM(B99:D99)</f>
        <v>-962</v>
      </c>
      <c r="F99" s="4">
        <f t="shared" si="43"/>
        <v>6806.4216502199497</v>
      </c>
      <c r="G99" s="18"/>
      <c r="H99" s="48">
        <f>IF(RTD("tos.rtd",,H$83,"."&amp;$B$82&amp;$H$82&amp;"C"&amp;$A99)="N/A",0,RTD("tos.rtd",,H$83,"."&amp;$B$82&amp;$H$82&amp;"C"&amp;$A99))</f>
        <v>189</v>
      </c>
      <c r="I99" s="3">
        <f>-IF(RTD("tos.rtd",,I$83,"."&amp;$B$82&amp;$H$82&amp;"P"&amp;$A99)="N/A",0,RTD("tos.rtd",,I$83,"."&amp;$B$82&amp;$H$82&amp;"P"&amp;$A99))</f>
        <v>-735</v>
      </c>
      <c r="J99" s="48">
        <f>IF(RTD("tos.rtd",,J$83,"."&amp;$C$82&amp;$J$82&amp;"C"&amp;$A99)="N/A",0,RTD("tos.rtd",,J$83,"."&amp;$C$82&amp;$J$82&amp;"C"&amp;$A99))</f>
        <v>268</v>
      </c>
      <c r="K99" s="3">
        <f>-IF(RTD("tos.rtd",,K$83,"."&amp;$C$82&amp;$J$82&amp;"P"&amp;$A99)="N/A",0,RTD("tos.rtd",,K$83,"."&amp;$C$82&amp;$J$82&amp;"P"&amp;$A99))</f>
        <v>-929</v>
      </c>
      <c r="L99" s="48">
        <f>IF(RTD("tos.rtd",,L$83,"."&amp;$D$82&amp;$L$82&amp;"C"&amp;$A99)="N/A",0,RTD("tos.rtd",,L$83,"."&amp;$D$82&amp;$L$82&amp;"C"&amp;$A99))</f>
        <v>998</v>
      </c>
      <c r="M99" s="3">
        <f>-IF(RTD("tos.rtd",,M$83,"."&amp;$D$82&amp;$L$82&amp;"P"&amp;$A99)="N/A",0,RTD("tos.rtd",,M$83,"."&amp;$D$82&amp;$L$82&amp;"P"&amp;$A99))</f>
        <v>-753</v>
      </c>
      <c r="N99" s="3">
        <f t="shared" ref="N99:N130" si="45">SUM(H99:M99)</f>
        <v>-962</v>
      </c>
      <c r="O99" s="7">
        <f t="shared" si="38"/>
        <v>6770</v>
      </c>
      <c r="P99" s="48">
        <f>IF(RTD("tos.rtd",,P$83,"."&amp;$B$82&amp;$H$82&amp;"C"&amp;$A99)="N/A",0,RTD("tos.rtd",,P$83,"."&amp;$B$82&amp;$H$82&amp;"C"&amp;$A99))</f>
        <v>2963</v>
      </c>
      <c r="Q99" s="3">
        <f>-IF(RTD("tos.rtd",,Q$83,"."&amp;$B$82&amp;$H$82&amp;"P"&amp;$A99)="N/A",0,RTD("tos.rtd",,Q$83,"."&amp;$B$82&amp;$H$82&amp;"P"&amp;$A99))</f>
        <v>-318</v>
      </c>
      <c r="R99" s="48">
        <f>IF(RTD("tos.rtd",,R$83,"."&amp;$C$82&amp;$J$82&amp;"C"&amp;$A99)="N/A",0,RTD("tos.rtd",,R$83,"."&amp;$C$82&amp;$J$82&amp;"C"&amp;$A99))</f>
        <v>918</v>
      </c>
      <c r="S99" s="3">
        <f>-IF(RTD("tos.rtd",,S$83,"."&amp;$C$82&amp;$J$82&amp;"P"&amp;$A99)="N/A",0,RTD("tos.rtd",,S$83,"."&amp;$C$82&amp;$J$82&amp;"P"&amp;$A99))</f>
        <v>-222</v>
      </c>
      <c r="T99" s="48">
        <f>IF(RTD("tos.rtd",,T$83,"."&amp;$D$82&amp;$L$82&amp;"C"&amp;$A99)="N/A",0,RTD("tos.rtd",,T$83,"."&amp;$D$82&amp;$L$82&amp;"C"&amp;$A99))</f>
        <v>33</v>
      </c>
      <c r="U99" s="3">
        <f>-IF(RTD("tos.rtd",,U$83,"."&amp;$D$82&amp;$L$82&amp;"P"&amp;$A99)="N/A",0,RTD("tos.rtd",,U$83,"."&amp;$D$82&amp;$L$82&amp;"P"&amp;$A99))</f>
        <v>-105</v>
      </c>
      <c r="V99" s="3">
        <f ca="1">+Hoja2!Y100</f>
        <v>3272</v>
      </c>
      <c r="W99" s="3">
        <f t="shared" ca="1" si="40"/>
        <v>6541</v>
      </c>
    </row>
    <row r="100" spans="1:23" s="51" customFormat="1" ht="12" customHeight="1" thickBot="1" x14ac:dyDescent="0.25">
      <c r="A100" s="2">
        <f t="shared" si="41"/>
        <v>6765</v>
      </c>
      <c r="B100" s="3">
        <f t="shared" si="34"/>
        <v>-96</v>
      </c>
      <c r="C100" s="3">
        <f t="shared" si="35"/>
        <v>-133</v>
      </c>
      <c r="D100" s="3">
        <f t="shared" si="36"/>
        <v>16</v>
      </c>
      <c r="E100" s="3">
        <f t="shared" si="44"/>
        <v>-213</v>
      </c>
      <c r="F100" s="4">
        <f t="shared" ref="F100:F129" si="46">+$F$84/$A$84*A100</f>
        <v>6801.3947509214122</v>
      </c>
      <c r="G100" s="18"/>
      <c r="H100" s="48">
        <f>IF(RTD("tos.rtd",,H$83,"."&amp;$B$82&amp;$H$82&amp;"C"&amp;$A100)="N/A",0,RTD("tos.rtd",,H$83,"."&amp;$B$82&amp;$H$82&amp;"C"&amp;$A100))</f>
        <v>148</v>
      </c>
      <c r="I100" s="3">
        <f>-IF(RTD("tos.rtd",,I$83,"."&amp;$B$82&amp;$H$82&amp;"P"&amp;$A100)="N/A",0,RTD("tos.rtd",,I$83,"."&amp;$B$82&amp;$H$82&amp;"P"&amp;$A100))</f>
        <v>-244</v>
      </c>
      <c r="J100" s="48">
        <f>IF(RTD("tos.rtd",,J$83,"."&amp;$C$82&amp;$J$82&amp;"C"&amp;$A100)="N/A",0,RTD("tos.rtd",,J$83,"."&amp;$C$82&amp;$J$82&amp;"C"&amp;$A100))</f>
        <v>161</v>
      </c>
      <c r="K100" s="3">
        <f>-IF(RTD("tos.rtd",,K$83,"."&amp;$C$82&amp;$J$82&amp;"P"&amp;$A100)="N/A",0,RTD("tos.rtd",,K$83,"."&amp;$C$82&amp;$J$82&amp;"P"&amp;$A100))</f>
        <v>-294</v>
      </c>
      <c r="L100" s="48">
        <f>IF(RTD("tos.rtd",,L$83,"."&amp;$D$82&amp;$L$82&amp;"C"&amp;$A100)="N/A",0,RTD("tos.rtd",,L$83,"."&amp;$D$82&amp;$L$82&amp;"C"&amp;$A100))</f>
        <v>454</v>
      </c>
      <c r="M100" s="3">
        <f>-IF(RTD("tos.rtd",,M$83,"."&amp;$D$82&amp;$L$82&amp;"P"&amp;$A100)="N/A",0,RTD("tos.rtd",,M$83,"."&amp;$D$82&amp;$L$82&amp;"P"&amp;$A100))</f>
        <v>-438</v>
      </c>
      <c r="N100" s="3">
        <f t="shared" si="45"/>
        <v>-213</v>
      </c>
      <c r="O100" s="7">
        <f t="shared" si="38"/>
        <v>6765</v>
      </c>
      <c r="P100" s="48">
        <f>IF(RTD("tos.rtd",,P$83,"."&amp;$B$82&amp;$H$82&amp;"C"&amp;$A100)="N/A",0,RTD("tos.rtd",,P$83,"."&amp;$B$82&amp;$H$82&amp;"C"&amp;$A100))</f>
        <v>3669</v>
      </c>
      <c r="Q100" s="3">
        <f>-IF(RTD("tos.rtd",,Q$83,"."&amp;$B$82&amp;$H$82&amp;"P"&amp;$A100)="N/A",0,RTD("tos.rtd",,Q$83,"."&amp;$B$82&amp;$H$82&amp;"P"&amp;$A100))</f>
        <v>-383</v>
      </c>
      <c r="R100" s="48">
        <f>IF(RTD("tos.rtd",,R$83,"."&amp;$C$82&amp;$J$82&amp;"C"&amp;$A100)="N/A",0,RTD("tos.rtd",,R$83,"."&amp;$C$82&amp;$J$82&amp;"C"&amp;$A100))</f>
        <v>618</v>
      </c>
      <c r="S100" s="3">
        <f>-IF(RTD("tos.rtd",,S$83,"."&amp;$C$82&amp;$J$82&amp;"P"&amp;$A100)="N/A",0,RTD("tos.rtd",,S$83,"."&amp;$C$82&amp;$J$82&amp;"P"&amp;$A100))</f>
        <v>-140</v>
      </c>
      <c r="T100" s="48">
        <f>IF(RTD("tos.rtd",,T$83,"."&amp;$D$82&amp;$L$82&amp;"C"&amp;$A100)="N/A",0,RTD("tos.rtd",,T$83,"."&amp;$D$82&amp;$L$82&amp;"C"&amp;$A100))</f>
        <v>57</v>
      </c>
      <c r="U100" s="3">
        <f>-IF(RTD("tos.rtd",,U$83,"."&amp;$D$82&amp;$L$82&amp;"P"&amp;$A100)="N/A",0,RTD("tos.rtd",,U$83,"."&amp;$D$82&amp;$L$82&amp;"P"&amp;$A100))</f>
        <v>-8</v>
      </c>
      <c r="V100" s="3">
        <f ca="1">+Hoja2!Y101</f>
        <v>4165</v>
      </c>
      <c r="W100" s="3">
        <f t="shared" ca="1" si="40"/>
        <v>7978</v>
      </c>
    </row>
    <row r="101" spans="1:23" s="51" customFormat="1" ht="12" customHeight="1" thickBot="1" x14ac:dyDescent="0.25">
      <c r="A101" s="2">
        <f t="shared" si="41"/>
        <v>6760</v>
      </c>
      <c r="B101" s="3">
        <f t="shared" si="34"/>
        <v>-229</v>
      </c>
      <c r="C101" s="3">
        <f t="shared" si="35"/>
        <v>865</v>
      </c>
      <c r="D101" s="3">
        <f t="shared" si="36"/>
        <v>-17</v>
      </c>
      <c r="E101" s="3">
        <f t="shared" si="44"/>
        <v>619</v>
      </c>
      <c r="F101" s="4">
        <f t="shared" si="46"/>
        <v>6796.3678516228747</v>
      </c>
      <c r="G101" s="18"/>
      <c r="H101" s="48">
        <f>IF(RTD("tos.rtd",,H$83,"."&amp;$B$82&amp;$H$82&amp;"C"&amp;$A101)="N/A",0,RTD("tos.rtd",,H$83,"."&amp;$B$82&amp;$H$82&amp;"C"&amp;$A101))</f>
        <v>872</v>
      </c>
      <c r="I101" s="3">
        <f>-IF(RTD("tos.rtd",,I$83,"."&amp;$B$82&amp;$H$82&amp;"P"&amp;$A101)="N/A",0,RTD("tos.rtd",,I$83,"."&amp;$B$82&amp;$H$82&amp;"P"&amp;$A101))</f>
        <v>-1101</v>
      </c>
      <c r="J101" s="48">
        <f>IF(RTD("tos.rtd",,J$83,"."&amp;$C$82&amp;$J$82&amp;"C"&amp;$A101)="N/A",0,RTD("tos.rtd",,J$83,"."&amp;$C$82&amp;$J$82&amp;"C"&amp;$A101))</f>
        <v>1571</v>
      </c>
      <c r="K101" s="3">
        <f>-IF(RTD("tos.rtd",,K$83,"."&amp;$C$82&amp;$J$82&amp;"P"&amp;$A101)="N/A",0,RTD("tos.rtd",,K$83,"."&amp;$C$82&amp;$J$82&amp;"P"&amp;$A101))</f>
        <v>-706</v>
      </c>
      <c r="L101" s="48">
        <f>IF(RTD("tos.rtd",,L$83,"."&amp;$D$82&amp;$L$82&amp;"C"&amp;$A101)="N/A",0,RTD("tos.rtd",,L$83,"."&amp;$D$82&amp;$L$82&amp;"C"&amp;$A101))</f>
        <v>430</v>
      </c>
      <c r="M101" s="3">
        <f>-IF(RTD("tos.rtd",,M$83,"."&amp;$D$82&amp;$L$82&amp;"P"&amp;$A101)="N/A",0,RTD("tos.rtd",,M$83,"."&amp;$D$82&amp;$L$82&amp;"P"&amp;$A101))</f>
        <v>-447</v>
      </c>
      <c r="N101" s="3">
        <f t="shared" si="45"/>
        <v>619</v>
      </c>
      <c r="O101" s="7">
        <f t="shared" si="38"/>
        <v>6760</v>
      </c>
      <c r="P101" s="48">
        <f>IF(RTD("tos.rtd",,P$83,"."&amp;$B$82&amp;$H$82&amp;"C"&amp;$A101)="N/A",0,RTD("tos.rtd",,P$83,"."&amp;$B$82&amp;$H$82&amp;"C"&amp;$A101))</f>
        <v>5678</v>
      </c>
      <c r="Q101" s="3">
        <f>-IF(RTD("tos.rtd",,Q$83,"."&amp;$B$82&amp;$H$82&amp;"P"&amp;$A101)="N/A",0,RTD("tos.rtd",,Q$83,"."&amp;$B$82&amp;$H$82&amp;"P"&amp;$A101))</f>
        <v>-1308</v>
      </c>
      <c r="R101" s="48">
        <f>IF(RTD("tos.rtd",,R$83,"."&amp;$C$82&amp;$J$82&amp;"C"&amp;$A101)="N/A",0,RTD("tos.rtd",,R$83,"."&amp;$C$82&amp;$J$82&amp;"C"&amp;$A101))</f>
        <v>1576</v>
      </c>
      <c r="S101" s="3">
        <f>-IF(RTD("tos.rtd",,S$83,"."&amp;$C$82&amp;$J$82&amp;"P"&amp;$A101)="N/A",0,RTD("tos.rtd",,S$83,"."&amp;$C$82&amp;$J$82&amp;"P"&amp;$A101))</f>
        <v>-159</v>
      </c>
      <c r="T101" s="48">
        <f>IF(RTD("tos.rtd",,T$83,"."&amp;$D$82&amp;$L$82&amp;"C"&amp;$A101)="N/A",0,RTD("tos.rtd",,T$83,"."&amp;$D$82&amp;$L$82&amp;"C"&amp;$A101))</f>
        <v>73</v>
      </c>
      <c r="U101" s="3">
        <f>-IF(RTD("tos.rtd",,U$83,"."&amp;$D$82&amp;$L$82&amp;"P"&amp;$A101)="N/A",0,RTD("tos.rtd",,U$83,"."&amp;$D$82&amp;$L$82&amp;"P"&amp;$A101))</f>
        <v>-21</v>
      </c>
      <c r="V101" s="3">
        <f ca="1">+Hoja2!Y102</f>
        <v>5485</v>
      </c>
      <c r="W101" s="3">
        <f t="shared" ca="1" si="40"/>
        <v>11324</v>
      </c>
    </row>
    <row r="102" spans="1:23" s="51" customFormat="1" ht="12" customHeight="1" thickBot="1" x14ac:dyDescent="0.25">
      <c r="A102" s="2">
        <f t="shared" si="41"/>
        <v>6755</v>
      </c>
      <c r="B102" s="3">
        <f t="shared" si="34"/>
        <v>-211</v>
      </c>
      <c r="C102" s="3">
        <f t="shared" si="35"/>
        <v>-15</v>
      </c>
      <c r="D102" s="3">
        <f t="shared" si="36"/>
        <v>-131</v>
      </c>
      <c r="E102" s="3">
        <f t="shared" si="44"/>
        <v>-357</v>
      </c>
      <c r="F102" s="4">
        <f t="shared" si="46"/>
        <v>6791.3409523243372</v>
      </c>
      <c r="G102" s="18"/>
      <c r="H102" s="48">
        <f>IF(RTD("tos.rtd",,H$83,"."&amp;$B$82&amp;$H$82&amp;"C"&amp;$A102)="N/A",0,RTD("tos.rtd",,H$83,"."&amp;$B$82&amp;$H$82&amp;"C"&amp;$A102))</f>
        <v>231</v>
      </c>
      <c r="I102" s="3">
        <f>-IF(RTD("tos.rtd",,I$83,"."&amp;$B$82&amp;$H$82&amp;"P"&amp;$A102)="N/A",0,RTD("tos.rtd",,I$83,"."&amp;$B$82&amp;$H$82&amp;"P"&amp;$A102))</f>
        <v>-442</v>
      </c>
      <c r="J102" s="48">
        <f>IF(RTD("tos.rtd",,J$83,"."&amp;$C$82&amp;$J$82&amp;"C"&amp;$A102)="N/A",0,RTD("tos.rtd",,J$83,"."&amp;$C$82&amp;$J$82&amp;"C"&amp;$A102))</f>
        <v>193</v>
      </c>
      <c r="K102" s="3">
        <f>-IF(RTD("tos.rtd",,K$83,"."&amp;$C$82&amp;$J$82&amp;"P"&amp;$A102)="N/A",0,RTD("tos.rtd",,K$83,"."&amp;$C$82&amp;$J$82&amp;"P"&amp;$A102))</f>
        <v>-208</v>
      </c>
      <c r="L102" s="48">
        <f>IF(RTD("tos.rtd",,L$83,"."&amp;$D$82&amp;$L$82&amp;"C"&amp;$A102)="N/A",0,RTD("tos.rtd",,L$83,"."&amp;$D$82&amp;$L$82&amp;"C"&amp;$A102))</f>
        <v>314</v>
      </c>
      <c r="M102" s="3">
        <f>-IF(RTD("tos.rtd",,M$83,"."&amp;$D$82&amp;$L$82&amp;"P"&amp;$A102)="N/A",0,RTD("tos.rtd",,M$83,"."&amp;$D$82&amp;$L$82&amp;"P"&amp;$A102))</f>
        <v>-445</v>
      </c>
      <c r="N102" s="3">
        <f t="shared" si="45"/>
        <v>-357</v>
      </c>
      <c r="O102" s="7">
        <f t="shared" si="38"/>
        <v>6755</v>
      </c>
      <c r="P102" s="48">
        <f>IF(RTD("tos.rtd",,P$83,"."&amp;$B$82&amp;$H$82&amp;"C"&amp;$A102)="N/A",0,RTD("tos.rtd",,P$83,"."&amp;$B$82&amp;$H$82&amp;"C"&amp;$A102))</f>
        <v>3021</v>
      </c>
      <c r="Q102" s="3">
        <f>-IF(RTD("tos.rtd",,Q$83,"."&amp;$B$82&amp;$H$82&amp;"P"&amp;$A102)="N/A",0,RTD("tos.rtd",,Q$83,"."&amp;$B$82&amp;$H$82&amp;"P"&amp;$A102))</f>
        <v>-293</v>
      </c>
      <c r="R102" s="48">
        <f>IF(RTD("tos.rtd",,R$83,"."&amp;$C$82&amp;$J$82&amp;"C"&amp;$A102)="N/A",0,RTD("tos.rtd",,R$83,"."&amp;$C$82&amp;$J$82&amp;"C"&amp;$A102))</f>
        <v>283</v>
      </c>
      <c r="S102" s="3">
        <f>-IF(RTD("tos.rtd",,S$83,"."&amp;$C$82&amp;$J$82&amp;"P"&amp;$A102)="N/A",0,RTD("tos.rtd",,S$83,"."&amp;$C$82&amp;$J$82&amp;"P"&amp;$A102))</f>
        <v>-145</v>
      </c>
      <c r="T102" s="48">
        <f>IF(RTD("tos.rtd",,T$83,"."&amp;$D$82&amp;$L$82&amp;"C"&amp;$A102)="N/A",0,RTD("tos.rtd",,T$83,"."&amp;$D$82&amp;$L$82&amp;"C"&amp;$A102))</f>
        <v>9</v>
      </c>
      <c r="U102" s="3">
        <f>-IF(RTD("tos.rtd",,U$83,"."&amp;$D$82&amp;$L$82&amp;"P"&amp;$A102)="N/A",0,RTD("tos.rtd",,U$83,"."&amp;$D$82&amp;$L$82&amp;"P"&amp;$A102))</f>
        <v>-15</v>
      </c>
      <c r="V102" s="3">
        <f ca="1">+Hoja2!Y103</f>
        <v>3402</v>
      </c>
      <c r="W102" s="3">
        <f t="shared" ca="1" si="40"/>
        <v>6262</v>
      </c>
    </row>
    <row r="103" spans="1:23" s="51" customFormat="1" ht="12" customHeight="1" thickBot="1" x14ac:dyDescent="0.25">
      <c r="A103" s="2">
        <f t="shared" si="41"/>
        <v>6750</v>
      </c>
      <c r="B103" s="3">
        <f t="shared" si="34"/>
        <v>-228</v>
      </c>
      <c r="C103" s="3">
        <f t="shared" si="35"/>
        <v>-1867</v>
      </c>
      <c r="D103" s="3">
        <f t="shared" si="36"/>
        <v>1859</v>
      </c>
      <c r="E103" s="3">
        <f>SUM(B103:D103)</f>
        <v>-236</v>
      </c>
      <c r="F103" s="4">
        <f t="shared" si="46"/>
        <v>6786.3140530257997</v>
      </c>
      <c r="G103" s="18"/>
      <c r="H103" s="48">
        <f>IF(RTD("tos.rtd",,H$83,"."&amp;$B$82&amp;$H$82&amp;"C"&amp;$A103)="N/A",0,RTD("tos.rtd",,H$83,"."&amp;$B$82&amp;$H$82&amp;"C"&amp;$A103))</f>
        <v>1132</v>
      </c>
      <c r="I103" s="3">
        <f>-IF(RTD("tos.rtd",,I$83,"."&amp;$B$82&amp;$H$82&amp;"P"&amp;$A103)="N/A",0,RTD("tos.rtd",,I$83,"."&amp;$B$82&amp;$H$82&amp;"P"&amp;$A103))</f>
        <v>-1360</v>
      </c>
      <c r="J103" s="48">
        <f>IF(RTD("tos.rtd",,J$83,"."&amp;$C$82&amp;$J$82&amp;"C"&amp;$A103)="N/A",0,RTD("tos.rtd",,J$83,"."&amp;$C$82&amp;$J$82&amp;"C"&amp;$A103))</f>
        <v>868</v>
      </c>
      <c r="K103" s="3">
        <f>-IF(RTD("tos.rtd",,K$83,"."&amp;$C$82&amp;$J$82&amp;"P"&amp;$A103)="N/A",0,RTD("tos.rtd",,K$83,"."&amp;$C$82&amp;$J$82&amp;"P"&amp;$A103))</f>
        <v>-2735</v>
      </c>
      <c r="L103" s="48">
        <f>IF(RTD("tos.rtd",,L$83,"."&amp;$D$82&amp;$L$82&amp;"C"&amp;$A103)="N/A",0,RTD("tos.rtd",,L$83,"."&amp;$D$82&amp;$L$82&amp;"C"&amp;$A103))</f>
        <v>18724</v>
      </c>
      <c r="M103" s="3">
        <f>-IF(RTD("tos.rtd",,M$83,"."&amp;$D$82&amp;$L$82&amp;"P"&amp;$A103)="N/A",0,RTD("tos.rtd",,M$83,"."&amp;$D$82&amp;$L$82&amp;"P"&amp;$A103))</f>
        <v>-16865</v>
      </c>
      <c r="N103" s="3">
        <f t="shared" si="45"/>
        <v>-236</v>
      </c>
      <c r="O103" s="7">
        <f t="shared" si="38"/>
        <v>6750</v>
      </c>
      <c r="P103" s="48">
        <f>IF(RTD("tos.rtd",,P$83,"."&amp;$B$82&amp;$H$82&amp;"C"&amp;$A103)="N/A",0,RTD("tos.rtd",,P$83,"."&amp;$B$82&amp;$H$82&amp;"C"&amp;$A103))</f>
        <v>11757</v>
      </c>
      <c r="Q103" s="3">
        <f>-IF(RTD("tos.rtd",,Q$83,"."&amp;$B$82&amp;$H$82&amp;"P"&amp;$A103)="N/A",0,RTD("tos.rtd",,Q$83,"."&amp;$B$82&amp;$H$82&amp;"P"&amp;$A103))</f>
        <v>-874</v>
      </c>
      <c r="R103" s="48">
        <f>IF(RTD("tos.rtd",,R$83,"."&amp;$C$82&amp;$J$82&amp;"C"&amp;$A103)="N/A",0,RTD("tos.rtd",,R$83,"."&amp;$C$82&amp;$J$82&amp;"C"&amp;$A103))</f>
        <v>2015</v>
      </c>
      <c r="S103" s="3">
        <f>-IF(RTD("tos.rtd",,S$83,"."&amp;$C$82&amp;$J$82&amp;"P"&amp;$A103)="N/A",0,RTD("tos.rtd",,S$83,"."&amp;$C$82&amp;$J$82&amp;"P"&amp;$A103))</f>
        <v>-1641</v>
      </c>
      <c r="T103" s="48">
        <f>IF(RTD("tos.rtd",,T$83,"."&amp;$D$82&amp;$L$82&amp;"C"&amp;$A103)="N/A",0,RTD("tos.rtd",,T$83,"."&amp;$D$82&amp;$L$82&amp;"C"&amp;$A103))</f>
        <v>397</v>
      </c>
      <c r="U103" s="3">
        <f>-IF(RTD("tos.rtd",,U$83,"."&amp;$D$82&amp;$L$82&amp;"P"&amp;$A103)="N/A",0,RTD("tos.rtd",,U$83,"."&amp;$D$82&amp;$L$82&amp;"P"&amp;$A103))</f>
        <v>-579</v>
      </c>
      <c r="V103" s="3">
        <f ca="1">+Hoja2!Y104</f>
        <v>12040</v>
      </c>
      <c r="W103" s="3">
        <f t="shared" ca="1" si="40"/>
        <v>23115</v>
      </c>
    </row>
    <row r="104" spans="1:23" s="51" customFormat="1" ht="12" customHeight="1" thickBot="1" x14ac:dyDescent="0.25">
      <c r="A104" s="2">
        <f t="shared" si="41"/>
        <v>6745</v>
      </c>
      <c r="B104" s="3">
        <f t="shared" si="34"/>
        <v>37</v>
      </c>
      <c r="C104" s="3">
        <f t="shared" si="35"/>
        <v>-234</v>
      </c>
      <c r="D104" s="3">
        <f t="shared" si="36"/>
        <v>-605</v>
      </c>
      <c r="E104" s="3">
        <f t="shared" si="44"/>
        <v>-802</v>
      </c>
      <c r="F104" s="4">
        <f t="shared" si="46"/>
        <v>6781.2871537272622</v>
      </c>
      <c r="G104" s="18"/>
      <c r="H104" s="48">
        <f>IF(RTD("tos.rtd",,H$83,"."&amp;$B$82&amp;$H$82&amp;"C"&amp;$A104)="N/A",0,RTD("tos.rtd",,H$83,"."&amp;$B$82&amp;$H$82&amp;"C"&amp;$A104))</f>
        <v>267</v>
      </c>
      <c r="I104" s="3">
        <f>-IF(RTD("tos.rtd",,I$83,"."&amp;$B$82&amp;$H$82&amp;"P"&amp;$A104)="N/A",0,RTD("tos.rtd",,I$83,"."&amp;$B$82&amp;$H$82&amp;"P"&amp;$A104))</f>
        <v>-230</v>
      </c>
      <c r="J104" s="48">
        <f>IF(RTD("tos.rtd",,J$83,"."&amp;$C$82&amp;$J$82&amp;"C"&amp;$A104)="N/A",0,RTD("tos.rtd",,J$83,"."&amp;$C$82&amp;$J$82&amp;"C"&amp;$A104))</f>
        <v>96</v>
      </c>
      <c r="K104" s="3">
        <f>-IF(RTD("tos.rtd",,K$83,"."&amp;$C$82&amp;$J$82&amp;"P"&amp;$A104)="N/A",0,RTD("tos.rtd",,K$83,"."&amp;$C$82&amp;$J$82&amp;"P"&amp;$A104))</f>
        <v>-330</v>
      </c>
      <c r="L104" s="48">
        <f>IF(RTD("tos.rtd",,L$83,"."&amp;$D$82&amp;$L$82&amp;"C"&amp;$A104)="N/A",0,RTD("tos.rtd",,L$83,"."&amp;$D$82&amp;$L$82&amp;"C"&amp;$A104))</f>
        <v>242</v>
      </c>
      <c r="M104" s="3">
        <f>-IF(RTD("tos.rtd",,M$83,"."&amp;$D$82&amp;$L$82&amp;"P"&amp;$A104)="N/A",0,RTD("tos.rtd",,M$83,"."&amp;$D$82&amp;$L$82&amp;"P"&amp;$A104))</f>
        <v>-847</v>
      </c>
      <c r="N104" s="3">
        <f t="shared" si="45"/>
        <v>-802</v>
      </c>
      <c r="O104" s="7">
        <f t="shared" si="38"/>
        <v>6745</v>
      </c>
      <c r="P104" s="48">
        <f>IF(RTD("tos.rtd",,P$83,"."&amp;$B$82&amp;$H$82&amp;"C"&amp;$A104)="N/A",0,RTD("tos.rtd",,P$83,"."&amp;$B$82&amp;$H$82&amp;"C"&amp;$A104))</f>
        <v>2637</v>
      </c>
      <c r="Q104" s="3">
        <f>-IF(RTD("tos.rtd",,Q$83,"."&amp;$B$82&amp;$H$82&amp;"P"&amp;$A104)="N/A",0,RTD("tos.rtd",,Q$83,"."&amp;$B$82&amp;$H$82&amp;"P"&amp;$A104))</f>
        <v>-460</v>
      </c>
      <c r="R104" s="48">
        <f>IF(RTD("tos.rtd",,R$83,"."&amp;$C$82&amp;$J$82&amp;"C"&amp;$A104)="N/A",0,RTD("tos.rtd",,R$83,"."&amp;$C$82&amp;$J$82&amp;"C"&amp;$A104))</f>
        <v>297</v>
      </c>
      <c r="S104" s="3">
        <f>-IF(RTD("tos.rtd",,S$83,"."&amp;$C$82&amp;$J$82&amp;"P"&amp;$A104)="N/A",0,RTD("tos.rtd",,S$83,"."&amp;$C$82&amp;$J$82&amp;"P"&amp;$A104))</f>
        <v>-361</v>
      </c>
      <c r="T104" s="48">
        <f>IF(RTD("tos.rtd",,T$83,"."&amp;$D$82&amp;$L$82&amp;"C"&amp;$A104)="N/A",0,RTD("tos.rtd",,T$83,"."&amp;$D$82&amp;$L$82&amp;"C"&amp;$A104))</f>
        <v>38</v>
      </c>
      <c r="U104" s="3">
        <f>-IF(RTD("tos.rtd",,U$83,"."&amp;$D$82&amp;$L$82&amp;"P"&amp;$A104)="N/A",0,RTD("tos.rtd",,U$83,"."&amp;$D$82&amp;$L$82&amp;"P"&amp;$A104))</f>
        <v>-9</v>
      </c>
      <c r="V104" s="3">
        <f ca="1">+Hoja2!Y105</f>
        <v>2271</v>
      </c>
      <c r="W104" s="3">
        <f t="shared" ca="1" si="40"/>
        <v>4413</v>
      </c>
    </row>
    <row r="105" spans="1:23" s="51" customFormat="1" ht="12" customHeight="1" thickBot="1" x14ac:dyDescent="0.25">
      <c r="A105" s="2">
        <f t="shared" si="41"/>
        <v>6740</v>
      </c>
      <c r="B105" s="3">
        <f t="shared" si="34"/>
        <v>-135</v>
      </c>
      <c r="C105" s="3">
        <f t="shared" si="35"/>
        <v>-350</v>
      </c>
      <c r="D105" s="3">
        <f t="shared" si="36"/>
        <v>-251</v>
      </c>
      <c r="E105" s="3">
        <f t="shared" si="44"/>
        <v>-736</v>
      </c>
      <c r="F105" s="4">
        <f t="shared" si="46"/>
        <v>6776.2602544287247</v>
      </c>
      <c r="G105" s="18"/>
      <c r="H105" s="48">
        <f>IF(RTD("tos.rtd",,H$83,"."&amp;$B$82&amp;$H$82&amp;"C"&amp;$A105)="N/A",0,RTD("tos.rtd",,H$83,"."&amp;$B$82&amp;$H$82&amp;"C"&amp;$A105))</f>
        <v>172</v>
      </c>
      <c r="I105" s="3">
        <f>-IF(RTD("tos.rtd",,I$83,"."&amp;$B$82&amp;$H$82&amp;"P"&amp;$A105)="N/A",0,RTD("tos.rtd",,I$83,"."&amp;$B$82&amp;$H$82&amp;"P"&amp;$A105))</f>
        <v>-307</v>
      </c>
      <c r="J105" s="48">
        <f>IF(RTD("tos.rtd",,J$83,"."&amp;$C$82&amp;$J$82&amp;"C"&amp;$A105)="N/A",0,RTD("tos.rtd",,J$83,"."&amp;$C$82&amp;$J$82&amp;"C"&amp;$A105))</f>
        <v>123</v>
      </c>
      <c r="K105" s="3">
        <f>-IF(RTD("tos.rtd",,K$83,"."&amp;$C$82&amp;$J$82&amp;"P"&amp;$A105)="N/A",0,RTD("tos.rtd",,K$83,"."&amp;$C$82&amp;$J$82&amp;"P"&amp;$A105))</f>
        <v>-473</v>
      </c>
      <c r="L105" s="48">
        <f>IF(RTD("tos.rtd",,L$83,"."&amp;$D$82&amp;$L$82&amp;"C"&amp;$A105)="N/A",0,RTD("tos.rtd",,L$83,"."&amp;$D$82&amp;$L$82&amp;"C"&amp;$A105))</f>
        <v>675</v>
      </c>
      <c r="M105" s="3">
        <f>-IF(RTD("tos.rtd",,M$83,"."&amp;$D$82&amp;$L$82&amp;"P"&amp;$A105)="N/A",0,RTD("tos.rtd",,M$83,"."&amp;$D$82&amp;$L$82&amp;"P"&amp;$A105))</f>
        <v>-926</v>
      </c>
      <c r="N105" s="3">
        <f t="shared" si="45"/>
        <v>-736</v>
      </c>
      <c r="O105" s="7">
        <f t="shared" si="38"/>
        <v>6740</v>
      </c>
      <c r="P105" s="48">
        <f>IF(RTD("tos.rtd",,P$83,"."&amp;$B$82&amp;$H$82&amp;"C"&amp;$A105)="N/A",0,RTD("tos.rtd",,P$83,"."&amp;$B$82&amp;$H$82&amp;"C"&amp;$A105))</f>
        <v>4352</v>
      </c>
      <c r="Q105" s="3">
        <f>-IF(RTD("tos.rtd",,Q$83,"."&amp;$B$82&amp;$H$82&amp;"P"&amp;$A105)="N/A",0,RTD("tos.rtd",,Q$83,"."&amp;$B$82&amp;$H$82&amp;"P"&amp;$A105))</f>
        <v>-1036</v>
      </c>
      <c r="R105" s="48">
        <f>IF(RTD("tos.rtd",,R$83,"."&amp;$C$82&amp;$J$82&amp;"C"&amp;$A105)="N/A",0,RTD("tos.rtd",,R$83,"."&amp;$C$82&amp;$J$82&amp;"C"&amp;$A105))</f>
        <v>259</v>
      </c>
      <c r="S105" s="3">
        <f>-IF(RTD("tos.rtd",,S$83,"."&amp;$C$82&amp;$J$82&amp;"P"&amp;$A105)="N/A",0,RTD("tos.rtd",,S$83,"."&amp;$C$82&amp;$J$82&amp;"P"&amp;$A105))</f>
        <v>-153</v>
      </c>
      <c r="T105" s="48">
        <f>IF(RTD("tos.rtd",,T$83,"."&amp;$D$82&amp;$L$82&amp;"C"&amp;$A105)="N/A",0,RTD("tos.rtd",,T$83,"."&amp;$D$82&amp;$L$82&amp;"C"&amp;$A105))</f>
        <v>271</v>
      </c>
      <c r="U105" s="3">
        <f>-IF(RTD("tos.rtd",,U$83,"."&amp;$D$82&amp;$L$82&amp;"P"&amp;$A105)="N/A",0,RTD("tos.rtd",,U$83,"."&amp;$D$82&amp;$L$82&amp;"P"&amp;$A105))</f>
        <v>-18</v>
      </c>
      <c r="V105" s="3">
        <f ca="1">+Hoja2!Y106</f>
        <v>3713</v>
      </c>
      <c r="W105" s="3">
        <f t="shared" ca="1" si="40"/>
        <v>7388</v>
      </c>
    </row>
    <row r="106" spans="1:23" s="51" customFormat="1" ht="12" customHeight="1" thickBot="1" x14ac:dyDescent="0.25">
      <c r="A106" s="2">
        <f t="shared" si="41"/>
        <v>6735</v>
      </c>
      <c r="B106" s="3">
        <f t="shared" si="34"/>
        <v>-53</v>
      </c>
      <c r="C106" s="3">
        <f t="shared" si="35"/>
        <v>-114</v>
      </c>
      <c r="D106" s="3">
        <f t="shared" si="36"/>
        <v>-143</v>
      </c>
      <c r="E106" s="3">
        <f t="shared" si="44"/>
        <v>-310</v>
      </c>
      <c r="F106" s="4">
        <f t="shared" si="46"/>
        <v>6771.2333551301863</v>
      </c>
      <c r="G106" s="18"/>
      <c r="H106" s="48">
        <f>IF(RTD("tos.rtd",,H$83,"."&amp;$B$82&amp;$H$82&amp;"C"&amp;$A106)="N/A",0,RTD("tos.rtd",,H$83,"."&amp;$B$82&amp;$H$82&amp;"C"&amp;$A106))</f>
        <v>217</v>
      </c>
      <c r="I106" s="3">
        <f>-IF(RTD("tos.rtd",,I$83,"."&amp;$B$82&amp;$H$82&amp;"P"&amp;$A106)="N/A",0,RTD("tos.rtd",,I$83,"."&amp;$B$82&amp;$H$82&amp;"P"&amp;$A106))</f>
        <v>-270</v>
      </c>
      <c r="J106" s="48">
        <f>IF(RTD("tos.rtd",,J$83,"."&amp;$C$82&amp;$J$82&amp;"C"&amp;$A106)="N/A",0,RTD("tos.rtd",,J$83,"."&amp;$C$82&amp;$J$82&amp;"C"&amp;$A106))</f>
        <v>100</v>
      </c>
      <c r="K106" s="3">
        <f>-IF(RTD("tos.rtd",,K$83,"."&amp;$C$82&amp;$J$82&amp;"P"&amp;$A106)="N/A",0,RTD("tos.rtd",,K$83,"."&amp;$C$82&amp;$J$82&amp;"P"&amp;$A106))</f>
        <v>-214</v>
      </c>
      <c r="L106" s="48">
        <f>IF(RTD("tos.rtd",,L$83,"."&amp;$D$82&amp;$L$82&amp;"C"&amp;$A106)="N/A",0,RTD("tos.rtd",,L$83,"."&amp;$D$82&amp;$L$82&amp;"C"&amp;$A106))</f>
        <v>164</v>
      </c>
      <c r="M106" s="3">
        <f>-IF(RTD("tos.rtd",,M$83,"."&amp;$D$82&amp;$L$82&amp;"P"&amp;$A106)="N/A",0,RTD("tos.rtd",,M$83,"."&amp;$D$82&amp;$L$82&amp;"P"&amp;$A106))</f>
        <v>-307</v>
      </c>
      <c r="N106" s="3">
        <f t="shared" si="45"/>
        <v>-310</v>
      </c>
      <c r="O106" s="7">
        <f t="shared" si="38"/>
        <v>6735</v>
      </c>
      <c r="P106" s="48">
        <f>IF(RTD("tos.rtd",,P$83,"."&amp;$B$82&amp;$H$82&amp;"C"&amp;$A106)="N/A",0,RTD("tos.rtd",,P$83,"."&amp;$B$82&amp;$H$82&amp;"C"&amp;$A106))</f>
        <v>3147</v>
      </c>
      <c r="Q106" s="3">
        <f>-IF(RTD("tos.rtd",,Q$83,"."&amp;$B$82&amp;$H$82&amp;"P"&amp;$A106)="N/A",0,RTD("tos.rtd",,Q$83,"."&amp;$B$82&amp;$H$82&amp;"P"&amp;$A106))</f>
        <v>-738</v>
      </c>
      <c r="R106" s="48">
        <f>IF(RTD("tos.rtd",,R$83,"."&amp;$C$82&amp;$J$82&amp;"C"&amp;$A106)="N/A",0,RTD("tos.rtd",,R$83,"."&amp;$C$82&amp;$J$82&amp;"C"&amp;$A106))</f>
        <v>252</v>
      </c>
      <c r="S106" s="3">
        <f>-IF(RTD("tos.rtd",,S$83,"."&amp;$C$82&amp;$J$82&amp;"P"&amp;$A106)="N/A",0,RTD("tos.rtd",,S$83,"."&amp;$C$82&amp;$J$82&amp;"P"&amp;$A106))</f>
        <v>-175</v>
      </c>
      <c r="T106" s="48">
        <f>IF(RTD("tos.rtd",,T$83,"."&amp;$D$82&amp;$L$82&amp;"C"&amp;$A106)="N/A",0,RTD("tos.rtd",,T$83,"."&amp;$D$82&amp;$L$82&amp;"C"&amp;$A106))</f>
        <v>132</v>
      </c>
      <c r="U106" s="3">
        <f>-IF(RTD("tos.rtd",,U$83,"."&amp;$D$82&amp;$L$82&amp;"P"&amp;$A106)="N/A",0,RTD("tos.rtd",,U$83,"."&amp;$D$82&amp;$L$82&amp;"P"&amp;$A106))</f>
        <v>-10</v>
      </c>
      <c r="V106" s="3">
        <f ca="1">+Hoja2!Y107</f>
        <v>2879</v>
      </c>
      <c r="W106" s="3">
        <f t="shared" ca="1" si="40"/>
        <v>5487</v>
      </c>
    </row>
    <row r="107" spans="1:23" s="51" customFormat="1" ht="12" customHeight="1" thickBot="1" x14ac:dyDescent="0.25">
      <c r="A107" s="2">
        <f t="shared" si="41"/>
        <v>6730</v>
      </c>
      <c r="B107" s="3">
        <f t="shared" si="34"/>
        <v>-426</v>
      </c>
      <c r="C107" s="3">
        <f t="shared" si="35"/>
        <v>21</v>
      </c>
      <c r="D107" s="3">
        <f t="shared" si="36"/>
        <v>-222</v>
      </c>
      <c r="E107" s="3">
        <f t="shared" si="44"/>
        <v>-627</v>
      </c>
      <c r="F107" s="4">
        <f t="shared" si="46"/>
        <v>6766.2064558316488</v>
      </c>
      <c r="G107" s="18"/>
      <c r="H107" s="48">
        <f>IF(RTD("tos.rtd",,H$83,"."&amp;$B$82&amp;$H$82&amp;"C"&amp;$A107)="N/A",0,RTD("tos.rtd",,H$83,"."&amp;$B$82&amp;$H$82&amp;"C"&amp;$A107))</f>
        <v>388</v>
      </c>
      <c r="I107" s="3">
        <f>-IF(RTD("tos.rtd",,I$83,"."&amp;$B$82&amp;$H$82&amp;"P"&amp;$A107)="N/A",0,RTD("tos.rtd",,I$83,"."&amp;$B$82&amp;$H$82&amp;"P"&amp;$A107))</f>
        <v>-814</v>
      </c>
      <c r="J107" s="48">
        <f>IF(RTD("tos.rtd",,J$83,"."&amp;$C$82&amp;$J$82&amp;"C"&amp;$A107)="N/A",0,RTD("tos.rtd",,J$83,"."&amp;$C$82&amp;$J$82&amp;"C"&amp;$A107))</f>
        <v>635</v>
      </c>
      <c r="K107" s="3">
        <f>-IF(RTD("tos.rtd",,K$83,"."&amp;$C$82&amp;$J$82&amp;"P"&amp;$A107)="N/A",0,RTD("tos.rtd",,K$83,"."&amp;$C$82&amp;$J$82&amp;"P"&amp;$A107))</f>
        <v>-614</v>
      </c>
      <c r="L107" s="48">
        <f>IF(RTD("tos.rtd",,L$83,"."&amp;$D$82&amp;$L$82&amp;"C"&amp;$A107)="N/A",0,RTD("tos.rtd",,L$83,"."&amp;$D$82&amp;$L$82&amp;"C"&amp;$A107))</f>
        <v>483</v>
      </c>
      <c r="M107" s="3">
        <f>-IF(RTD("tos.rtd",,M$83,"."&amp;$D$82&amp;$L$82&amp;"P"&amp;$A107)="N/A",0,RTD("tos.rtd",,M$83,"."&amp;$D$82&amp;$L$82&amp;"P"&amp;$A107))</f>
        <v>-705</v>
      </c>
      <c r="N107" s="3">
        <f t="shared" si="45"/>
        <v>-627</v>
      </c>
      <c r="O107" s="7">
        <f t="shared" si="38"/>
        <v>6730</v>
      </c>
      <c r="P107" s="48">
        <f>IF(RTD("tos.rtd",,P$83,"."&amp;$B$82&amp;$H$82&amp;"C"&amp;$A107)="N/A",0,RTD("tos.rtd",,P$83,"."&amp;$B$82&amp;$H$82&amp;"C"&amp;$A107))</f>
        <v>4504</v>
      </c>
      <c r="Q107" s="3">
        <f>-IF(RTD("tos.rtd",,Q$83,"."&amp;$B$82&amp;$H$82&amp;"P"&amp;$A107)="N/A",0,RTD("tos.rtd",,Q$83,"."&amp;$B$82&amp;$H$82&amp;"P"&amp;$A107))</f>
        <v>-1489</v>
      </c>
      <c r="R107" s="48">
        <f>IF(RTD("tos.rtd",,R$83,"."&amp;$C$82&amp;$J$82&amp;"C"&amp;$A107)="N/A",0,RTD("tos.rtd",,R$83,"."&amp;$C$82&amp;$J$82&amp;"C"&amp;$A107))</f>
        <v>569</v>
      </c>
      <c r="S107" s="3">
        <f>-IF(RTD("tos.rtd",,S$83,"."&amp;$C$82&amp;$J$82&amp;"P"&amp;$A107)="N/A",0,RTD("tos.rtd",,S$83,"."&amp;$C$82&amp;$J$82&amp;"P"&amp;$A107))</f>
        <v>-179</v>
      </c>
      <c r="T107" s="48">
        <f>IF(RTD("tos.rtd",,T$83,"."&amp;$D$82&amp;$L$82&amp;"C"&amp;$A107)="N/A",0,RTD("tos.rtd",,T$83,"."&amp;$D$82&amp;$L$82&amp;"C"&amp;$A107))</f>
        <v>665</v>
      </c>
      <c r="U107" s="3">
        <f>-IF(RTD("tos.rtd",,U$83,"."&amp;$D$82&amp;$L$82&amp;"P"&amp;$A107)="N/A",0,RTD("tos.rtd",,U$83,"."&amp;$D$82&amp;$L$82&amp;"P"&amp;$A107))</f>
        <v>-91</v>
      </c>
      <c r="V107" s="3">
        <f ca="1">+Hoja2!Y108</f>
        <v>2643</v>
      </c>
      <c r="W107" s="3">
        <f t="shared" ca="1" si="40"/>
        <v>6622</v>
      </c>
    </row>
    <row r="108" spans="1:23" s="51" customFormat="1" ht="12" customHeight="1" thickBot="1" x14ac:dyDescent="0.25">
      <c r="A108" s="2">
        <f t="shared" si="41"/>
        <v>6725</v>
      </c>
      <c r="B108" s="8">
        <f t="shared" si="34"/>
        <v>-224</v>
      </c>
      <c r="C108" s="8">
        <f t="shared" si="35"/>
        <v>-879</v>
      </c>
      <c r="D108" s="8">
        <f t="shared" si="36"/>
        <v>127</v>
      </c>
      <c r="E108" s="8">
        <f t="shared" si="44"/>
        <v>-976</v>
      </c>
      <c r="F108" s="9">
        <f t="shared" si="46"/>
        <v>6761.1795565331113</v>
      </c>
      <c r="G108" s="8"/>
      <c r="H108" s="48">
        <f>IF(RTD("tos.rtd",,H$83,"."&amp;$B$82&amp;$H$82&amp;"C"&amp;$A108)="N/A",0,RTD("tos.rtd",,H$83,"."&amp;$B$82&amp;$H$82&amp;"C"&amp;$A108))</f>
        <v>305</v>
      </c>
      <c r="I108" s="3">
        <f>-IF(RTD("tos.rtd",,I$83,"."&amp;$B$82&amp;$H$82&amp;"P"&amp;$A108)="N/A",0,RTD("tos.rtd",,I$83,"."&amp;$B$82&amp;$H$82&amp;"P"&amp;$A108))</f>
        <v>-529</v>
      </c>
      <c r="J108" s="48">
        <f>IF(RTD("tos.rtd",,J$83,"."&amp;$C$82&amp;$J$82&amp;"C"&amp;$A108)="N/A",0,RTD("tos.rtd",,J$83,"."&amp;$C$82&amp;$J$82&amp;"C"&amp;$A108))</f>
        <v>160</v>
      </c>
      <c r="K108" s="3">
        <f>-IF(RTD("tos.rtd",,K$83,"."&amp;$C$82&amp;$J$82&amp;"P"&amp;$A108)="N/A",0,RTD("tos.rtd",,K$83,"."&amp;$C$82&amp;$J$82&amp;"P"&amp;$A108))</f>
        <v>-1039</v>
      </c>
      <c r="L108" s="48">
        <f>IF(RTD("tos.rtd",,L$83,"."&amp;$D$82&amp;$L$82&amp;"C"&amp;$A108)="N/A",0,RTD("tos.rtd",,L$83,"."&amp;$D$82&amp;$L$82&amp;"C"&amp;$A108))</f>
        <v>1924</v>
      </c>
      <c r="M108" s="3">
        <f>-IF(RTD("tos.rtd",,M$83,"."&amp;$D$82&amp;$L$82&amp;"P"&amp;$A108)="N/A",0,RTD("tos.rtd",,M$83,"."&amp;$D$82&amp;$L$82&amp;"P"&amp;$A108))</f>
        <v>-1797</v>
      </c>
      <c r="N108" s="8">
        <f t="shared" si="45"/>
        <v>-976</v>
      </c>
      <c r="O108" s="7">
        <f t="shared" si="38"/>
        <v>6725</v>
      </c>
      <c r="P108" s="48">
        <f>IF(RTD("tos.rtd",,P$83,"."&amp;$B$82&amp;$H$82&amp;"C"&amp;$A108)="N/A",0,RTD("tos.rtd",,P$83,"."&amp;$B$82&amp;$H$82&amp;"C"&amp;$A108))</f>
        <v>5714</v>
      </c>
      <c r="Q108" s="3">
        <f>-IF(RTD("tos.rtd",,Q$83,"."&amp;$B$82&amp;$H$82&amp;"P"&amp;$A108)="N/A",0,RTD("tos.rtd",,Q$83,"."&amp;$B$82&amp;$H$82&amp;"P"&amp;$A108))</f>
        <v>-2465</v>
      </c>
      <c r="R108" s="48">
        <f>IF(RTD("tos.rtd",,R$83,"."&amp;$C$82&amp;$J$82&amp;"C"&amp;$A108)="N/A",0,RTD("tos.rtd",,R$83,"."&amp;$C$82&amp;$J$82&amp;"C"&amp;$A108))</f>
        <v>454</v>
      </c>
      <c r="S108" s="3">
        <f>-IF(RTD("tos.rtd",,S$83,"."&amp;$C$82&amp;$J$82&amp;"P"&amp;$A108)="N/A",0,RTD("tos.rtd",,S$83,"."&amp;$C$82&amp;$J$82&amp;"P"&amp;$A108))</f>
        <v>-253</v>
      </c>
      <c r="T108" s="48">
        <f>IF(RTD("tos.rtd",,T$83,"."&amp;$D$82&amp;$L$82&amp;"C"&amp;$A108)="N/A",0,RTD("tos.rtd",,T$83,"."&amp;$D$82&amp;$L$82&amp;"C"&amp;$A108))</f>
        <v>2377</v>
      </c>
      <c r="U108" s="3">
        <f>-IF(RTD("tos.rtd",,U$83,"."&amp;$D$82&amp;$L$82&amp;"P"&amp;$A108)="N/A",0,RTD("tos.rtd",,U$83,"."&amp;$D$82&amp;$L$82&amp;"P"&amp;$A108))</f>
        <v>-43</v>
      </c>
      <c r="V108" s="8">
        <f ca="1">+Hoja2!Y109</f>
        <v>4292</v>
      </c>
      <c r="W108" s="8">
        <f t="shared" ca="1" si="40"/>
        <v>10076</v>
      </c>
    </row>
    <row r="109" spans="1:23" s="51" customFormat="1" ht="12" customHeight="1" thickBot="1" x14ac:dyDescent="0.25">
      <c r="A109" s="2">
        <f t="shared" si="41"/>
        <v>6720</v>
      </c>
      <c r="B109" s="3">
        <f t="shared" si="34"/>
        <v>-889</v>
      </c>
      <c r="C109" s="3">
        <f t="shared" si="35"/>
        <v>-571</v>
      </c>
      <c r="D109" s="3">
        <f t="shared" si="36"/>
        <v>268</v>
      </c>
      <c r="E109" s="3">
        <f t="shared" si="44"/>
        <v>-1192</v>
      </c>
      <c r="F109" s="12">
        <f t="shared" si="46"/>
        <v>6756.1526572345738</v>
      </c>
      <c r="G109" s="18"/>
      <c r="H109" s="48">
        <f>IF(RTD("tos.rtd",,H$83,"."&amp;$B$82&amp;$H$82&amp;"C"&amp;$A109)="N/A",0,RTD("tos.rtd",,H$83,"."&amp;$B$82&amp;$H$82&amp;"C"&amp;$A109))</f>
        <v>208</v>
      </c>
      <c r="I109" s="3">
        <f>-IF(RTD("tos.rtd",,I$83,"."&amp;$B$82&amp;$H$82&amp;"P"&amp;$A109)="N/A",0,RTD("tos.rtd",,I$83,"."&amp;$B$82&amp;$H$82&amp;"P"&amp;$A109))</f>
        <v>-1097</v>
      </c>
      <c r="J109" s="48">
        <f>IF(RTD("tos.rtd",,J$83,"."&amp;$C$82&amp;$J$82&amp;"C"&amp;$A109)="N/A",0,RTD("tos.rtd",,J$83,"."&amp;$C$82&amp;$J$82&amp;"C"&amp;$A109))</f>
        <v>125</v>
      </c>
      <c r="K109" s="3">
        <f>-IF(RTD("tos.rtd",,K$83,"."&amp;$C$82&amp;$J$82&amp;"P"&amp;$A109)="N/A",0,RTD("tos.rtd",,K$83,"."&amp;$C$82&amp;$J$82&amp;"P"&amp;$A109))</f>
        <v>-696</v>
      </c>
      <c r="L109" s="48">
        <f>IF(RTD("tos.rtd",,L$83,"."&amp;$D$82&amp;$L$82&amp;"C"&amp;$A109)="N/A",0,RTD("tos.rtd",,L$83,"."&amp;$D$82&amp;$L$82&amp;"C"&amp;$A109))</f>
        <v>917</v>
      </c>
      <c r="M109" s="3">
        <f>-IF(RTD("tos.rtd",,M$83,"."&amp;$D$82&amp;$L$82&amp;"P"&amp;$A109)="N/A",0,RTD("tos.rtd",,M$83,"."&amp;$D$82&amp;$L$82&amp;"P"&amp;$A109))</f>
        <v>-649</v>
      </c>
      <c r="N109" s="3">
        <f t="shared" si="45"/>
        <v>-1192</v>
      </c>
      <c r="O109" s="7">
        <f t="shared" si="38"/>
        <v>6720</v>
      </c>
      <c r="P109" s="48">
        <f>IF(RTD("tos.rtd",,P$83,"."&amp;$B$82&amp;$H$82&amp;"C"&amp;$A109)="N/A",0,RTD("tos.rtd",,P$83,"."&amp;$B$82&amp;$H$82&amp;"C"&amp;$A109))</f>
        <v>5897</v>
      </c>
      <c r="Q109" s="3">
        <f>-IF(RTD("tos.rtd",,Q$83,"."&amp;$B$82&amp;$H$82&amp;"P"&amp;$A109)="N/A",0,RTD("tos.rtd",,Q$83,"."&amp;$B$82&amp;$H$82&amp;"P"&amp;$A109))</f>
        <v>-3389</v>
      </c>
      <c r="R109" s="48">
        <f>IF(RTD("tos.rtd",,R$83,"."&amp;$C$82&amp;$J$82&amp;"C"&amp;$A109)="N/A",0,RTD("tos.rtd",,R$83,"."&amp;$C$82&amp;$J$82&amp;"C"&amp;$A109))</f>
        <v>1268</v>
      </c>
      <c r="S109" s="3">
        <f>-IF(RTD("tos.rtd",,S$83,"."&amp;$C$82&amp;$J$82&amp;"P"&amp;$A109)="N/A",0,RTD("tos.rtd",,S$83,"."&amp;$C$82&amp;$J$82&amp;"P"&amp;$A109))</f>
        <v>-518</v>
      </c>
      <c r="T109" s="48">
        <f>IF(RTD("tos.rtd",,T$83,"."&amp;$D$82&amp;$L$82&amp;"C"&amp;$A109)="N/A",0,RTD("tos.rtd",,T$83,"."&amp;$D$82&amp;$L$82&amp;"C"&amp;$A109))</f>
        <v>25</v>
      </c>
      <c r="U109" s="3">
        <f>-IF(RTD("tos.rtd",,U$83,"."&amp;$D$82&amp;$L$82&amp;"P"&amp;$A109)="N/A",0,RTD("tos.rtd",,U$83,"."&amp;$D$82&amp;$L$82&amp;"P"&amp;$A109))</f>
        <v>-89</v>
      </c>
      <c r="V109" s="3">
        <f ca="1">+Hoja2!Y110</f>
        <v>2548</v>
      </c>
      <c r="W109" s="3">
        <f t="shared" ca="1" si="40"/>
        <v>5742</v>
      </c>
    </row>
    <row r="110" spans="1:23" s="51" customFormat="1" ht="12" customHeight="1" thickBot="1" x14ac:dyDescent="0.25">
      <c r="A110" s="2">
        <f t="shared" si="41"/>
        <v>6715</v>
      </c>
      <c r="B110" s="3">
        <f t="shared" si="34"/>
        <v>-193</v>
      </c>
      <c r="C110" s="3">
        <f t="shared" si="35"/>
        <v>-636</v>
      </c>
      <c r="D110" s="3">
        <f t="shared" si="36"/>
        <v>-246</v>
      </c>
      <c r="E110" s="3">
        <f t="shared" si="44"/>
        <v>-1075</v>
      </c>
      <c r="F110" s="4">
        <f t="shared" si="46"/>
        <v>6751.1257579360363</v>
      </c>
      <c r="G110" s="18"/>
      <c r="H110" s="48">
        <f>IF(RTD("tos.rtd",,H$83,"."&amp;$B$82&amp;$H$82&amp;"C"&amp;$A110)="N/A",0,RTD("tos.rtd",,H$83,"."&amp;$B$82&amp;$H$82&amp;"C"&amp;$A110))</f>
        <v>116</v>
      </c>
      <c r="I110" s="3">
        <f>-IF(RTD("tos.rtd",,I$83,"."&amp;$B$82&amp;$H$82&amp;"P"&amp;$A110)="N/A",0,RTD("tos.rtd",,I$83,"."&amp;$B$82&amp;$H$82&amp;"P"&amp;$A110))</f>
        <v>-309</v>
      </c>
      <c r="J110" s="48">
        <f>IF(RTD("tos.rtd",,J$83,"."&amp;$C$82&amp;$J$82&amp;"C"&amp;$A110)="N/A",0,RTD("tos.rtd",,J$83,"."&amp;$C$82&amp;$J$82&amp;"C"&amp;$A110))</f>
        <v>66</v>
      </c>
      <c r="K110" s="3">
        <f>-IF(RTD("tos.rtd",,K$83,"."&amp;$C$82&amp;$J$82&amp;"P"&amp;$A110)="N/A",0,RTD("tos.rtd",,K$83,"."&amp;$C$82&amp;$J$82&amp;"P"&amp;$A110))</f>
        <v>-702</v>
      </c>
      <c r="L110" s="48">
        <f>IF(RTD("tos.rtd",,L$83,"."&amp;$D$82&amp;$L$82&amp;"C"&amp;$A110)="N/A",0,RTD("tos.rtd",,L$83,"."&amp;$D$82&amp;$L$82&amp;"C"&amp;$A110))</f>
        <v>275</v>
      </c>
      <c r="M110" s="3">
        <f>-IF(RTD("tos.rtd",,M$83,"."&amp;$D$82&amp;$L$82&amp;"P"&amp;$A110)="N/A",0,RTD("tos.rtd",,M$83,"."&amp;$D$82&amp;$L$82&amp;"P"&amp;$A110))</f>
        <v>-521</v>
      </c>
      <c r="N110" s="3">
        <f t="shared" si="45"/>
        <v>-1075</v>
      </c>
      <c r="O110" s="7">
        <f t="shared" si="38"/>
        <v>6715</v>
      </c>
      <c r="P110" s="48">
        <f>IF(RTD("tos.rtd",,P$83,"."&amp;$B$82&amp;$H$82&amp;"C"&amp;$A110)="N/A",0,RTD("tos.rtd",,P$83,"."&amp;$B$82&amp;$H$82&amp;"C"&amp;$A110))</f>
        <v>3695</v>
      </c>
      <c r="Q110" s="3">
        <f>-IF(RTD("tos.rtd",,Q$83,"."&amp;$B$82&amp;$H$82&amp;"P"&amp;$A110)="N/A",0,RTD("tos.rtd",,Q$83,"."&amp;$B$82&amp;$H$82&amp;"P"&amp;$A110))</f>
        <v>-2813</v>
      </c>
      <c r="R110" s="48">
        <f>IF(RTD("tos.rtd",,R$83,"."&amp;$C$82&amp;$J$82&amp;"C"&amp;$A110)="N/A",0,RTD("tos.rtd",,R$83,"."&amp;$C$82&amp;$J$82&amp;"C"&amp;$A110))</f>
        <v>344</v>
      </c>
      <c r="S110" s="3">
        <f>-IF(RTD("tos.rtd",,S$83,"."&amp;$C$82&amp;$J$82&amp;"P"&amp;$A110)="N/A",0,RTD("tos.rtd",,S$83,"."&amp;$C$82&amp;$J$82&amp;"P"&amp;$A110))</f>
        <v>-473</v>
      </c>
      <c r="T110" s="48">
        <f>IF(RTD("tos.rtd",,T$83,"."&amp;$D$82&amp;$L$82&amp;"C"&amp;$A110)="N/A",0,RTD("tos.rtd",,T$83,"."&amp;$D$82&amp;$L$82&amp;"C"&amp;$A110))</f>
        <v>185</v>
      </c>
      <c r="U110" s="3">
        <f>-IF(RTD("tos.rtd",,U$83,"."&amp;$D$82&amp;$L$82&amp;"P"&amp;$A110)="N/A",0,RTD("tos.rtd",,U$83,"."&amp;$D$82&amp;$L$82&amp;"P"&amp;$A110))</f>
        <v>-117</v>
      </c>
      <c r="V110" s="3">
        <f ca="1">+Hoja2!Y111</f>
        <v>763</v>
      </c>
      <c r="W110" s="3">
        <f t="shared" ca="1" si="40"/>
        <v>1584</v>
      </c>
    </row>
    <row r="111" spans="1:23" s="51" customFormat="1" ht="12" customHeight="1" thickBot="1" x14ac:dyDescent="0.25">
      <c r="A111" s="2">
        <f t="shared" si="41"/>
        <v>6710</v>
      </c>
      <c r="B111" s="3">
        <f t="shared" si="34"/>
        <v>-1051</v>
      </c>
      <c r="C111" s="3">
        <f t="shared" si="35"/>
        <v>-756</v>
      </c>
      <c r="D111" s="3">
        <f t="shared" si="36"/>
        <v>53</v>
      </c>
      <c r="E111" s="3">
        <f t="shared" si="44"/>
        <v>-1754</v>
      </c>
      <c r="F111" s="4">
        <f t="shared" si="46"/>
        <v>6746.0988586374988</v>
      </c>
      <c r="G111" s="18"/>
      <c r="H111" s="48">
        <f>IF(RTD("tos.rtd",,H$83,"."&amp;$B$82&amp;$H$82&amp;"C"&amp;$A111)="N/A",0,RTD("tos.rtd",,H$83,"."&amp;$B$82&amp;$H$82&amp;"C"&amp;$A111))</f>
        <v>125</v>
      </c>
      <c r="I111" s="3">
        <f>-IF(RTD("tos.rtd",,I$83,"."&amp;$B$82&amp;$H$82&amp;"P"&amp;$A111)="N/A",0,RTD("tos.rtd",,I$83,"."&amp;$B$82&amp;$H$82&amp;"P"&amp;$A111))</f>
        <v>-1176</v>
      </c>
      <c r="J111" s="48">
        <f>IF(RTD("tos.rtd",,J$83,"."&amp;$C$82&amp;$J$82&amp;"C"&amp;$A111)="N/A",0,RTD("tos.rtd",,J$83,"."&amp;$C$82&amp;$J$82&amp;"C"&amp;$A111))</f>
        <v>163</v>
      </c>
      <c r="K111" s="3">
        <f>-IF(RTD("tos.rtd",,K$83,"."&amp;$C$82&amp;$J$82&amp;"P"&amp;$A111)="N/A",0,RTD("tos.rtd",,K$83,"."&amp;$C$82&amp;$J$82&amp;"P"&amp;$A111))</f>
        <v>-919</v>
      </c>
      <c r="L111" s="48">
        <f>IF(RTD("tos.rtd",,L$83,"."&amp;$D$82&amp;$L$82&amp;"C"&amp;$A111)="N/A",0,RTD("tos.rtd",,L$83,"."&amp;$D$82&amp;$L$82&amp;"C"&amp;$A111))</f>
        <v>986</v>
      </c>
      <c r="M111" s="3">
        <f>-IF(RTD("tos.rtd",,M$83,"."&amp;$D$82&amp;$L$82&amp;"P"&amp;$A111)="N/A",0,RTD("tos.rtd",,M$83,"."&amp;$D$82&amp;$L$82&amp;"P"&amp;$A111))</f>
        <v>-933</v>
      </c>
      <c r="N111" s="3">
        <f t="shared" si="45"/>
        <v>-1754</v>
      </c>
      <c r="O111" s="7">
        <f t="shared" si="38"/>
        <v>6710</v>
      </c>
      <c r="P111" s="48">
        <f>IF(RTD("tos.rtd",,P$83,"."&amp;$B$82&amp;$H$82&amp;"C"&amp;$A111)="N/A",0,RTD("tos.rtd",,P$83,"."&amp;$B$82&amp;$H$82&amp;"C"&amp;$A111))</f>
        <v>3645</v>
      </c>
      <c r="Q111" s="3">
        <f>-IF(RTD("tos.rtd",,Q$83,"."&amp;$B$82&amp;$H$82&amp;"P"&amp;$A111)="N/A",0,RTD("tos.rtd",,Q$83,"."&amp;$B$82&amp;$H$82&amp;"P"&amp;$A111))</f>
        <v>-2835</v>
      </c>
      <c r="R111" s="48">
        <f>IF(RTD("tos.rtd",,R$83,"."&amp;$C$82&amp;$J$82&amp;"C"&amp;$A111)="N/A",0,RTD("tos.rtd",,R$83,"."&amp;$C$82&amp;$J$82&amp;"C"&amp;$A111))</f>
        <v>564</v>
      </c>
      <c r="S111" s="3">
        <f>-IF(RTD("tos.rtd",,S$83,"."&amp;$C$82&amp;$J$82&amp;"P"&amp;$A111)="N/A",0,RTD("tos.rtd",,S$83,"."&amp;$C$82&amp;$J$82&amp;"P"&amp;$A111))</f>
        <v>-674</v>
      </c>
      <c r="T111" s="48">
        <f>IF(RTD("tos.rtd",,T$83,"."&amp;$D$82&amp;$L$82&amp;"C"&amp;$A111)="N/A",0,RTD("tos.rtd",,T$83,"."&amp;$D$82&amp;$L$82&amp;"C"&amp;$A111))</f>
        <v>21</v>
      </c>
      <c r="U111" s="3">
        <f>-IF(RTD("tos.rtd",,U$83,"."&amp;$D$82&amp;$L$82&amp;"P"&amp;$A111)="N/A",0,RTD("tos.rtd",,U$83,"."&amp;$D$82&amp;$L$82&amp;"P"&amp;$A111))</f>
        <v>-97</v>
      </c>
      <c r="V111" s="3">
        <f ca="1">+Hoja2!Y112</f>
        <v>1193</v>
      </c>
      <c r="W111" s="3">
        <f t="shared" ca="1" si="40"/>
        <v>1817</v>
      </c>
    </row>
    <row r="112" spans="1:23" s="51" customFormat="1" ht="12" customHeight="1" thickBot="1" x14ac:dyDescent="0.25">
      <c r="A112" s="2">
        <f t="shared" si="41"/>
        <v>6705</v>
      </c>
      <c r="B112" s="3">
        <f t="shared" si="34"/>
        <v>-156</v>
      </c>
      <c r="C112" s="3">
        <f t="shared" si="35"/>
        <v>-445</v>
      </c>
      <c r="D112" s="3">
        <f t="shared" si="36"/>
        <v>-38</v>
      </c>
      <c r="E112" s="3">
        <f t="shared" ref="E112:E122" si="47">SUM(B112:D112)</f>
        <v>-639</v>
      </c>
      <c r="F112" s="4">
        <f t="shared" ref="F112:F122" si="48">+$F$84/$A$84*A112</f>
        <v>6741.0719593389613</v>
      </c>
      <c r="G112" s="18"/>
      <c r="H112" s="48">
        <f>IF(RTD("tos.rtd",,H$83,"."&amp;$B$82&amp;$H$82&amp;"C"&amp;$A112)="N/A",0,RTD("tos.rtd",,H$83,"."&amp;$B$82&amp;$H$82&amp;"C"&amp;$A112))</f>
        <v>57</v>
      </c>
      <c r="I112" s="3">
        <f>-IF(RTD("tos.rtd",,I$83,"."&amp;$B$82&amp;$H$82&amp;"P"&amp;$A112)="N/A",0,RTD("tos.rtd",,I$83,"."&amp;$B$82&amp;$H$82&amp;"P"&amp;$A112))</f>
        <v>-213</v>
      </c>
      <c r="J112" s="48">
        <f>IF(RTD("tos.rtd",,J$83,"."&amp;$C$82&amp;$J$82&amp;"C"&amp;$A112)="N/A",0,RTD("tos.rtd",,J$83,"."&amp;$C$82&amp;$J$82&amp;"C"&amp;$A112))</f>
        <v>142</v>
      </c>
      <c r="K112" s="3">
        <f>-IF(RTD("tos.rtd",,K$83,"."&amp;$C$82&amp;$J$82&amp;"P"&amp;$A112)="N/A",0,RTD("tos.rtd",,K$83,"."&amp;$C$82&amp;$J$82&amp;"P"&amp;$A112))</f>
        <v>-587</v>
      </c>
      <c r="L112" s="48">
        <f>IF(RTD("tos.rtd",,L$83,"."&amp;$D$82&amp;$L$82&amp;"C"&amp;$A112)="N/A",0,RTD("tos.rtd",,L$83,"."&amp;$D$82&amp;$L$82&amp;"C"&amp;$A112))</f>
        <v>400</v>
      </c>
      <c r="M112" s="3">
        <f>-IF(RTD("tos.rtd",,M$83,"."&amp;$D$82&amp;$L$82&amp;"P"&amp;$A112)="N/A",0,RTD("tos.rtd",,M$83,"."&amp;$D$82&amp;$L$82&amp;"P"&amp;$A112))</f>
        <v>-438</v>
      </c>
      <c r="N112" s="3">
        <f t="shared" ref="N112:N122" si="49">SUM(H112:M112)</f>
        <v>-639</v>
      </c>
      <c r="O112" s="7">
        <f t="shared" si="38"/>
        <v>6705</v>
      </c>
      <c r="P112" s="48">
        <f>IF(RTD("tos.rtd",,P$83,"."&amp;$B$82&amp;$H$82&amp;"C"&amp;$A112)="N/A",0,RTD("tos.rtd",,P$83,"."&amp;$B$82&amp;$H$82&amp;"C"&amp;$A112))</f>
        <v>2302</v>
      </c>
      <c r="Q112" s="3">
        <f>-IF(RTD("tos.rtd",,Q$83,"."&amp;$B$82&amp;$H$82&amp;"P"&amp;$A112)="N/A",0,RTD("tos.rtd",,Q$83,"."&amp;$B$82&amp;$H$82&amp;"P"&amp;$A112))</f>
        <v>-2053</v>
      </c>
      <c r="R112" s="48">
        <f>IF(RTD("tos.rtd",,R$83,"."&amp;$C$82&amp;$J$82&amp;"C"&amp;$A112)="N/A",0,RTD("tos.rtd",,R$83,"."&amp;$C$82&amp;$J$82&amp;"C"&amp;$A112))</f>
        <v>437</v>
      </c>
      <c r="S112" s="3">
        <f>-IF(RTD("tos.rtd",,S$83,"."&amp;$C$82&amp;$J$82&amp;"P"&amp;$A112)="N/A",0,RTD("tos.rtd",,S$83,"."&amp;$C$82&amp;$J$82&amp;"P"&amp;$A112))</f>
        <v>-359</v>
      </c>
      <c r="T112" s="48">
        <f>IF(RTD("tos.rtd",,T$83,"."&amp;$D$82&amp;$L$82&amp;"C"&amp;$A112)="N/A",0,RTD("tos.rtd",,T$83,"."&amp;$D$82&amp;$L$82&amp;"C"&amp;$A112))</f>
        <v>23</v>
      </c>
      <c r="U112" s="3">
        <f>-IF(RTD("tos.rtd",,U$83,"."&amp;$D$82&amp;$L$82&amp;"P"&amp;$A112)="N/A",0,RTD("tos.rtd",,U$83,"."&amp;$D$82&amp;$L$82&amp;"P"&amp;$A112))</f>
        <v>-55</v>
      </c>
      <c r="V112" s="3">
        <f ca="1">+Hoja2!Y113</f>
        <v>223</v>
      </c>
      <c r="W112" s="3">
        <f t="shared" ca="1" si="40"/>
        <v>518</v>
      </c>
    </row>
    <row r="113" spans="1:23" s="51" customFormat="1" ht="12" customHeight="1" thickBot="1" x14ac:dyDescent="0.25">
      <c r="A113" s="2">
        <f t="shared" si="41"/>
        <v>6700</v>
      </c>
      <c r="B113" s="3">
        <f t="shared" si="34"/>
        <v>-1043</v>
      </c>
      <c r="C113" s="3">
        <f t="shared" si="35"/>
        <v>-2272</v>
      </c>
      <c r="D113" s="3">
        <f t="shared" si="36"/>
        <v>-786</v>
      </c>
      <c r="E113" s="3">
        <f t="shared" si="47"/>
        <v>-4101</v>
      </c>
      <c r="F113" s="4">
        <f t="shared" si="48"/>
        <v>6736.0450600404229</v>
      </c>
      <c r="G113" s="18"/>
      <c r="H113" s="48">
        <f>IF(RTD("tos.rtd",,H$83,"."&amp;$B$82&amp;$H$82&amp;"C"&amp;$A113)="N/A",0,RTD("tos.rtd",,H$83,"."&amp;$B$82&amp;$H$82&amp;"C"&amp;$A113))</f>
        <v>284</v>
      </c>
      <c r="I113" s="3">
        <f>-IF(RTD("tos.rtd",,I$83,"."&amp;$B$82&amp;$H$82&amp;"P"&amp;$A113)="N/A",0,RTD("tos.rtd",,I$83,"."&amp;$B$82&amp;$H$82&amp;"P"&amp;$A113))</f>
        <v>-1327</v>
      </c>
      <c r="J113" s="48">
        <f>IF(RTD("tos.rtd",,J$83,"."&amp;$C$82&amp;$J$82&amp;"C"&amp;$A113)="N/A",0,RTD("tos.rtd",,J$83,"."&amp;$C$82&amp;$J$82&amp;"C"&amp;$A113))</f>
        <v>1386</v>
      </c>
      <c r="K113" s="3">
        <f>-IF(RTD("tos.rtd",,K$83,"."&amp;$C$82&amp;$J$82&amp;"P"&amp;$A113)="N/A",0,RTD("tos.rtd",,K$83,"."&amp;$C$82&amp;$J$82&amp;"P"&amp;$A113))</f>
        <v>-3658</v>
      </c>
      <c r="L113" s="48">
        <f>IF(RTD("tos.rtd",,L$83,"."&amp;$D$82&amp;$L$82&amp;"C"&amp;$A113)="N/A",0,RTD("tos.rtd",,L$83,"."&amp;$D$82&amp;$L$82&amp;"C"&amp;$A113))</f>
        <v>20414</v>
      </c>
      <c r="M113" s="3">
        <f>-IF(RTD("tos.rtd",,M$83,"."&amp;$D$82&amp;$L$82&amp;"P"&amp;$A113)="N/A",0,RTD("tos.rtd",,M$83,"."&amp;$D$82&amp;$L$82&amp;"P"&amp;$A113))</f>
        <v>-21200</v>
      </c>
      <c r="N113" s="3">
        <f t="shared" si="49"/>
        <v>-4101</v>
      </c>
      <c r="O113" s="7">
        <f t="shared" si="38"/>
        <v>6700</v>
      </c>
      <c r="P113" s="48">
        <f>IF(RTD("tos.rtd",,P$83,"."&amp;$B$82&amp;$H$82&amp;"C"&amp;$A113)="N/A",0,RTD("tos.rtd",,P$83,"."&amp;$B$82&amp;$H$82&amp;"C"&amp;$A113))</f>
        <v>10763</v>
      </c>
      <c r="Q113" s="3">
        <f>-IF(RTD("tos.rtd",,Q$83,"."&amp;$B$82&amp;$H$82&amp;"P"&amp;$A113)="N/A",0,RTD("tos.rtd",,Q$83,"."&amp;$B$82&amp;$H$82&amp;"P"&amp;$A113))</f>
        <v>-6088</v>
      </c>
      <c r="R113" s="48">
        <f>IF(RTD("tos.rtd",,R$83,"."&amp;$C$82&amp;$J$82&amp;"C"&amp;$A113)="N/A",0,RTD("tos.rtd",,R$83,"."&amp;$C$82&amp;$J$82&amp;"C"&amp;$A113))</f>
        <v>1994</v>
      </c>
      <c r="S113" s="3">
        <f>-IF(RTD("tos.rtd",,S$83,"."&amp;$C$82&amp;$J$82&amp;"P"&amp;$A113)="N/A",0,RTD("tos.rtd",,S$83,"."&amp;$C$82&amp;$J$82&amp;"P"&amp;$A113))</f>
        <v>-2271</v>
      </c>
      <c r="T113" s="48">
        <f>IF(RTD("tos.rtd",,T$83,"."&amp;$D$82&amp;$L$82&amp;"C"&amp;$A113)="N/A",0,RTD("tos.rtd",,T$83,"."&amp;$D$82&amp;$L$82&amp;"C"&amp;$A113))</f>
        <v>4107</v>
      </c>
      <c r="U113" s="3">
        <f>-IF(RTD("tos.rtd",,U$83,"."&amp;$D$82&amp;$L$82&amp;"P"&amp;$A113)="N/A",0,RTD("tos.rtd",,U$83,"."&amp;$D$82&amp;$L$82&amp;"P"&amp;$A113))</f>
        <v>-3921</v>
      </c>
      <c r="V113" s="3">
        <f ca="1">+Hoja2!Y114</f>
        <v>3857</v>
      </c>
      <c r="W113" s="3">
        <f t="shared" ca="1" si="40"/>
        <v>8441</v>
      </c>
    </row>
    <row r="114" spans="1:23" s="51" customFormat="1" ht="12" customHeight="1" thickBot="1" x14ac:dyDescent="0.25">
      <c r="A114" s="2">
        <f t="shared" si="41"/>
        <v>6695</v>
      </c>
      <c r="B114" s="3">
        <f t="shared" si="34"/>
        <v>-435</v>
      </c>
      <c r="C114" s="3">
        <f t="shared" si="35"/>
        <v>-446</v>
      </c>
      <c r="D114" s="3">
        <f t="shared" si="36"/>
        <v>-157</v>
      </c>
      <c r="E114" s="3">
        <f t="shared" si="47"/>
        <v>-1038</v>
      </c>
      <c r="F114" s="4">
        <f t="shared" si="48"/>
        <v>6731.0181607418854</v>
      </c>
      <c r="G114" s="18"/>
      <c r="H114" s="48">
        <f>IF(RTD("tos.rtd",,H$83,"."&amp;$B$82&amp;$H$82&amp;"C"&amp;$A114)="N/A",0,RTD("tos.rtd",,H$83,"."&amp;$B$82&amp;$H$82&amp;"C"&amp;$A114))</f>
        <v>38</v>
      </c>
      <c r="I114" s="3">
        <f>-IF(RTD("tos.rtd",,I$83,"."&amp;$B$82&amp;$H$82&amp;"P"&amp;$A114)="N/A",0,RTD("tos.rtd",,I$83,"."&amp;$B$82&amp;$H$82&amp;"P"&amp;$A114))</f>
        <v>-473</v>
      </c>
      <c r="J114" s="48">
        <f>IF(RTD("tos.rtd",,J$83,"."&amp;$C$82&amp;$J$82&amp;"C"&amp;$A114)="N/A",0,RTD("tos.rtd",,J$83,"."&amp;$C$82&amp;$J$82&amp;"C"&amp;$A114))</f>
        <v>129</v>
      </c>
      <c r="K114" s="3">
        <f>-IF(RTD("tos.rtd",,K$83,"."&amp;$C$82&amp;$J$82&amp;"P"&amp;$A114)="N/A",0,RTD("tos.rtd",,K$83,"."&amp;$C$82&amp;$J$82&amp;"P"&amp;$A114))</f>
        <v>-575</v>
      </c>
      <c r="L114" s="48">
        <f>IF(RTD("tos.rtd",,L$83,"."&amp;$D$82&amp;$L$82&amp;"C"&amp;$A114)="N/A",0,RTD("tos.rtd",,L$83,"."&amp;$D$82&amp;$L$82&amp;"C"&amp;$A114))</f>
        <v>512</v>
      </c>
      <c r="M114" s="3">
        <f>-IF(RTD("tos.rtd",,M$83,"."&amp;$D$82&amp;$L$82&amp;"P"&amp;$A114)="N/A",0,RTD("tos.rtd",,M$83,"."&amp;$D$82&amp;$L$82&amp;"P"&amp;$A114))</f>
        <v>-669</v>
      </c>
      <c r="N114" s="3">
        <f t="shared" si="49"/>
        <v>-1038</v>
      </c>
      <c r="O114" s="7">
        <f t="shared" si="38"/>
        <v>6695</v>
      </c>
      <c r="P114" s="48">
        <f>IF(RTD("tos.rtd",,P$83,"."&amp;$B$82&amp;$H$82&amp;"C"&amp;$A114)="N/A",0,RTD("tos.rtd",,P$83,"."&amp;$B$82&amp;$H$82&amp;"C"&amp;$A114))</f>
        <v>1504</v>
      </c>
      <c r="Q114" s="3">
        <f>-IF(RTD("tos.rtd",,Q$83,"."&amp;$B$82&amp;$H$82&amp;"P"&amp;$A114)="N/A",0,RTD("tos.rtd",,Q$83,"."&amp;$B$82&amp;$H$82&amp;"P"&amp;$A114))</f>
        <v>-2619</v>
      </c>
      <c r="R114" s="48">
        <f>IF(RTD("tos.rtd",,R$83,"."&amp;$C$82&amp;$J$82&amp;"C"&amp;$A114)="N/A",0,RTD("tos.rtd",,R$83,"."&amp;$C$82&amp;$J$82&amp;"C"&amp;$A114))</f>
        <v>98</v>
      </c>
      <c r="S114" s="3">
        <f>-IF(RTD("tos.rtd",,S$83,"."&amp;$C$82&amp;$J$82&amp;"P"&amp;$A114)="N/A",0,RTD("tos.rtd",,S$83,"."&amp;$C$82&amp;$J$82&amp;"P"&amp;$A114))</f>
        <v>-356</v>
      </c>
      <c r="T114" s="48">
        <f>IF(RTD("tos.rtd",,T$83,"."&amp;$D$82&amp;$L$82&amp;"C"&amp;$A114)="N/A",0,RTD("tos.rtd",,T$83,"."&amp;$D$82&amp;$L$82&amp;"C"&amp;$A114))</f>
        <v>26</v>
      </c>
      <c r="U114" s="3">
        <f>-IF(RTD("tos.rtd",,U$83,"."&amp;$D$82&amp;$L$82&amp;"P"&amp;$A114)="N/A",0,RTD("tos.rtd",,U$83,"."&amp;$D$82&amp;$L$82&amp;"P"&amp;$A114))</f>
        <v>-41</v>
      </c>
      <c r="V114" s="3">
        <f ca="1">+Hoja2!Y115</f>
        <v>-1187</v>
      </c>
      <c r="W114" s="3">
        <f t="shared" ca="1" si="40"/>
        <v>-2575</v>
      </c>
    </row>
    <row r="115" spans="1:23" s="51" customFormat="1" ht="12" customHeight="1" thickBot="1" x14ac:dyDescent="0.25">
      <c r="A115" s="2">
        <f t="shared" si="41"/>
        <v>6690</v>
      </c>
      <c r="B115" s="3">
        <f t="shared" si="34"/>
        <v>-277</v>
      </c>
      <c r="C115" s="3">
        <f t="shared" si="35"/>
        <v>-694</v>
      </c>
      <c r="D115" s="3">
        <f t="shared" si="36"/>
        <v>-553</v>
      </c>
      <c r="E115" s="3">
        <f t="shared" si="47"/>
        <v>-1524</v>
      </c>
      <c r="F115" s="4">
        <f t="shared" si="48"/>
        <v>6725.9912614433479</v>
      </c>
      <c r="G115" s="18"/>
      <c r="H115" s="48">
        <f>IF(RTD("tos.rtd",,H$83,"."&amp;$B$82&amp;$H$82&amp;"C"&amp;$A115)="N/A",0,RTD("tos.rtd",,H$83,"."&amp;$B$82&amp;$H$82&amp;"C"&amp;$A115))</f>
        <v>24</v>
      </c>
      <c r="I115" s="3">
        <f>-IF(RTD("tos.rtd",,I$83,"."&amp;$B$82&amp;$H$82&amp;"P"&amp;$A115)="N/A",0,RTD("tos.rtd",,I$83,"."&amp;$B$82&amp;$H$82&amp;"P"&amp;$A115))</f>
        <v>-301</v>
      </c>
      <c r="J115" s="48">
        <f>IF(RTD("tos.rtd",,J$83,"."&amp;$C$82&amp;$J$82&amp;"C"&amp;$A115)="N/A",0,RTD("tos.rtd",,J$83,"."&amp;$C$82&amp;$J$82&amp;"C"&amp;$A115))</f>
        <v>128</v>
      </c>
      <c r="K115" s="3">
        <f>-IF(RTD("tos.rtd",,K$83,"."&amp;$C$82&amp;$J$82&amp;"P"&amp;$A115)="N/A",0,RTD("tos.rtd",,K$83,"."&amp;$C$82&amp;$J$82&amp;"P"&amp;$A115))</f>
        <v>-822</v>
      </c>
      <c r="L115" s="48">
        <f>IF(RTD("tos.rtd",,L$83,"."&amp;$D$82&amp;$L$82&amp;"C"&amp;$A115)="N/A",0,RTD("tos.rtd",,L$83,"."&amp;$D$82&amp;$L$82&amp;"C"&amp;$A115))</f>
        <v>383</v>
      </c>
      <c r="M115" s="3">
        <f>-IF(RTD("tos.rtd",,M$83,"."&amp;$D$82&amp;$L$82&amp;"P"&amp;$A115)="N/A",0,RTD("tos.rtd",,M$83,"."&amp;$D$82&amp;$L$82&amp;"P"&amp;$A115))</f>
        <v>-936</v>
      </c>
      <c r="N115" s="3">
        <f t="shared" si="49"/>
        <v>-1524</v>
      </c>
      <c r="O115" s="7">
        <f t="shared" si="38"/>
        <v>6690</v>
      </c>
      <c r="P115" s="48">
        <f>IF(RTD("tos.rtd",,P$83,"."&amp;$B$82&amp;$H$82&amp;"C"&amp;$A115)="N/A",0,RTD("tos.rtd",,P$83,"."&amp;$B$82&amp;$H$82&amp;"C"&amp;$A115))</f>
        <v>2232</v>
      </c>
      <c r="Q115" s="3">
        <f>-IF(RTD("tos.rtd",,Q$83,"."&amp;$B$82&amp;$H$82&amp;"P"&amp;$A115)="N/A",0,RTD("tos.rtd",,Q$83,"."&amp;$B$82&amp;$H$82&amp;"P"&amp;$A115))</f>
        <v>-3627</v>
      </c>
      <c r="R115" s="48">
        <f>IF(RTD("tos.rtd",,R$83,"."&amp;$C$82&amp;$J$82&amp;"C"&amp;$A115)="N/A",0,RTD("tos.rtd",,R$83,"."&amp;$C$82&amp;$J$82&amp;"C"&amp;$A115))</f>
        <v>206</v>
      </c>
      <c r="S115" s="3">
        <f>-IF(RTD("tos.rtd",,S$83,"."&amp;$C$82&amp;$J$82&amp;"P"&amp;$A115)="N/A",0,RTD("tos.rtd",,S$83,"."&amp;$C$82&amp;$J$82&amp;"P"&amp;$A115))</f>
        <v>-437</v>
      </c>
      <c r="T115" s="48">
        <f>IF(RTD("tos.rtd",,T$83,"."&amp;$D$82&amp;$L$82&amp;"C"&amp;$A115)="N/A",0,RTD("tos.rtd",,T$83,"."&amp;$D$82&amp;$L$82&amp;"C"&amp;$A115))</f>
        <v>87</v>
      </c>
      <c r="U115" s="3">
        <f>-IF(RTD("tos.rtd",,U$83,"."&amp;$D$82&amp;$L$82&amp;"P"&amp;$A115)="N/A",0,RTD("tos.rtd",,U$83,"."&amp;$D$82&amp;$L$82&amp;"P"&amp;$A115))</f>
        <v>-65</v>
      </c>
      <c r="V115" s="3">
        <f ca="1">+Hoja2!Y116</f>
        <v>-1621</v>
      </c>
      <c r="W115" s="3">
        <f t="shared" ca="1" si="40"/>
        <v>-3225</v>
      </c>
    </row>
    <row r="116" spans="1:23" s="51" customFormat="1" ht="12" customHeight="1" thickBot="1" x14ac:dyDescent="0.25">
      <c r="A116" s="2">
        <f t="shared" si="41"/>
        <v>6685</v>
      </c>
      <c r="B116" s="3">
        <f t="shared" si="34"/>
        <v>-374</v>
      </c>
      <c r="C116" s="3">
        <f t="shared" si="35"/>
        <v>-376</v>
      </c>
      <c r="D116" s="3">
        <f t="shared" si="36"/>
        <v>206</v>
      </c>
      <c r="E116" s="3">
        <f t="shared" si="47"/>
        <v>-544</v>
      </c>
      <c r="F116" s="4">
        <f t="shared" si="48"/>
        <v>6720.9643621448104</v>
      </c>
      <c r="G116" s="18"/>
      <c r="H116" s="48">
        <f>IF(RTD("tos.rtd",,H$83,"."&amp;$B$82&amp;$H$82&amp;"C"&amp;$A116)="N/A",0,RTD("tos.rtd",,H$83,"."&amp;$B$82&amp;$H$82&amp;"C"&amp;$A116))</f>
        <v>26</v>
      </c>
      <c r="I116" s="3">
        <f>-IF(RTD("tos.rtd",,I$83,"."&amp;$B$82&amp;$H$82&amp;"P"&amp;$A116)="N/A",0,RTD("tos.rtd",,I$83,"."&amp;$B$82&amp;$H$82&amp;"P"&amp;$A116))</f>
        <v>-400</v>
      </c>
      <c r="J116" s="48">
        <f>IF(RTD("tos.rtd",,J$83,"."&amp;$C$82&amp;$J$82&amp;"C"&amp;$A116)="N/A",0,RTD("tos.rtd",,J$83,"."&amp;$C$82&amp;$J$82&amp;"C"&amp;$A116))</f>
        <v>37</v>
      </c>
      <c r="K116" s="3">
        <f>-IF(RTD("tos.rtd",,K$83,"."&amp;$C$82&amp;$J$82&amp;"P"&amp;$A116)="N/A",0,RTD("tos.rtd",,K$83,"."&amp;$C$82&amp;$J$82&amp;"P"&amp;$A116))</f>
        <v>-413</v>
      </c>
      <c r="L116" s="48">
        <f>IF(RTD("tos.rtd",,L$83,"."&amp;$D$82&amp;$L$82&amp;"C"&amp;$A116)="N/A",0,RTD("tos.rtd",,L$83,"."&amp;$D$82&amp;$L$82&amp;"C"&amp;$A116))</f>
        <v>2261</v>
      </c>
      <c r="M116" s="3">
        <f>-IF(RTD("tos.rtd",,M$83,"."&amp;$D$82&amp;$L$82&amp;"P"&amp;$A116)="N/A",0,RTD("tos.rtd",,M$83,"."&amp;$D$82&amp;$L$82&amp;"P"&amp;$A116))</f>
        <v>-2055</v>
      </c>
      <c r="N116" s="3">
        <f t="shared" si="49"/>
        <v>-544</v>
      </c>
      <c r="O116" s="7">
        <f t="shared" si="38"/>
        <v>6685</v>
      </c>
      <c r="P116" s="48">
        <f>IF(RTD("tos.rtd",,P$83,"."&amp;$B$82&amp;$H$82&amp;"C"&amp;$A116)="N/A",0,RTD("tos.rtd",,P$83,"."&amp;$B$82&amp;$H$82&amp;"C"&amp;$A116))</f>
        <v>3088</v>
      </c>
      <c r="Q116" s="3">
        <f>-IF(RTD("tos.rtd",,Q$83,"."&amp;$B$82&amp;$H$82&amp;"P"&amp;$A116)="N/A",0,RTD("tos.rtd",,Q$83,"."&amp;$B$82&amp;$H$82&amp;"P"&amp;$A116))</f>
        <v>-3564</v>
      </c>
      <c r="R116" s="48">
        <f>IF(RTD("tos.rtd",,R$83,"."&amp;$C$82&amp;$J$82&amp;"C"&amp;$A116)="N/A",0,RTD("tos.rtd",,R$83,"."&amp;$C$82&amp;$J$82&amp;"C"&amp;$A116))</f>
        <v>206</v>
      </c>
      <c r="S116" s="3">
        <f>-IF(RTD("tos.rtd",,S$83,"."&amp;$C$82&amp;$J$82&amp;"P"&amp;$A116)="N/A",0,RTD("tos.rtd",,S$83,"."&amp;$C$82&amp;$J$82&amp;"P"&amp;$A116))</f>
        <v>-508</v>
      </c>
      <c r="T116" s="48">
        <f>IF(RTD("tos.rtd",,T$83,"."&amp;$D$82&amp;$L$82&amp;"C"&amp;$A116)="N/A",0,RTD("tos.rtd",,T$83,"."&amp;$D$82&amp;$L$82&amp;"C"&amp;$A116))</f>
        <v>21</v>
      </c>
      <c r="U116" s="3">
        <f>-IF(RTD("tos.rtd",,U$83,"."&amp;$D$82&amp;$L$82&amp;"P"&amp;$A116)="N/A",0,RTD("tos.rtd",,U$83,"."&amp;$D$82&amp;$L$82&amp;"P"&amp;$A116))</f>
        <v>-55</v>
      </c>
      <c r="V116" s="3">
        <f ca="1">+Hoja2!Y117</f>
        <v>-881</v>
      </c>
      <c r="W116" s="3">
        <f t="shared" ca="1" si="40"/>
        <v>-1693</v>
      </c>
    </row>
    <row r="117" spans="1:23" s="51" customFormat="1" ht="12" customHeight="1" thickBot="1" x14ac:dyDescent="0.25">
      <c r="A117" s="2">
        <f t="shared" si="41"/>
        <v>6680</v>
      </c>
      <c r="B117" s="3">
        <f t="shared" si="34"/>
        <v>-323</v>
      </c>
      <c r="C117" s="3">
        <f t="shared" si="35"/>
        <v>-717</v>
      </c>
      <c r="D117" s="3">
        <f t="shared" si="36"/>
        <v>-264</v>
      </c>
      <c r="E117" s="3">
        <f>SUM(B117:D117)</f>
        <v>-1304</v>
      </c>
      <c r="F117" s="4">
        <f>+$F$84/$A$84*A117</f>
        <v>6715.9374628462729</v>
      </c>
      <c r="G117" s="18"/>
      <c r="H117" s="48">
        <f>IF(RTD("tos.rtd",,H$83,"."&amp;$B$82&amp;$H$82&amp;"C"&amp;$A117)="N/A",0,RTD("tos.rtd",,H$83,"."&amp;$B$82&amp;$H$82&amp;"C"&amp;$A117))</f>
        <v>43</v>
      </c>
      <c r="I117" s="3">
        <f>-IF(RTD("tos.rtd",,I$83,"."&amp;$B$82&amp;$H$82&amp;"P"&amp;$A117)="N/A",0,RTD("tos.rtd",,I$83,"."&amp;$B$82&amp;$H$82&amp;"P"&amp;$A117))</f>
        <v>-366</v>
      </c>
      <c r="J117" s="48">
        <f>IF(RTD("tos.rtd",,J$83,"."&amp;$C$82&amp;$J$82&amp;"C"&amp;$A117)="N/A",0,RTD("tos.rtd",,J$83,"."&amp;$C$82&amp;$J$82&amp;"C"&amp;$A117))</f>
        <v>109</v>
      </c>
      <c r="K117" s="3">
        <f>-IF(RTD("tos.rtd",,K$83,"."&amp;$C$82&amp;$J$82&amp;"P"&amp;$A117)="N/A",0,RTD("tos.rtd",,K$83,"."&amp;$C$82&amp;$J$82&amp;"P"&amp;$A117))</f>
        <v>-826</v>
      </c>
      <c r="L117" s="48">
        <f>IF(RTD("tos.rtd",,L$83,"."&amp;$D$82&amp;$L$82&amp;"C"&amp;$A117)="N/A",0,RTD("tos.rtd",,L$83,"."&amp;$D$82&amp;$L$82&amp;"C"&amp;$A117))</f>
        <v>457</v>
      </c>
      <c r="M117" s="3">
        <f>-IF(RTD("tos.rtd",,M$83,"."&amp;$D$82&amp;$L$82&amp;"P"&amp;$A117)="N/A",0,RTD("tos.rtd",,M$83,"."&amp;$D$82&amp;$L$82&amp;"P"&amp;$A117))</f>
        <v>-721</v>
      </c>
      <c r="N117" s="3">
        <f>SUM(H117:M117)</f>
        <v>-1304</v>
      </c>
      <c r="O117" s="7">
        <f t="shared" si="38"/>
        <v>6680</v>
      </c>
      <c r="P117" s="48">
        <f>IF(RTD("tos.rtd",,P$83,"."&amp;$B$82&amp;$H$82&amp;"C"&amp;$A117)="N/A",0,RTD("tos.rtd",,P$83,"."&amp;$B$82&amp;$H$82&amp;"C"&amp;$A117))</f>
        <v>2945</v>
      </c>
      <c r="Q117" s="3">
        <f>-IF(RTD("tos.rtd",,Q$83,"."&amp;$B$82&amp;$H$82&amp;"P"&amp;$A117)="N/A",0,RTD("tos.rtd",,Q$83,"."&amp;$B$82&amp;$H$82&amp;"P"&amp;$A117))</f>
        <v>-4613</v>
      </c>
      <c r="R117" s="48">
        <f>IF(RTD("tos.rtd",,R$83,"."&amp;$C$82&amp;$J$82&amp;"C"&amp;$A117)="N/A",0,RTD("tos.rtd",,R$83,"."&amp;$C$82&amp;$J$82&amp;"C"&amp;$A117))</f>
        <v>178</v>
      </c>
      <c r="S117" s="3">
        <f>-IF(RTD("tos.rtd",,S$83,"."&amp;$C$82&amp;$J$82&amp;"P"&amp;$A117)="N/A",0,RTD("tos.rtd",,S$83,"."&amp;$C$82&amp;$J$82&amp;"P"&amp;$A117))</f>
        <v>-677</v>
      </c>
      <c r="T117" s="48">
        <f>IF(RTD("tos.rtd",,T$83,"."&amp;$D$82&amp;$L$82&amp;"C"&amp;$A117)="N/A",0,RTD("tos.rtd",,T$83,"."&amp;$D$82&amp;$L$82&amp;"C"&amp;$A117))</f>
        <v>143</v>
      </c>
      <c r="U117" s="3">
        <f>-IF(RTD("tos.rtd",,U$83,"."&amp;$D$82&amp;$L$82&amp;"P"&amp;$A117)="N/A",0,RTD("tos.rtd",,U$83,"."&amp;$D$82&amp;$L$82&amp;"P"&amp;$A117))</f>
        <v>-94</v>
      </c>
      <c r="V117" s="3">
        <f ca="1">+Hoja2!Y118</f>
        <v>-2548</v>
      </c>
      <c r="W117" s="3">
        <f t="shared" ca="1" si="40"/>
        <v>-4666</v>
      </c>
    </row>
    <row r="118" spans="1:23" s="51" customFormat="1" ht="12" customHeight="1" thickBot="1" x14ac:dyDescent="0.25">
      <c r="A118" s="2">
        <f t="shared" si="41"/>
        <v>6675</v>
      </c>
      <c r="B118" s="3">
        <f t="shared" si="34"/>
        <v>-372</v>
      </c>
      <c r="C118" s="3">
        <f t="shared" si="35"/>
        <v>-1359</v>
      </c>
      <c r="D118" s="3">
        <f t="shared" si="36"/>
        <v>954</v>
      </c>
      <c r="E118" s="3">
        <f>SUM(B118:D118)</f>
        <v>-777</v>
      </c>
      <c r="F118" s="4">
        <f>+$F$84/$A$84*A118</f>
        <v>6710.9105635477354</v>
      </c>
      <c r="G118" s="18"/>
      <c r="H118" s="48">
        <f>IF(RTD("tos.rtd",,H$83,"."&amp;$B$82&amp;$H$82&amp;"C"&amp;$A118)="N/A",0,RTD("tos.rtd",,H$83,"."&amp;$B$82&amp;$H$82&amp;"C"&amp;$A118))</f>
        <v>42</v>
      </c>
      <c r="I118" s="3">
        <f>-IF(RTD("tos.rtd",,I$83,"."&amp;$B$82&amp;$H$82&amp;"P"&amp;$A118)="N/A",0,RTD("tos.rtd",,I$83,"."&amp;$B$82&amp;$H$82&amp;"P"&amp;$A118))</f>
        <v>-414</v>
      </c>
      <c r="J118" s="48">
        <f>IF(RTD("tos.rtd",,J$83,"."&amp;$C$82&amp;$J$82&amp;"C"&amp;$A118)="N/A",0,RTD("tos.rtd",,J$83,"."&amp;$C$82&amp;$J$82&amp;"C"&amp;$A118))</f>
        <v>272</v>
      </c>
      <c r="K118" s="3">
        <f>-IF(RTD("tos.rtd",,K$83,"."&amp;$C$82&amp;$J$82&amp;"P"&amp;$A118)="N/A",0,RTD("tos.rtd",,K$83,"."&amp;$C$82&amp;$J$82&amp;"P"&amp;$A118))</f>
        <v>-1631</v>
      </c>
      <c r="L118" s="48">
        <f>IF(RTD("tos.rtd",,L$83,"."&amp;$D$82&amp;$L$82&amp;"C"&amp;$A118)="N/A",0,RTD("tos.rtd",,L$83,"."&amp;$D$82&amp;$L$82&amp;"C"&amp;$A118))</f>
        <v>2824</v>
      </c>
      <c r="M118" s="3">
        <f>-IF(RTD("tos.rtd",,M$83,"."&amp;$D$82&amp;$L$82&amp;"P"&amp;$A118)="N/A",0,RTD("tos.rtd",,M$83,"."&amp;$D$82&amp;$L$82&amp;"P"&amp;$A118))</f>
        <v>-1870</v>
      </c>
      <c r="N118" s="3">
        <f>SUM(H118:M118)</f>
        <v>-777</v>
      </c>
      <c r="O118" s="7">
        <f t="shared" si="38"/>
        <v>6675</v>
      </c>
      <c r="P118" s="48">
        <f>IF(RTD("tos.rtd",,P$83,"."&amp;$B$82&amp;$H$82&amp;"C"&amp;$A118)="N/A",0,RTD("tos.rtd",,P$83,"."&amp;$B$82&amp;$H$82&amp;"C"&amp;$A118))</f>
        <v>2275</v>
      </c>
      <c r="Q118" s="3">
        <f>-IF(RTD("tos.rtd",,Q$83,"."&amp;$B$82&amp;$H$82&amp;"P"&amp;$A118)="N/A",0,RTD("tos.rtd",,Q$83,"."&amp;$B$82&amp;$H$82&amp;"P"&amp;$A118))</f>
        <v>-6280</v>
      </c>
      <c r="R118" s="48">
        <f>IF(RTD("tos.rtd",,R$83,"."&amp;$C$82&amp;$J$82&amp;"C"&amp;$A118)="N/A",0,RTD("tos.rtd",,R$83,"."&amp;$C$82&amp;$J$82&amp;"C"&amp;$A118))</f>
        <v>309</v>
      </c>
      <c r="S118" s="3">
        <f>-IF(RTD("tos.rtd",,S$83,"."&amp;$C$82&amp;$J$82&amp;"P"&amp;$A118)="N/A",0,RTD("tos.rtd",,S$83,"."&amp;$C$82&amp;$J$82&amp;"P"&amp;$A118))</f>
        <v>-962</v>
      </c>
      <c r="T118" s="48">
        <f>IF(RTD("tos.rtd",,T$83,"."&amp;$D$82&amp;$L$82&amp;"C"&amp;$A118)="N/A",0,RTD("tos.rtd",,T$83,"."&amp;$D$82&amp;$L$82&amp;"C"&amp;$A118))</f>
        <v>271</v>
      </c>
      <c r="U118" s="3">
        <f>-IF(RTD("tos.rtd",,U$83,"."&amp;$D$82&amp;$L$82&amp;"P"&amp;$A118)="N/A",0,RTD("tos.rtd",,U$83,"."&amp;$D$82&amp;$L$82&amp;"P"&amp;$A118))</f>
        <v>-294</v>
      </c>
      <c r="V118" s="3">
        <f ca="1">+Hoja2!Y119</f>
        <v>-4570</v>
      </c>
      <c r="W118" s="3">
        <f t="shared" ca="1" si="40"/>
        <v>-9251</v>
      </c>
    </row>
    <row r="119" spans="1:23" s="51" customFormat="1" ht="12" customHeight="1" thickBot="1" x14ac:dyDescent="0.25">
      <c r="A119" s="2">
        <f t="shared" si="41"/>
        <v>6670</v>
      </c>
      <c r="B119" s="3">
        <f t="shared" si="34"/>
        <v>-283</v>
      </c>
      <c r="C119" s="3">
        <f t="shared" si="35"/>
        <v>-428</v>
      </c>
      <c r="D119" s="3">
        <f t="shared" si="36"/>
        <v>-813</v>
      </c>
      <c r="E119" s="3">
        <f>SUM(B119:D119)</f>
        <v>-1524</v>
      </c>
      <c r="F119" s="4">
        <f>+$F$84/$A$84*A119</f>
        <v>6705.8836642491979</v>
      </c>
      <c r="G119" s="18"/>
      <c r="H119" s="48">
        <f>IF(RTD("tos.rtd",,H$83,"."&amp;$B$82&amp;$H$82&amp;"C"&amp;$A119)="N/A",0,RTD("tos.rtd",,H$83,"."&amp;$B$82&amp;$H$82&amp;"C"&amp;$A119))</f>
        <v>114</v>
      </c>
      <c r="I119" s="3">
        <f>-IF(RTD("tos.rtd",,I$83,"."&amp;$B$82&amp;$H$82&amp;"P"&amp;$A119)="N/A",0,RTD("tos.rtd",,I$83,"."&amp;$B$82&amp;$H$82&amp;"P"&amp;$A119))</f>
        <v>-397</v>
      </c>
      <c r="J119" s="48">
        <f>IF(RTD("tos.rtd",,J$83,"."&amp;$C$82&amp;$J$82&amp;"C"&amp;$A119)="N/A",0,RTD("tos.rtd",,J$83,"."&amp;$C$82&amp;$J$82&amp;"C"&amp;$A119))</f>
        <v>216</v>
      </c>
      <c r="K119" s="3">
        <f>-IF(RTD("tos.rtd",,K$83,"."&amp;$C$82&amp;$J$82&amp;"P"&amp;$A119)="N/A",0,RTD("tos.rtd",,K$83,"."&amp;$C$82&amp;$J$82&amp;"P"&amp;$A119))</f>
        <v>-644</v>
      </c>
      <c r="L119" s="48">
        <f>IF(RTD("tos.rtd",,L$83,"."&amp;$D$82&amp;$L$82&amp;"C"&amp;$A119)="N/A",0,RTD("tos.rtd",,L$83,"."&amp;$D$82&amp;$L$82&amp;"C"&amp;$A119))</f>
        <v>296</v>
      </c>
      <c r="M119" s="3">
        <f>-IF(RTD("tos.rtd",,M$83,"."&amp;$D$82&amp;$L$82&amp;"P"&amp;$A119)="N/A",0,RTD("tos.rtd",,M$83,"."&amp;$D$82&amp;$L$82&amp;"P"&amp;$A119))</f>
        <v>-1109</v>
      </c>
      <c r="N119" s="3">
        <f>SUM(H119:M119)</f>
        <v>-1524</v>
      </c>
      <c r="O119" s="7">
        <f t="shared" si="38"/>
        <v>6670</v>
      </c>
      <c r="P119" s="48">
        <f>IF(RTD("tos.rtd",,P$83,"."&amp;$B$82&amp;$H$82&amp;"C"&amp;$A119)="N/A",0,RTD("tos.rtd",,P$83,"."&amp;$B$82&amp;$H$82&amp;"C"&amp;$A119))</f>
        <v>3266</v>
      </c>
      <c r="Q119" s="3">
        <f>-IF(RTD("tos.rtd",,Q$83,"."&amp;$B$82&amp;$H$82&amp;"P"&amp;$A119)="N/A",0,RTD("tos.rtd",,Q$83,"."&amp;$B$82&amp;$H$82&amp;"P"&amp;$A119))</f>
        <v>-5489</v>
      </c>
      <c r="R119" s="48">
        <f>IF(RTD("tos.rtd",,R$83,"."&amp;$C$82&amp;$J$82&amp;"C"&amp;$A119)="N/A",0,RTD("tos.rtd",,R$83,"."&amp;$C$82&amp;$J$82&amp;"C"&amp;$A119))</f>
        <v>189</v>
      </c>
      <c r="S119" s="3">
        <f>-IF(RTD("tos.rtd",,S$83,"."&amp;$C$82&amp;$J$82&amp;"P"&amp;$A119)="N/A",0,RTD("tos.rtd",,S$83,"."&amp;$C$82&amp;$J$82&amp;"P"&amp;$A119))</f>
        <v>-504</v>
      </c>
      <c r="T119" s="48">
        <f>IF(RTD("tos.rtd",,T$83,"."&amp;$D$82&amp;$L$82&amp;"C"&amp;$A119)="N/A",0,RTD("tos.rtd",,T$83,"."&amp;$D$82&amp;$L$82&amp;"C"&amp;$A119))</f>
        <v>14</v>
      </c>
      <c r="U119" s="3">
        <f>-IF(RTD("tos.rtd",,U$83,"."&amp;$D$82&amp;$L$82&amp;"P"&amp;$A119)="N/A",0,RTD("tos.rtd",,U$83,"."&amp;$D$82&amp;$L$82&amp;"P"&amp;$A119))</f>
        <v>-107</v>
      </c>
      <c r="V119" s="3">
        <f ca="1">+Hoja2!Y120</f>
        <v>-2163</v>
      </c>
      <c r="W119" s="3">
        <f t="shared" ca="1" si="40"/>
        <v>-4794</v>
      </c>
    </row>
    <row r="120" spans="1:23" s="51" customFormat="1" ht="12" customHeight="1" thickBot="1" x14ac:dyDescent="0.25">
      <c r="A120" s="2">
        <f t="shared" si="41"/>
        <v>6665</v>
      </c>
      <c r="B120" s="3">
        <f t="shared" si="34"/>
        <v>-262</v>
      </c>
      <c r="C120" s="3">
        <f t="shared" si="35"/>
        <v>-348</v>
      </c>
      <c r="D120" s="3">
        <f t="shared" si="36"/>
        <v>-248</v>
      </c>
      <c r="E120" s="3">
        <f>SUM(B120:D120)</f>
        <v>-858</v>
      </c>
      <c r="F120" s="4">
        <f>+$F$84/$A$84*A120</f>
        <v>6700.8567649506595</v>
      </c>
      <c r="G120" s="18"/>
      <c r="H120" s="48">
        <f>IF(RTD("tos.rtd",,H$83,"."&amp;$B$82&amp;$H$82&amp;"C"&amp;$A120)="N/A",0,RTD("tos.rtd",,H$83,"."&amp;$B$82&amp;$H$82&amp;"C"&amp;$A120))</f>
        <v>2</v>
      </c>
      <c r="I120" s="3">
        <f>-IF(RTD("tos.rtd",,I$83,"."&amp;$B$82&amp;$H$82&amp;"P"&amp;$A120)="N/A",0,RTD("tos.rtd",,I$83,"."&amp;$B$82&amp;$H$82&amp;"P"&amp;$A120))</f>
        <v>-264</v>
      </c>
      <c r="J120" s="48">
        <f>IF(RTD("tos.rtd",,J$83,"."&amp;$C$82&amp;$J$82&amp;"C"&amp;$A120)="N/A",0,RTD("tos.rtd",,J$83,"."&amp;$C$82&amp;$J$82&amp;"C"&amp;$A120))</f>
        <v>100</v>
      </c>
      <c r="K120" s="3">
        <f>-IF(RTD("tos.rtd",,K$83,"."&amp;$C$82&amp;$J$82&amp;"P"&amp;$A120)="N/A",0,RTD("tos.rtd",,K$83,"."&amp;$C$82&amp;$J$82&amp;"P"&amp;$A120))</f>
        <v>-448</v>
      </c>
      <c r="L120" s="48">
        <f>IF(RTD("tos.rtd",,L$83,"."&amp;$D$82&amp;$L$82&amp;"C"&amp;$A120)="N/A",0,RTD("tos.rtd",,L$83,"."&amp;$D$82&amp;$L$82&amp;"C"&amp;$A120))</f>
        <v>230</v>
      </c>
      <c r="M120" s="3">
        <f>-IF(RTD("tos.rtd",,M$83,"."&amp;$D$82&amp;$L$82&amp;"P"&amp;$A120)="N/A",0,RTD("tos.rtd",,M$83,"."&amp;$D$82&amp;$L$82&amp;"P"&amp;$A120))</f>
        <v>-478</v>
      </c>
      <c r="N120" s="3">
        <f>SUM(H120:M120)</f>
        <v>-858</v>
      </c>
      <c r="O120" s="7">
        <f t="shared" si="38"/>
        <v>6665</v>
      </c>
      <c r="P120" s="48">
        <f>IF(RTD("tos.rtd",,P$83,"."&amp;$B$82&amp;$H$82&amp;"C"&amp;$A120)="N/A",0,RTD("tos.rtd",,P$83,"."&amp;$B$82&amp;$H$82&amp;"C"&amp;$A120))</f>
        <v>1167</v>
      </c>
      <c r="Q120" s="3">
        <f>-IF(RTD("tos.rtd",,Q$83,"."&amp;$B$82&amp;$H$82&amp;"P"&amp;$A120)="N/A",0,RTD("tos.rtd",,Q$83,"."&amp;$B$82&amp;$H$82&amp;"P"&amp;$A120))</f>
        <v>-4390</v>
      </c>
      <c r="R120" s="48">
        <f>IF(RTD("tos.rtd",,R$83,"."&amp;$C$82&amp;$J$82&amp;"C"&amp;$A120)="N/A",0,RTD("tos.rtd",,R$83,"."&amp;$C$82&amp;$J$82&amp;"C"&amp;$A120))</f>
        <v>303</v>
      </c>
      <c r="S120" s="3">
        <f>-IF(RTD("tos.rtd",,S$83,"."&amp;$C$82&amp;$J$82&amp;"P"&amp;$A120)="N/A",0,RTD("tos.rtd",,S$83,"."&amp;$C$82&amp;$J$82&amp;"P"&amp;$A120))</f>
        <v>-343</v>
      </c>
      <c r="T120" s="48">
        <f>IF(RTD("tos.rtd",,T$83,"."&amp;$D$82&amp;$L$82&amp;"C"&amp;$A120)="N/A",0,RTD("tos.rtd",,T$83,"."&amp;$D$82&amp;$L$82&amp;"C"&amp;$A120))</f>
        <v>43</v>
      </c>
      <c r="U120" s="3">
        <f>-IF(RTD("tos.rtd",,U$83,"."&amp;$D$82&amp;$L$82&amp;"P"&amp;$A120)="N/A",0,RTD("tos.rtd",,U$83,"."&amp;$D$82&amp;$L$82&amp;"P"&amp;$A120))</f>
        <v>-70</v>
      </c>
      <c r="V120" s="3">
        <f ca="1">+Hoja2!Y121</f>
        <v>-3522</v>
      </c>
      <c r="W120" s="3">
        <f t="shared" ca="1" si="40"/>
        <v>-6812</v>
      </c>
    </row>
    <row r="121" spans="1:23" s="51" customFormat="1" ht="12" customHeight="1" thickBot="1" x14ac:dyDescent="0.25">
      <c r="A121" s="2">
        <f t="shared" si="41"/>
        <v>6660</v>
      </c>
      <c r="B121" s="3">
        <f t="shared" si="34"/>
        <v>-382</v>
      </c>
      <c r="C121" s="3">
        <f t="shared" si="35"/>
        <v>-274</v>
      </c>
      <c r="D121" s="3">
        <f t="shared" si="36"/>
        <v>-463</v>
      </c>
      <c r="E121" s="3">
        <f>SUM(B121:D121)</f>
        <v>-1119</v>
      </c>
      <c r="F121" s="4">
        <f>+$F$84/$A$84*A121</f>
        <v>6695.829865652122</v>
      </c>
      <c r="G121" s="18"/>
      <c r="H121" s="48">
        <f>IF(RTD("tos.rtd",,H$83,"."&amp;$B$82&amp;$H$82&amp;"C"&amp;$A121)="N/A",0,RTD("tos.rtd",,H$83,"."&amp;$B$82&amp;$H$82&amp;"C"&amp;$A121))</f>
        <v>34</v>
      </c>
      <c r="I121" s="3">
        <f>-IF(RTD("tos.rtd",,I$83,"."&amp;$B$82&amp;$H$82&amp;"P"&amp;$A121)="N/A",0,RTD("tos.rtd",,I$83,"."&amp;$B$82&amp;$H$82&amp;"P"&amp;$A121))</f>
        <v>-416</v>
      </c>
      <c r="J121" s="48">
        <f>IF(RTD("tos.rtd",,J$83,"."&amp;$C$82&amp;$J$82&amp;"C"&amp;$A121)="N/A",0,RTD("tos.rtd",,J$83,"."&amp;$C$82&amp;$J$82&amp;"C"&amp;$A121))</f>
        <v>346</v>
      </c>
      <c r="K121" s="3">
        <f>-IF(RTD("tos.rtd",,K$83,"."&amp;$C$82&amp;$J$82&amp;"P"&amp;$A121)="N/A",0,RTD("tos.rtd",,K$83,"."&amp;$C$82&amp;$J$82&amp;"P"&amp;$A121))</f>
        <v>-620</v>
      </c>
      <c r="L121" s="48">
        <f>IF(RTD("tos.rtd",,L$83,"."&amp;$D$82&amp;$L$82&amp;"C"&amp;$A121)="N/A",0,RTD("tos.rtd",,L$83,"."&amp;$D$82&amp;$L$82&amp;"C"&amp;$A121))</f>
        <v>242</v>
      </c>
      <c r="M121" s="3">
        <f>-IF(RTD("tos.rtd",,M$83,"."&amp;$D$82&amp;$L$82&amp;"P"&amp;$A121)="N/A",0,RTD("tos.rtd",,M$83,"."&amp;$D$82&amp;$L$82&amp;"P"&amp;$A121))</f>
        <v>-705</v>
      </c>
      <c r="N121" s="3">
        <f>SUM(H121:M121)</f>
        <v>-1119</v>
      </c>
      <c r="O121" s="7">
        <f t="shared" si="38"/>
        <v>6660</v>
      </c>
      <c r="P121" s="48">
        <f>IF(RTD("tos.rtd",,P$83,"."&amp;$B$82&amp;$H$82&amp;"C"&amp;$A121)="N/A",0,RTD("tos.rtd",,P$83,"."&amp;$B$82&amp;$H$82&amp;"C"&amp;$A121))</f>
        <v>1961</v>
      </c>
      <c r="Q121" s="3">
        <f>-IF(RTD("tos.rtd",,Q$83,"."&amp;$B$82&amp;$H$82&amp;"P"&amp;$A121)="N/A",0,RTD("tos.rtd",,Q$83,"."&amp;$B$82&amp;$H$82&amp;"P"&amp;$A121))</f>
        <v>-7242</v>
      </c>
      <c r="R121" s="48">
        <f>IF(RTD("tos.rtd",,R$83,"."&amp;$C$82&amp;$J$82&amp;"C"&amp;$A121)="N/A",0,RTD("tos.rtd",,R$83,"."&amp;$C$82&amp;$J$82&amp;"C"&amp;$A121))</f>
        <v>278</v>
      </c>
      <c r="S121" s="3">
        <f>-IF(RTD("tos.rtd",,S$83,"."&amp;$C$82&amp;$J$82&amp;"P"&amp;$A121)="N/A",0,RTD("tos.rtd",,S$83,"."&amp;$C$82&amp;$J$82&amp;"P"&amp;$A121))</f>
        <v>-766</v>
      </c>
      <c r="T121" s="48">
        <f>IF(RTD("tos.rtd",,T$83,"."&amp;$D$82&amp;$L$82&amp;"C"&amp;$A121)="N/A",0,RTD("tos.rtd",,T$83,"."&amp;$D$82&amp;$L$82&amp;"C"&amp;$A121))</f>
        <v>56</v>
      </c>
      <c r="U121" s="3">
        <f>-IF(RTD("tos.rtd",,U$83,"."&amp;$D$82&amp;$L$82&amp;"P"&amp;$A121)="N/A",0,RTD("tos.rtd",,U$83,"."&amp;$D$82&amp;$L$82&amp;"P"&amp;$A121))</f>
        <v>-50</v>
      </c>
      <c r="V121" s="3">
        <f ca="1">+Hoja2!Y122</f>
        <v>-6041</v>
      </c>
      <c r="W121" s="3">
        <f t="shared" ca="1" si="40"/>
        <v>-11804</v>
      </c>
    </row>
    <row r="122" spans="1:23" s="51" customFormat="1" ht="12" customHeight="1" thickBot="1" x14ac:dyDescent="0.25">
      <c r="A122" s="2">
        <f t="shared" si="41"/>
        <v>6655</v>
      </c>
      <c r="B122" s="3">
        <f t="shared" si="34"/>
        <v>-211</v>
      </c>
      <c r="C122" s="3">
        <f t="shared" si="35"/>
        <v>-324</v>
      </c>
      <c r="D122" s="3">
        <f t="shared" si="36"/>
        <v>-588</v>
      </c>
      <c r="E122" s="3">
        <f t="shared" si="47"/>
        <v>-1123</v>
      </c>
      <c r="F122" s="4">
        <f t="shared" si="48"/>
        <v>6690.8029663535845</v>
      </c>
      <c r="G122" s="18"/>
      <c r="H122" s="48">
        <f>IF(RTD("tos.rtd",,H$83,"."&amp;$B$82&amp;$H$82&amp;"C"&amp;$A122)="N/A",0,RTD("tos.rtd",,H$83,"."&amp;$B$82&amp;$H$82&amp;"C"&amp;$A122))</f>
        <v>6</v>
      </c>
      <c r="I122" s="3">
        <f>-IF(RTD("tos.rtd",,I$83,"."&amp;$B$82&amp;$H$82&amp;"P"&amp;$A122)="N/A",0,RTD("tos.rtd",,I$83,"."&amp;$B$82&amp;$H$82&amp;"P"&amp;$A122))</f>
        <v>-217</v>
      </c>
      <c r="J122" s="48">
        <f>IF(RTD("tos.rtd",,J$83,"."&amp;$C$82&amp;$J$82&amp;"C"&amp;$A122)="N/A",0,RTD("tos.rtd",,J$83,"."&amp;$C$82&amp;$J$82&amp;"C"&amp;$A122))</f>
        <v>41</v>
      </c>
      <c r="K122" s="3">
        <f>-IF(RTD("tos.rtd",,K$83,"."&amp;$C$82&amp;$J$82&amp;"P"&amp;$A122)="N/A",0,RTD("tos.rtd",,K$83,"."&amp;$C$82&amp;$J$82&amp;"P"&amp;$A122))</f>
        <v>-365</v>
      </c>
      <c r="L122" s="48">
        <f>IF(RTD("tos.rtd",,L$83,"."&amp;$D$82&amp;$L$82&amp;"C"&amp;$A122)="N/A",0,RTD("tos.rtd",,L$83,"."&amp;$D$82&amp;$L$82&amp;"C"&amp;$A122))</f>
        <v>2193</v>
      </c>
      <c r="M122" s="3">
        <f>-IF(RTD("tos.rtd",,M$83,"."&amp;$D$82&amp;$L$82&amp;"P"&amp;$A122)="N/A",0,RTD("tos.rtd",,M$83,"."&amp;$D$82&amp;$L$82&amp;"P"&amp;$A122))</f>
        <v>-2781</v>
      </c>
      <c r="N122" s="3">
        <f t="shared" si="49"/>
        <v>-1123</v>
      </c>
      <c r="O122" s="7">
        <f t="shared" si="38"/>
        <v>6655</v>
      </c>
      <c r="P122" s="48">
        <f>IF(RTD("tos.rtd",,P$83,"."&amp;$B$82&amp;$H$82&amp;"C"&amp;$A122)="N/A",0,RTD("tos.rtd",,P$83,"."&amp;$B$82&amp;$H$82&amp;"C"&amp;$A122))</f>
        <v>1192</v>
      </c>
      <c r="Q122" s="3">
        <f>-IF(RTD("tos.rtd",,Q$83,"."&amp;$B$82&amp;$H$82&amp;"P"&amp;$A122)="N/A",0,RTD("tos.rtd",,Q$83,"."&amp;$B$82&amp;$H$82&amp;"P"&amp;$A122))</f>
        <v>-4929</v>
      </c>
      <c r="R122" s="48">
        <f>IF(RTD("tos.rtd",,R$83,"."&amp;$C$82&amp;$J$82&amp;"C"&amp;$A122)="N/A",0,RTD("tos.rtd",,R$83,"."&amp;$C$82&amp;$J$82&amp;"C"&amp;$A122))</f>
        <v>272</v>
      </c>
      <c r="S122" s="3">
        <f>-IF(RTD("tos.rtd",,S$83,"."&amp;$C$82&amp;$J$82&amp;"P"&amp;$A122)="N/A",0,RTD("tos.rtd",,S$83,"."&amp;$C$82&amp;$J$82&amp;"P"&amp;$A122))</f>
        <v>-292</v>
      </c>
      <c r="T122" s="48">
        <f>IF(RTD("tos.rtd",,T$83,"."&amp;$D$82&amp;$L$82&amp;"C"&amp;$A122)="N/A",0,RTD("tos.rtd",,T$83,"."&amp;$D$82&amp;$L$82&amp;"C"&amp;$A122))</f>
        <v>17</v>
      </c>
      <c r="U122" s="3">
        <f>-IF(RTD("tos.rtd",,U$83,"."&amp;$D$82&amp;$L$82&amp;"P"&amp;$A122)="N/A",0,RTD("tos.rtd",,U$83,"."&amp;$D$82&amp;$L$82&amp;"P"&amp;$A122))</f>
        <v>-53</v>
      </c>
      <c r="V122" s="3">
        <f ca="1">+Hoja2!Y123</f>
        <v>-3375</v>
      </c>
      <c r="W122" s="3">
        <f t="shared" ca="1" si="40"/>
        <v>-7168</v>
      </c>
    </row>
    <row r="123" spans="1:23" s="51" customFormat="1" ht="12" customHeight="1" thickBot="1" x14ac:dyDescent="0.25">
      <c r="A123" s="2">
        <f t="shared" si="41"/>
        <v>6650</v>
      </c>
      <c r="B123" s="3">
        <f t="shared" si="34"/>
        <v>-2793</v>
      </c>
      <c r="C123" s="3">
        <f t="shared" si="35"/>
        <v>-2262</v>
      </c>
      <c r="D123" s="3">
        <f t="shared" si="36"/>
        <v>-3369</v>
      </c>
      <c r="E123" s="3">
        <f t="shared" si="44"/>
        <v>-8424</v>
      </c>
      <c r="F123" s="4">
        <f t="shared" si="46"/>
        <v>6685.776067055047</v>
      </c>
      <c r="G123" s="18"/>
      <c r="H123" s="48">
        <f>IF(RTD("tos.rtd",,H$83,"."&amp;$B$82&amp;$H$82&amp;"C"&amp;$A123)="N/A",0,RTD("tos.rtd",,H$83,"."&amp;$B$82&amp;$H$82&amp;"C"&amp;$A123))</f>
        <v>100</v>
      </c>
      <c r="I123" s="3">
        <f>-IF(RTD("tos.rtd",,I$83,"."&amp;$B$82&amp;$H$82&amp;"P"&amp;$A123)="N/A",0,RTD("tos.rtd",,I$83,"."&amp;$B$82&amp;$H$82&amp;"P"&amp;$A123))</f>
        <v>-2893</v>
      </c>
      <c r="J123" s="48">
        <f>IF(RTD("tos.rtd",,J$83,"."&amp;$C$82&amp;$J$82&amp;"C"&amp;$A123)="N/A",0,RTD("tos.rtd",,J$83,"."&amp;$C$82&amp;$J$82&amp;"C"&amp;$A123))</f>
        <v>503</v>
      </c>
      <c r="K123" s="3">
        <f>-IF(RTD("tos.rtd",,K$83,"."&amp;$C$82&amp;$J$82&amp;"P"&amp;$A123)="N/A",0,RTD("tos.rtd",,K$83,"."&amp;$C$82&amp;$J$82&amp;"P"&amp;$A123))</f>
        <v>-2765</v>
      </c>
      <c r="L123" s="48">
        <f>IF(RTD("tos.rtd",,L$83,"."&amp;$D$82&amp;$L$82&amp;"C"&amp;$A123)="N/A",0,RTD("tos.rtd",,L$83,"."&amp;$D$82&amp;$L$82&amp;"C"&amp;$A123))</f>
        <v>12024</v>
      </c>
      <c r="M123" s="3">
        <f>-IF(RTD("tos.rtd",,M$83,"."&amp;$D$82&amp;$L$82&amp;"P"&amp;$A123)="N/A",0,RTD("tos.rtd",,M$83,"."&amp;$D$82&amp;$L$82&amp;"P"&amp;$A123))</f>
        <v>-15393</v>
      </c>
      <c r="N123" s="3">
        <f t="shared" si="45"/>
        <v>-8424</v>
      </c>
      <c r="O123" s="7">
        <f t="shared" si="38"/>
        <v>6650</v>
      </c>
      <c r="P123" s="48">
        <f>IF(RTD("tos.rtd",,P$83,"."&amp;$B$82&amp;$H$82&amp;"C"&amp;$A123)="N/A",0,RTD("tos.rtd",,P$83,"."&amp;$B$82&amp;$H$82&amp;"C"&amp;$A123))</f>
        <v>2044</v>
      </c>
      <c r="Q123" s="3">
        <f>-IF(RTD("tos.rtd",,Q$83,"."&amp;$B$82&amp;$H$82&amp;"P"&amp;$A123)="N/A",0,RTD("tos.rtd",,Q$83,"."&amp;$B$82&amp;$H$82&amp;"P"&amp;$A123))</f>
        <v>-12932</v>
      </c>
      <c r="R123" s="48">
        <f>IF(RTD("tos.rtd",,R$83,"."&amp;$C$82&amp;$J$82&amp;"C"&amp;$A123)="N/A",0,RTD("tos.rtd",,R$83,"."&amp;$C$82&amp;$J$82&amp;"C"&amp;$A123))</f>
        <v>496</v>
      </c>
      <c r="S123" s="3">
        <f>-IF(RTD("tos.rtd",,S$83,"."&amp;$C$82&amp;$J$82&amp;"P"&amp;$A123)="N/A",0,RTD("tos.rtd",,S$83,"."&amp;$C$82&amp;$J$82&amp;"P"&amp;$A123))</f>
        <v>-2762</v>
      </c>
      <c r="T123" s="48">
        <f>IF(RTD("tos.rtd",,T$83,"."&amp;$D$82&amp;$L$82&amp;"C"&amp;$A123)="N/A",0,RTD("tos.rtd",,T$83,"."&amp;$D$82&amp;$L$82&amp;"C"&amp;$A123))</f>
        <v>851</v>
      </c>
      <c r="U123" s="3">
        <f>-IF(RTD("tos.rtd",,U$83,"."&amp;$D$82&amp;$L$82&amp;"P"&amp;$A123)="N/A",0,RTD("tos.rtd",,U$83,"."&amp;$D$82&amp;$L$82&amp;"P"&amp;$A123))</f>
        <v>-2004</v>
      </c>
      <c r="V123" s="3">
        <f ca="1">+Hoja2!Y124</f>
        <v>-16806</v>
      </c>
      <c r="W123" s="3">
        <f t="shared" ca="1" si="40"/>
        <v>-31113</v>
      </c>
    </row>
    <row r="124" spans="1:23" s="51" customFormat="1" ht="12" customHeight="1" thickBot="1" x14ac:dyDescent="0.25">
      <c r="A124" s="2">
        <f t="shared" si="41"/>
        <v>6645</v>
      </c>
      <c r="B124" s="3">
        <f t="shared" si="34"/>
        <v>-1461</v>
      </c>
      <c r="C124" s="3">
        <f t="shared" si="35"/>
        <v>-950</v>
      </c>
      <c r="D124" s="3">
        <f t="shared" si="36"/>
        <v>-180</v>
      </c>
      <c r="E124" s="3">
        <f t="shared" si="44"/>
        <v>-2591</v>
      </c>
      <c r="F124" s="4">
        <f t="shared" si="46"/>
        <v>6680.7491677565095</v>
      </c>
      <c r="G124" s="18"/>
      <c r="H124" s="48">
        <f>IF(RTD("tos.rtd",,H$83,"."&amp;$B$82&amp;$H$82&amp;"C"&amp;$A124)="N/A",0,RTD("tos.rtd",,H$83,"."&amp;$B$82&amp;$H$82&amp;"C"&amp;$A124))</f>
        <v>8</v>
      </c>
      <c r="I124" s="3">
        <f>-IF(RTD("tos.rtd",,I$83,"."&amp;$B$82&amp;$H$82&amp;"P"&amp;$A124)="N/A",0,RTD("tos.rtd",,I$83,"."&amp;$B$82&amp;$H$82&amp;"P"&amp;$A124))</f>
        <v>-1469</v>
      </c>
      <c r="J124" s="48">
        <f>IF(RTD("tos.rtd",,J$83,"."&amp;$C$82&amp;$J$82&amp;"C"&amp;$A124)="N/A",0,RTD("tos.rtd",,J$83,"."&amp;$C$82&amp;$J$82&amp;"C"&amp;$A124))</f>
        <v>21</v>
      </c>
      <c r="K124" s="3">
        <f>-IF(RTD("tos.rtd",,K$83,"."&amp;$C$82&amp;$J$82&amp;"P"&amp;$A124)="N/A",0,RTD("tos.rtd",,K$83,"."&amp;$C$82&amp;$J$82&amp;"P"&amp;$A124))</f>
        <v>-971</v>
      </c>
      <c r="L124" s="48">
        <f>IF(RTD("tos.rtd",,L$83,"."&amp;$D$82&amp;$L$82&amp;"C"&amp;$A124)="N/A",0,RTD("tos.rtd",,L$83,"."&amp;$D$82&amp;$L$82&amp;"C"&amp;$A124))</f>
        <v>801</v>
      </c>
      <c r="M124" s="3">
        <f>-IF(RTD("tos.rtd",,M$83,"."&amp;$D$82&amp;$L$82&amp;"P"&amp;$A124)="N/A",0,RTD("tos.rtd",,M$83,"."&amp;$D$82&amp;$L$82&amp;"P"&amp;$A124))</f>
        <v>-981</v>
      </c>
      <c r="N124" s="3">
        <f t="shared" si="45"/>
        <v>-2591</v>
      </c>
      <c r="O124" s="7">
        <f t="shared" si="38"/>
        <v>6645</v>
      </c>
      <c r="P124" s="48">
        <f>IF(RTD("tos.rtd",,P$83,"."&amp;$B$82&amp;$H$82&amp;"C"&amp;$A124)="N/A",0,RTD("tos.rtd",,P$83,"."&amp;$B$82&amp;$H$82&amp;"C"&amp;$A124))</f>
        <v>666</v>
      </c>
      <c r="Q124" s="3">
        <f>-IF(RTD("tos.rtd",,Q$83,"."&amp;$B$82&amp;$H$82&amp;"P"&amp;$A124)="N/A",0,RTD("tos.rtd",,Q$83,"."&amp;$B$82&amp;$H$82&amp;"P"&amp;$A124))</f>
        <v>-6022</v>
      </c>
      <c r="R124" s="48">
        <f>IF(RTD("tos.rtd",,R$83,"."&amp;$C$82&amp;$J$82&amp;"C"&amp;$A124)="N/A",0,RTD("tos.rtd",,R$83,"."&amp;$C$82&amp;$J$82&amp;"C"&amp;$A124))</f>
        <v>79</v>
      </c>
      <c r="S124" s="3">
        <f>-IF(RTD("tos.rtd",,S$83,"."&amp;$C$82&amp;$J$82&amp;"P"&amp;$A124)="N/A",0,RTD("tos.rtd",,S$83,"."&amp;$C$82&amp;$J$82&amp;"P"&amp;$A124))</f>
        <v>-346</v>
      </c>
      <c r="T124" s="48">
        <f>IF(RTD("tos.rtd",,T$83,"."&amp;$D$82&amp;$L$82&amp;"C"&amp;$A124)="N/A",0,RTD("tos.rtd",,T$83,"."&amp;$D$82&amp;$L$82&amp;"C"&amp;$A124))</f>
        <v>18</v>
      </c>
      <c r="U124" s="3">
        <f>-IF(RTD("tos.rtd",,U$83,"."&amp;$D$82&amp;$L$82&amp;"P"&amp;$A124)="N/A",0,RTD("tos.rtd",,U$83,"."&amp;$D$82&amp;$L$82&amp;"P"&amp;$A124))</f>
        <v>-36</v>
      </c>
      <c r="V124" s="3">
        <f ca="1">+Hoja2!Y125</f>
        <v>-5171</v>
      </c>
      <c r="W124" s="3">
        <f t="shared" ca="1" si="40"/>
        <v>-10812</v>
      </c>
    </row>
    <row r="125" spans="1:23" s="51" customFormat="1" ht="12" customHeight="1" thickBot="1" x14ac:dyDescent="0.25">
      <c r="A125" s="2">
        <f t="shared" si="41"/>
        <v>6640</v>
      </c>
      <c r="B125" s="3">
        <f t="shared" si="34"/>
        <v>-658</v>
      </c>
      <c r="C125" s="3">
        <f t="shared" si="35"/>
        <v>-302</v>
      </c>
      <c r="D125" s="3">
        <f t="shared" si="36"/>
        <v>-312</v>
      </c>
      <c r="E125" s="3">
        <f t="shared" si="44"/>
        <v>-1272</v>
      </c>
      <c r="F125" s="4">
        <f t="shared" si="46"/>
        <v>6675.7222684579719</v>
      </c>
      <c r="G125" s="18"/>
      <c r="H125" s="48">
        <f>IF(RTD("tos.rtd",,H$83,"."&amp;$B$82&amp;$H$82&amp;"C"&amp;$A125)="N/A",0,RTD("tos.rtd",,H$83,"."&amp;$B$82&amp;$H$82&amp;"C"&amp;$A125))</f>
        <v>28</v>
      </c>
      <c r="I125" s="3">
        <f>-IF(RTD("tos.rtd",,I$83,"."&amp;$B$82&amp;$H$82&amp;"P"&amp;$A125)="N/A",0,RTD("tos.rtd",,I$83,"."&amp;$B$82&amp;$H$82&amp;"P"&amp;$A125))</f>
        <v>-686</v>
      </c>
      <c r="J125" s="48">
        <f>IF(RTD("tos.rtd",,J$83,"."&amp;$C$82&amp;$J$82&amp;"C"&amp;$A125)="N/A",0,RTD("tos.rtd",,J$83,"."&amp;$C$82&amp;$J$82&amp;"C"&amp;$A125))</f>
        <v>83</v>
      </c>
      <c r="K125" s="3">
        <f>-IF(RTD("tos.rtd",,K$83,"."&amp;$C$82&amp;$J$82&amp;"P"&amp;$A125)="N/A",0,RTD("tos.rtd",,K$83,"."&amp;$C$82&amp;$J$82&amp;"P"&amp;$A125))</f>
        <v>-385</v>
      </c>
      <c r="L125" s="48">
        <f>IF(RTD("tos.rtd",,L$83,"."&amp;$D$82&amp;$L$82&amp;"C"&amp;$A125)="N/A",0,RTD("tos.rtd",,L$83,"."&amp;$D$82&amp;$L$82&amp;"C"&amp;$A125))</f>
        <v>342</v>
      </c>
      <c r="M125" s="3">
        <f>-IF(RTD("tos.rtd",,M$83,"."&amp;$D$82&amp;$L$82&amp;"P"&amp;$A125)="N/A",0,RTD("tos.rtd",,M$83,"."&amp;$D$82&amp;$L$82&amp;"P"&amp;$A125))</f>
        <v>-654</v>
      </c>
      <c r="N125" s="3">
        <f t="shared" si="45"/>
        <v>-1272</v>
      </c>
      <c r="O125" s="7">
        <f t="shared" si="38"/>
        <v>6640</v>
      </c>
      <c r="P125" s="48">
        <f>IF(RTD("tos.rtd",,P$83,"."&amp;$B$82&amp;$H$82&amp;"C"&amp;$A125)="N/A",0,RTD("tos.rtd",,P$83,"."&amp;$B$82&amp;$H$82&amp;"C"&amp;$A125))</f>
        <v>813</v>
      </c>
      <c r="Q125" s="3">
        <f>-IF(RTD("tos.rtd",,Q$83,"."&amp;$B$82&amp;$H$82&amp;"P"&amp;$A125)="N/A",0,RTD("tos.rtd",,Q$83,"."&amp;$B$82&amp;$H$82&amp;"P"&amp;$A125))</f>
        <v>-6605</v>
      </c>
      <c r="R125" s="48">
        <f>IF(RTD("tos.rtd",,R$83,"."&amp;$C$82&amp;$J$82&amp;"C"&amp;$A125)="N/A",0,RTD("tos.rtd",,R$83,"."&amp;$C$82&amp;$J$82&amp;"C"&amp;$A125))</f>
        <v>112</v>
      </c>
      <c r="S125" s="3">
        <f>-IF(RTD("tos.rtd",,S$83,"."&amp;$C$82&amp;$J$82&amp;"P"&amp;$A125)="N/A",0,RTD("tos.rtd",,S$83,"."&amp;$C$82&amp;$J$82&amp;"P"&amp;$A125))</f>
        <v>-611</v>
      </c>
      <c r="T125" s="48">
        <f>IF(RTD("tos.rtd",,T$83,"."&amp;$D$82&amp;$L$82&amp;"C"&amp;$A125)="N/A",0,RTD("tos.rtd",,T$83,"."&amp;$D$82&amp;$L$82&amp;"C"&amp;$A125))</f>
        <v>16</v>
      </c>
      <c r="U125" s="3">
        <f>-IF(RTD("tos.rtd",,U$83,"."&amp;$D$82&amp;$L$82&amp;"P"&amp;$A125)="N/A",0,RTD("tos.rtd",,U$83,"."&amp;$D$82&amp;$L$82&amp;"P"&amp;$A125))</f>
        <v>-234</v>
      </c>
      <c r="V125" s="3">
        <f ca="1">+Hoja2!Y126</f>
        <v>-6696</v>
      </c>
      <c r="W125" s="3">
        <f t="shared" ca="1" si="40"/>
        <v>-13205</v>
      </c>
    </row>
    <row r="126" spans="1:23" s="51" customFormat="1" ht="12" customHeight="1" thickBot="1" x14ac:dyDescent="0.25">
      <c r="A126" s="2">
        <f t="shared" si="41"/>
        <v>6635</v>
      </c>
      <c r="B126" s="3">
        <f t="shared" si="34"/>
        <v>-230</v>
      </c>
      <c r="C126" s="3">
        <f t="shared" si="35"/>
        <v>-551</v>
      </c>
      <c r="D126" s="3">
        <f t="shared" si="36"/>
        <v>-183</v>
      </c>
      <c r="E126" s="3">
        <f t="shared" si="44"/>
        <v>-964</v>
      </c>
      <c r="F126" s="4">
        <f t="shared" si="46"/>
        <v>6670.6953691594344</v>
      </c>
      <c r="G126" s="18"/>
      <c r="H126" s="48">
        <f>IF(RTD("tos.rtd",,H$83,"."&amp;$B$82&amp;$H$82&amp;"C"&amp;$A126)="N/A",0,RTD("tos.rtd",,H$83,"."&amp;$B$82&amp;$H$82&amp;"C"&amp;$A126))</f>
        <v>11</v>
      </c>
      <c r="I126" s="3">
        <f>-IF(RTD("tos.rtd",,I$83,"."&amp;$B$82&amp;$H$82&amp;"P"&amp;$A126)="N/A",0,RTD("tos.rtd",,I$83,"."&amp;$B$82&amp;$H$82&amp;"P"&amp;$A126))</f>
        <v>-241</v>
      </c>
      <c r="J126" s="48">
        <f>IF(RTD("tos.rtd",,J$83,"."&amp;$C$82&amp;$J$82&amp;"C"&amp;$A126)="N/A",0,RTD("tos.rtd",,J$83,"."&amp;$C$82&amp;$J$82&amp;"C"&amp;$A126))</f>
        <v>9</v>
      </c>
      <c r="K126" s="3">
        <f>-IF(RTD("tos.rtd",,K$83,"."&amp;$C$82&amp;$J$82&amp;"P"&amp;$A126)="N/A",0,RTD("tos.rtd",,K$83,"."&amp;$C$82&amp;$J$82&amp;"P"&amp;$A126))</f>
        <v>-560</v>
      </c>
      <c r="L126" s="48">
        <f>IF(RTD("tos.rtd",,L$83,"."&amp;$D$82&amp;$L$82&amp;"C"&amp;$A126)="N/A",0,RTD("tos.rtd",,L$83,"."&amp;$D$82&amp;$L$82&amp;"C"&amp;$A126))</f>
        <v>267</v>
      </c>
      <c r="M126" s="3">
        <f>-IF(RTD("tos.rtd",,M$83,"."&amp;$D$82&amp;$L$82&amp;"P"&amp;$A126)="N/A",0,RTD("tos.rtd",,M$83,"."&amp;$D$82&amp;$L$82&amp;"P"&amp;$A126))</f>
        <v>-450</v>
      </c>
      <c r="N126" s="3">
        <f t="shared" si="45"/>
        <v>-964</v>
      </c>
      <c r="O126" s="7">
        <f t="shared" si="38"/>
        <v>6635</v>
      </c>
      <c r="P126" s="48">
        <f>IF(RTD("tos.rtd",,P$83,"."&amp;$B$82&amp;$H$82&amp;"C"&amp;$A126)="N/A",0,RTD("tos.rtd",,P$83,"."&amp;$B$82&amp;$H$82&amp;"C"&amp;$A126))</f>
        <v>301</v>
      </c>
      <c r="Q126" s="3">
        <f>-IF(RTD("tos.rtd",,Q$83,"."&amp;$B$82&amp;$H$82&amp;"P"&amp;$A126)="N/A",0,RTD("tos.rtd",,Q$83,"."&amp;$B$82&amp;$H$82&amp;"P"&amp;$A126))</f>
        <v>-4443</v>
      </c>
      <c r="R126" s="48">
        <f>IF(RTD("tos.rtd",,R$83,"."&amp;$C$82&amp;$J$82&amp;"C"&amp;$A126)="N/A",0,RTD("tos.rtd",,R$83,"."&amp;$C$82&amp;$J$82&amp;"C"&amp;$A126))</f>
        <v>50</v>
      </c>
      <c r="S126" s="3">
        <f>-IF(RTD("tos.rtd",,S$83,"."&amp;$C$82&amp;$J$82&amp;"P"&amp;$A126)="N/A",0,RTD("tos.rtd",,S$83,"."&amp;$C$82&amp;$J$82&amp;"P"&amp;$A126))</f>
        <v>-512</v>
      </c>
      <c r="T126" s="48">
        <f>IF(RTD("tos.rtd",,T$83,"."&amp;$D$82&amp;$L$82&amp;"C"&amp;$A126)="N/A",0,RTD("tos.rtd",,T$83,"."&amp;$D$82&amp;$L$82&amp;"C"&amp;$A126))</f>
        <v>2</v>
      </c>
      <c r="U126" s="3">
        <f>-IF(RTD("tos.rtd",,U$83,"."&amp;$D$82&amp;$L$82&amp;"P"&amp;$A126)="N/A",0,RTD("tos.rtd",,U$83,"."&amp;$D$82&amp;$L$82&amp;"P"&amp;$A126))</f>
        <v>-57</v>
      </c>
      <c r="V126" s="3">
        <f ca="1">+Hoja2!Y127</f>
        <v>-4581</v>
      </c>
      <c r="W126" s="3">
        <f t="shared" ca="1" si="40"/>
        <v>-9240</v>
      </c>
    </row>
    <row r="127" spans="1:23" s="51" customFormat="1" ht="12" customHeight="1" thickBot="1" x14ac:dyDescent="0.25">
      <c r="A127" s="2">
        <f t="shared" si="41"/>
        <v>6630</v>
      </c>
      <c r="B127" s="3">
        <f t="shared" si="34"/>
        <v>-395</v>
      </c>
      <c r="C127" s="3">
        <f t="shared" si="35"/>
        <v>-792</v>
      </c>
      <c r="D127" s="3">
        <f t="shared" si="36"/>
        <v>153</v>
      </c>
      <c r="E127" s="3">
        <f t="shared" si="44"/>
        <v>-1034</v>
      </c>
      <c r="F127" s="4">
        <f t="shared" si="46"/>
        <v>6665.668469860896</v>
      </c>
      <c r="G127" s="18"/>
      <c r="H127" s="48">
        <f>IF(RTD("tos.rtd",,H$83,"."&amp;$B$82&amp;$H$82&amp;"C"&amp;$A127)="N/A",0,RTD("tos.rtd",,H$83,"."&amp;$B$82&amp;$H$82&amp;"C"&amp;$A127))</f>
        <v>19</v>
      </c>
      <c r="I127" s="3">
        <f>-IF(RTD("tos.rtd",,I$83,"."&amp;$B$82&amp;$H$82&amp;"P"&amp;$A127)="N/A",0,RTD("tos.rtd",,I$83,"."&amp;$B$82&amp;$H$82&amp;"P"&amp;$A127))</f>
        <v>-414</v>
      </c>
      <c r="J127" s="48">
        <f>IF(RTD("tos.rtd",,J$83,"."&amp;$C$82&amp;$J$82&amp;"C"&amp;$A127)="N/A",0,RTD("tos.rtd",,J$83,"."&amp;$C$82&amp;$J$82&amp;"C"&amp;$A127))</f>
        <v>238</v>
      </c>
      <c r="K127" s="3">
        <f>-IF(RTD("tos.rtd",,K$83,"."&amp;$C$82&amp;$J$82&amp;"P"&amp;$A127)="N/A",0,RTD("tos.rtd",,K$83,"."&amp;$C$82&amp;$J$82&amp;"P"&amp;$A127))</f>
        <v>-1030</v>
      </c>
      <c r="L127" s="48">
        <f>IF(RTD("tos.rtd",,L$83,"."&amp;$D$82&amp;$L$82&amp;"C"&amp;$A127)="N/A",0,RTD("tos.rtd",,L$83,"."&amp;$D$82&amp;$L$82&amp;"C"&amp;$A127))</f>
        <v>459</v>
      </c>
      <c r="M127" s="3">
        <f>-IF(RTD("tos.rtd",,M$83,"."&amp;$D$82&amp;$L$82&amp;"P"&amp;$A127)="N/A",0,RTD("tos.rtd",,M$83,"."&amp;$D$82&amp;$L$82&amp;"P"&amp;$A127))</f>
        <v>-306</v>
      </c>
      <c r="N127" s="3">
        <f t="shared" si="45"/>
        <v>-1034</v>
      </c>
      <c r="O127" s="7">
        <f t="shared" si="38"/>
        <v>6630</v>
      </c>
      <c r="P127" s="48">
        <f>IF(RTD("tos.rtd",,P$83,"."&amp;$B$82&amp;$H$82&amp;"C"&amp;$A127)="N/A",0,RTD("tos.rtd",,P$83,"."&amp;$B$82&amp;$H$82&amp;"C"&amp;$A127))</f>
        <v>227</v>
      </c>
      <c r="Q127" s="3">
        <f>-IF(RTD("tos.rtd",,Q$83,"."&amp;$B$82&amp;$H$82&amp;"P"&amp;$A127)="N/A",0,RTD("tos.rtd",,Q$83,"."&amp;$B$82&amp;$H$82&amp;"P"&amp;$A127))</f>
        <v>-5770</v>
      </c>
      <c r="R127" s="48">
        <f>IF(RTD("tos.rtd",,R$83,"."&amp;$C$82&amp;$J$82&amp;"C"&amp;$A127)="N/A",0,RTD("tos.rtd",,R$83,"."&amp;$C$82&amp;$J$82&amp;"C"&amp;$A127))</f>
        <v>44</v>
      </c>
      <c r="S127" s="3">
        <f>-IF(RTD("tos.rtd",,S$83,"."&amp;$C$82&amp;$J$82&amp;"P"&amp;$A127)="N/A",0,RTD("tos.rtd",,S$83,"."&amp;$C$82&amp;$J$82&amp;"P"&amp;$A127))</f>
        <v>-640</v>
      </c>
      <c r="T127" s="48">
        <f>IF(RTD("tos.rtd",,T$83,"."&amp;$D$82&amp;$L$82&amp;"C"&amp;$A127)="N/A",0,RTD("tos.rtd",,T$83,"."&amp;$D$82&amp;$L$82&amp;"C"&amp;$A127))</f>
        <v>23</v>
      </c>
      <c r="U127" s="3">
        <f>-IF(RTD("tos.rtd",,U$83,"."&amp;$D$82&amp;$L$82&amp;"P"&amp;$A127)="N/A",0,RTD("tos.rtd",,U$83,"."&amp;$D$82&amp;$L$82&amp;"P"&amp;$A127))</f>
        <v>-12</v>
      </c>
      <c r="V127" s="3">
        <f ca="1">+Hoja2!Y128</f>
        <v>-5607</v>
      </c>
      <c r="W127" s="3">
        <f t="shared" ca="1" si="40"/>
        <v>-11735</v>
      </c>
    </row>
    <row r="128" spans="1:23" s="51" customFormat="1" ht="12" customHeight="1" thickBot="1" x14ac:dyDescent="0.25">
      <c r="A128" s="2">
        <f t="shared" si="41"/>
        <v>6625</v>
      </c>
      <c r="B128" s="3">
        <f t="shared" si="34"/>
        <v>-771</v>
      </c>
      <c r="C128" s="3">
        <f t="shared" si="35"/>
        <v>-619</v>
      </c>
      <c r="D128" s="3">
        <f t="shared" si="36"/>
        <v>-1523</v>
      </c>
      <c r="E128" s="3">
        <f t="shared" si="44"/>
        <v>-2913</v>
      </c>
      <c r="F128" s="4">
        <f t="shared" si="46"/>
        <v>6660.6415705623585</v>
      </c>
      <c r="G128" s="18"/>
      <c r="H128" s="48">
        <f>IF(RTD("tos.rtd",,H$83,"."&amp;$B$82&amp;$H$82&amp;"C"&amp;$A128)="N/A",0,RTD("tos.rtd",,H$83,"."&amp;$B$82&amp;$H$82&amp;"C"&amp;$A128))</f>
        <v>23</v>
      </c>
      <c r="I128" s="3">
        <f>-IF(RTD("tos.rtd",,I$83,"."&amp;$B$82&amp;$H$82&amp;"P"&amp;$A128)="N/A",0,RTD("tos.rtd",,I$83,"."&amp;$B$82&amp;$H$82&amp;"P"&amp;$A128))</f>
        <v>-794</v>
      </c>
      <c r="J128" s="48">
        <f>IF(RTD("tos.rtd",,J$83,"."&amp;$C$82&amp;$J$82&amp;"C"&amp;$A128)="N/A",0,RTD("tos.rtd",,J$83,"."&amp;$C$82&amp;$J$82&amp;"C"&amp;$A128))</f>
        <v>74</v>
      </c>
      <c r="K128" s="3">
        <f>-IF(RTD("tos.rtd",,K$83,"."&amp;$C$82&amp;$J$82&amp;"P"&amp;$A128)="N/A",0,RTD("tos.rtd",,K$83,"."&amp;$C$82&amp;$J$82&amp;"P"&amp;$A128))</f>
        <v>-693</v>
      </c>
      <c r="L128" s="48">
        <f>IF(RTD("tos.rtd",,L$83,"."&amp;$D$82&amp;$L$82&amp;"C"&amp;$A128)="N/A",0,RTD("tos.rtd",,L$83,"."&amp;$D$82&amp;$L$82&amp;"C"&amp;$A128))</f>
        <v>1053</v>
      </c>
      <c r="M128" s="3">
        <f>-IF(RTD("tos.rtd",,M$83,"."&amp;$D$82&amp;$L$82&amp;"P"&amp;$A128)="N/A",0,RTD("tos.rtd",,M$83,"."&amp;$D$82&amp;$L$82&amp;"P"&amp;$A128))</f>
        <v>-2576</v>
      </c>
      <c r="N128" s="3">
        <f t="shared" si="45"/>
        <v>-2913</v>
      </c>
      <c r="O128" s="7">
        <f t="shared" si="38"/>
        <v>6625</v>
      </c>
      <c r="P128" s="48">
        <f>IF(RTD("tos.rtd",,P$83,"."&amp;$B$82&amp;$H$82&amp;"C"&amp;$A128)="N/A",0,RTD("tos.rtd",,P$83,"."&amp;$B$82&amp;$H$82&amp;"C"&amp;$A128))</f>
        <v>120</v>
      </c>
      <c r="Q128" s="3">
        <f>-IF(RTD("tos.rtd",,Q$83,"."&amp;$B$82&amp;$H$82&amp;"P"&amp;$A128)="N/A",0,RTD("tos.rtd",,Q$83,"."&amp;$B$82&amp;$H$82&amp;"P"&amp;$A128))</f>
        <v>-7499</v>
      </c>
      <c r="R128" s="48">
        <f>IF(RTD("tos.rtd",,R$83,"."&amp;$C$82&amp;$J$82&amp;"C"&amp;$A128)="N/A",0,RTD("tos.rtd",,R$83,"."&amp;$C$82&amp;$J$82&amp;"C"&amp;$A128))</f>
        <v>76</v>
      </c>
      <c r="S128" s="3">
        <f>-IF(RTD("tos.rtd",,S$83,"."&amp;$C$82&amp;$J$82&amp;"P"&amp;$A128)="N/A",0,RTD("tos.rtd",,S$83,"."&amp;$C$82&amp;$J$82&amp;"P"&amp;$A128))</f>
        <v>-784</v>
      </c>
      <c r="T128" s="48">
        <f>IF(RTD("tos.rtd",,T$83,"."&amp;$D$82&amp;$L$82&amp;"C"&amp;$A128)="N/A",0,RTD("tos.rtd",,T$83,"."&amp;$D$82&amp;$L$82&amp;"C"&amp;$A128))</f>
        <v>186</v>
      </c>
      <c r="U128" s="3">
        <f>-IF(RTD("tos.rtd",,U$83,"."&amp;$D$82&amp;$L$82&amp;"P"&amp;$A128)="N/A",0,RTD("tos.rtd",,U$83,"."&amp;$D$82&amp;$L$82&amp;"P"&amp;$A128))</f>
        <v>-555</v>
      </c>
      <c r="V128" s="3">
        <f ca="1">+Hoja2!Y129</f>
        <v>-8504</v>
      </c>
      <c r="W128" s="3">
        <f t="shared" ca="1" si="40"/>
        <v>-16960</v>
      </c>
    </row>
    <row r="129" spans="1:23" s="51" customFormat="1" ht="12" customHeight="1" thickBot="1" x14ac:dyDescent="0.25">
      <c r="A129" s="2">
        <f t="shared" si="41"/>
        <v>6620</v>
      </c>
      <c r="B129" s="3">
        <f t="shared" si="34"/>
        <v>-3213</v>
      </c>
      <c r="C129" s="3">
        <f t="shared" si="35"/>
        <v>-887</v>
      </c>
      <c r="D129" s="3">
        <f t="shared" si="36"/>
        <v>3015</v>
      </c>
      <c r="E129" s="3">
        <f t="shared" si="44"/>
        <v>-1085</v>
      </c>
      <c r="F129" s="9">
        <f t="shared" si="46"/>
        <v>6655.614671263821</v>
      </c>
      <c r="G129" s="18"/>
      <c r="H129" s="48">
        <f>IF(RTD("tos.rtd",,H$83,"."&amp;$B$82&amp;$H$82&amp;"C"&amp;$A129)="N/A",0,RTD("tos.rtd",,H$83,"."&amp;$B$82&amp;$H$82&amp;"C"&amp;$A129))</f>
        <v>28</v>
      </c>
      <c r="I129" s="3">
        <f>-IF(RTD("tos.rtd",,I$83,"."&amp;$B$82&amp;$H$82&amp;"P"&amp;$A129)="N/A",0,RTD("tos.rtd",,I$83,"."&amp;$B$82&amp;$H$82&amp;"P"&amp;$A129))</f>
        <v>-3241</v>
      </c>
      <c r="J129" s="48">
        <f>IF(RTD("tos.rtd",,J$83,"."&amp;$C$82&amp;$J$82&amp;"C"&amp;$A129)="N/A",0,RTD("tos.rtd",,J$83,"."&amp;$C$82&amp;$J$82&amp;"C"&amp;$A129))</f>
        <v>71</v>
      </c>
      <c r="K129" s="3">
        <f>-IF(RTD("tos.rtd",,K$83,"."&amp;$C$82&amp;$J$82&amp;"P"&amp;$A129)="N/A",0,RTD("tos.rtd",,K$83,"."&amp;$C$82&amp;$J$82&amp;"P"&amp;$A129))</f>
        <v>-958</v>
      </c>
      <c r="L129" s="48">
        <f>IF(RTD("tos.rtd",,L$83,"."&amp;$D$82&amp;$L$82&amp;"C"&amp;$A129)="N/A",0,RTD("tos.rtd",,L$83,"."&amp;$D$82&amp;$L$82&amp;"C"&amp;$A129))</f>
        <v>6036</v>
      </c>
      <c r="M129" s="3">
        <f>-IF(RTD("tos.rtd",,M$83,"."&amp;$D$82&amp;$L$82&amp;"P"&amp;$A129)="N/A",0,RTD("tos.rtd",,M$83,"."&amp;$D$82&amp;$L$82&amp;"P"&amp;$A129))</f>
        <v>-3021</v>
      </c>
      <c r="N129" s="3">
        <f t="shared" si="45"/>
        <v>-1085</v>
      </c>
      <c r="O129" s="7">
        <f t="shared" si="38"/>
        <v>6620</v>
      </c>
      <c r="P129" s="48">
        <f>IF(RTD("tos.rtd",,P$83,"."&amp;$B$82&amp;$H$82&amp;"C"&amp;$A129)="N/A",0,RTD("tos.rtd",,P$83,"."&amp;$B$82&amp;$H$82&amp;"C"&amp;$A129))</f>
        <v>248</v>
      </c>
      <c r="Q129" s="3">
        <f>-IF(RTD("tos.rtd",,Q$83,"."&amp;$B$82&amp;$H$82&amp;"P"&amp;$A129)="N/A",0,RTD("tos.rtd",,Q$83,"."&amp;$B$82&amp;$H$82&amp;"P"&amp;$A129))</f>
        <v>-7940</v>
      </c>
      <c r="R129" s="48">
        <f>IF(RTD("tos.rtd",,R$83,"."&amp;$C$82&amp;$J$82&amp;"C"&amp;$A129)="N/A",0,RTD("tos.rtd",,R$83,"."&amp;$C$82&amp;$J$82&amp;"C"&amp;$A129))</f>
        <v>32</v>
      </c>
      <c r="S129" s="3">
        <f>-IF(RTD("tos.rtd",,S$83,"."&amp;$C$82&amp;$J$82&amp;"P"&amp;$A129)="N/A",0,RTD("tos.rtd",,S$83,"."&amp;$C$82&amp;$J$82&amp;"P"&amp;$A129))</f>
        <v>-378</v>
      </c>
      <c r="T129" s="48">
        <f>IF(RTD("tos.rtd",,T$83,"."&amp;$D$82&amp;$L$82&amp;"C"&amp;$A129)="N/A",0,RTD("tos.rtd",,T$83,"."&amp;$D$82&amp;$L$82&amp;"C"&amp;$A129))</f>
        <v>18</v>
      </c>
      <c r="U129" s="3">
        <f>-IF(RTD("tos.rtd",,U$83,"."&amp;$D$82&amp;$L$82&amp;"P"&amp;$A129)="N/A",0,RTD("tos.rtd",,U$83,"."&amp;$D$82&amp;$L$82&amp;"P"&amp;$A129))</f>
        <v>-34</v>
      </c>
      <c r="V129" s="3">
        <f ca="1">+Hoja2!Y130</f>
        <v>-8653</v>
      </c>
      <c r="W129" s="3">
        <f t="shared" ca="1" si="40"/>
        <v>-16707</v>
      </c>
    </row>
    <row r="130" spans="1:23" s="51" customFormat="1" ht="12" customHeight="1" thickBot="1" x14ac:dyDescent="0.25">
      <c r="A130" s="2">
        <f t="shared" si="41"/>
        <v>6615</v>
      </c>
      <c r="B130" s="3">
        <f t="shared" si="34"/>
        <v>-524</v>
      </c>
      <c r="C130" s="3">
        <f t="shared" si="35"/>
        <v>-839</v>
      </c>
      <c r="D130" s="3">
        <f t="shared" si="36"/>
        <v>-72</v>
      </c>
      <c r="E130" s="3">
        <f>SUM(B130:D130)</f>
        <v>-1435</v>
      </c>
      <c r="F130" s="9">
        <f>+$F$84/$A$84*A130</f>
        <v>6650.5877719652835</v>
      </c>
      <c r="G130" s="18"/>
      <c r="H130" s="49">
        <f>IF(RTD("tos.rtd",,H$83,"."&amp;$B$82&amp;$H$82&amp;"C"&amp;$A130)="N/A",0,RTD("tos.rtd",,H$83,"."&amp;$B$82&amp;$H$82&amp;"C"&amp;$A130))</f>
        <v>1</v>
      </c>
      <c r="I130" s="31">
        <f>-IF(RTD("tos.rtd",,I$83,"."&amp;$B$82&amp;$H$82&amp;"P"&amp;$A130)="N/A",0,RTD("tos.rtd",,I$83,"."&amp;$B$82&amp;$H$82&amp;"P"&amp;$A130))</f>
        <v>-525</v>
      </c>
      <c r="J130" s="49">
        <f>IF(RTD("tos.rtd",,J$83,"."&amp;$C$82&amp;$J$82&amp;"C"&amp;$A130)="N/A",0,RTD("tos.rtd",,J$83,"."&amp;$C$82&amp;$J$82&amp;"C"&amp;$A130))</f>
        <v>22</v>
      </c>
      <c r="K130" s="31">
        <f>-IF(RTD("tos.rtd",,K$83,"."&amp;$C$82&amp;$J$82&amp;"P"&amp;$A130)="N/A",0,RTD("tos.rtd",,K$83,"."&amp;$C$82&amp;$J$82&amp;"P"&amp;$A130))</f>
        <v>-861</v>
      </c>
      <c r="L130" s="49">
        <f>IF(RTD("tos.rtd",,L$83,"."&amp;$D$82&amp;$L$82&amp;"C"&amp;$A130)="N/A",0,RTD("tos.rtd",,L$83,"."&amp;$D$82&amp;$L$82&amp;"C"&amp;$A130))</f>
        <v>290</v>
      </c>
      <c r="M130" s="31">
        <f>-IF(RTD("tos.rtd",,M$83,"."&amp;$D$82&amp;$L$82&amp;"P"&amp;$A130)="N/A",0,RTD("tos.rtd",,M$83,"."&amp;$D$82&amp;$L$82&amp;"P"&amp;$A130))</f>
        <v>-362</v>
      </c>
      <c r="N130" s="3">
        <f t="shared" si="45"/>
        <v>-1435</v>
      </c>
      <c r="O130" s="7">
        <f t="shared" si="38"/>
        <v>6615</v>
      </c>
      <c r="P130" s="49">
        <f>IF(RTD("tos.rtd",,P$83,"."&amp;$B$82&amp;$H$82&amp;"C"&amp;$A130)="N/A",0,RTD("tos.rtd",,P$83,"."&amp;$B$82&amp;$H$82&amp;"C"&amp;$A130))</f>
        <v>45</v>
      </c>
      <c r="Q130" s="31">
        <f>-IF(RTD("tos.rtd",,Q$83,"."&amp;$B$82&amp;$H$82&amp;"P"&amp;$A130)="N/A",0,RTD("tos.rtd",,Q$83,"."&amp;$B$82&amp;$H$82&amp;"P"&amp;$A130))</f>
        <v>-4213</v>
      </c>
      <c r="R130" s="49">
        <f>IF(RTD("tos.rtd",,R$83,"."&amp;$C$82&amp;$J$82&amp;"C"&amp;$A130)="N/A",0,RTD("tos.rtd",,R$83,"."&amp;$C$82&amp;$J$82&amp;"C"&amp;$A130))</f>
        <v>8</v>
      </c>
      <c r="S130" s="31">
        <f>-IF(RTD("tos.rtd",,S$83,"."&amp;$C$82&amp;$J$82&amp;"P"&amp;$A130)="N/A",0,RTD("tos.rtd",,S$83,"."&amp;$C$82&amp;$J$82&amp;"P"&amp;$A130))</f>
        <v>-320</v>
      </c>
      <c r="T130" s="49">
        <f>IF(RTD("tos.rtd",,T$83,"."&amp;$D$82&amp;$L$82&amp;"C"&amp;$A130)="N/A",0,RTD("tos.rtd",,T$83,"."&amp;$D$82&amp;$L$82&amp;"C"&amp;$A130))</f>
        <v>2</v>
      </c>
      <c r="U130" s="31">
        <f>-IF(RTD("tos.rtd",,U$83,"."&amp;$D$82&amp;$L$82&amp;"P"&amp;$A130)="N/A",0,RTD("tos.rtd",,U$83,"."&amp;$D$82&amp;$L$82&amp;"P"&amp;$A130))</f>
        <v>-20</v>
      </c>
      <c r="V130" s="3">
        <f ca="1">+Hoja2!Y131</f>
        <v>-5088</v>
      </c>
      <c r="W130" s="3">
        <f t="shared" ca="1" si="40"/>
        <v>-9586</v>
      </c>
    </row>
    <row r="131" spans="1:23" ht="13.5" thickBot="1" x14ac:dyDescent="0.25">
      <c r="A131" s="49"/>
      <c r="B131" s="18">
        <f>MAX(B85:B130)</f>
        <v>331</v>
      </c>
      <c r="C131" s="18">
        <f>MAX(C85:C130)</f>
        <v>4465</v>
      </c>
      <c r="D131" s="18">
        <f>MAX(D85:D130)</f>
        <v>9247</v>
      </c>
      <c r="E131" s="18">
        <f>MAX(E85:E130)</f>
        <v>8635</v>
      </c>
      <c r="F131" s="50"/>
      <c r="W131" s="1">
        <f ca="1">MIN(W85:W130)</f>
        <v>-31113</v>
      </c>
    </row>
    <row r="132" spans="1:23" x14ac:dyDescent="0.2">
      <c r="P132" s="1">
        <f>INDEX($A$85:$A$130,MATCH(MAX(P85:P130),P85:P130,0))</f>
        <v>6750</v>
      </c>
      <c r="Q132" s="34">
        <f>INDEX($A$85:$A$130,MATCH(MIN(Q85:Q130),Q85:Q130,0))</f>
        <v>6650</v>
      </c>
      <c r="R132" s="1">
        <f>INDEX($A$85:$A$130,MATCH(MAX(R85:R130),R85:R130,0))</f>
        <v>6820</v>
      </c>
      <c r="S132" s="34">
        <f>INDEX($A$85:$A$130,MATCH(MIN(S85:S130),S85:S130,0))</f>
        <v>6650</v>
      </c>
      <c r="T132" s="1">
        <f>INDEX($A$85:$A$130,MATCH(MAX(T85:T130),T85:T130,0))</f>
        <v>6700</v>
      </c>
      <c r="U132" s="34">
        <f>INDEX($A$85:$A$130,MATCH(MIN(U85:U130),U85:U130,0))</f>
        <v>6700</v>
      </c>
      <c r="V132" s="34"/>
    </row>
    <row r="133" spans="1:23" ht="13.5" thickBot="1" x14ac:dyDescent="0.25">
      <c r="A133" s="43">
        <f>+Hoja3!$V$3</f>
        <v>25</v>
      </c>
      <c r="C133" s="18">
        <f>21800-22030</f>
        <v>-230</v>
      </c>
      <c r="D133" s="44">
        <f>+F136-230</f>
        <v>24996.75</v>
      </c>
      <c r="E133" s="54">
        <v>24750</v>
      </c>
    </row>
    <row r="134" spans="1:23" ht="13.5" thickBot="1" x14ac:dyDescent="0.25">
      <c r="A134" s="18" t="s">
        <v>13</v>
      </c>
      <c r="B134" s="40" t="s">
        <v>17</v>
      </c>
      <c r="C134" s="40" t="s">
        <v>17</v>
      </c>
      <c r="D134" s="40" t="s">
        <v>13</v>
      </c>
      <c r="E134" s="18">
        <f>RTD("tos.rtd", ,"MARK", A135)</f>
        <v>25059.808000000001</v>
      </c>
      <c r="F134" s="18">
        <f>+[3]Sheet1!$AD$2</f>
        <v>6247.6750637224113</v>
      </c>
      <c r="H134" s="20" t="str">
        <f>+B135</f>
        <v>251110</v>
      </c>
      <c r="I134" s="20"/>
      <c r="J134" s="20" t="str">
        <f>+C135</f>
        <v>251114</v>
      </c>
      <c r="K134" s="20"/>
      <c r="L134" s="20" t="str">
        <f>+D135</f>
        <v>251121</v>
      </c>
      <c r="M134" s="20"/>
      <c r="P134" s="20" t="str">
        <f>+B135</f>
        <v>251110</v>
      </c>
      <c r="Q134" s="20"/>
      <c r="R134" s="20" t="str">
        <f>+C135</f>
        <v>251114</v>
      </c>
      <c r="S134" s="20"/>
      <c r="T134" s="20" t="str">
        <f>+D135</f>
        <v>251121</v>
      </c>
      <c r="U134" s="20"/>
      <c r="V134" s="61"/>
      <c r="W134" s="1">
        <f ca="1">MAX(W137:W189)</f>
        <v>745</v>
      </c>
    </row>
    <row r="135" spans="1:23" ht="13.5" thickBot="1" x14ac:dyDescent="0.25">
      <c r="A135" s="40" t="s">
        <v>13</v>
      </c>
      <c r="B135" s="40" t="str">
        <f>+B83</f>
        <v>251110</v>
      </c>
      <c r="C135" s="40" t="str">
        <f>+C83</f>
        <v>251114</v>
      </c>
      <c r="D135" s="40" t="str">
        <f>+D83</f>
        <v>251121</v>
      </c>
      <c r="E135" s="40"/>
      <c r="F135" s="16" t="s">
        <v>3</v>
      </c>
      <c r="H135" s="20" t="s">
        <v>1</v>
      </c>
      <c r="I135" s="20" t="s">
        <v>1</v>
      </c>
      <c r="J135" s="20" t="s">
        <v>1</v>
      </c>
      <c r="K135" s="20" t="s">
        <v>1</v>
      </c>
      <c r="L135" s="20" t="s">
        <v>1</v>
      </c>
      <c r="M135" s="23" t="s">
        <v>1</v>
      </c>
      <c r="P135" s="20" t="s">
        <v>7</v>
      </c>
      <c r="Q135" s="20" t="s">
        <v>7</v>
      </c>
      <c r="R135" s="20" t="s">
        <v>7</v>
      </c>
      <c r="S135" s="20" t="s">
        <v>7</v>
      </c>
      <c r="T135" s="20" t="s">
        <v>7</v>
      </c>
      <c r="U135" s="23" t="s">
        <v>7</v>
      </c>
      <c r="V135" s="61"/>
      <c r="W135" s="1" t="s">
        <v>11</v>
      </c>
    </row>
    <row r="136" spans="1:23" ht="13.5" thickBot="1" x14ac:dyDescent="0.25">
      <c r="A136" s="41">
        <f>+E134</f>
        <v>25059.808000000001</v>
      </c>
      <c r="B136" s="25">
        <f>+H136/I136</f>
        <v>-0.26952526799387444</v>
      </c>
      <c r="C136" s="25">
        <f>+J136/K136</f>
        <v>-0.30425299890948748</v>
      </c>
      <c r="D136" s="25">
        <f>+L136/M136</f>
        <v>-4.3717859624739406</v>
      </c>
      <c r="E136" s="26">
        <v>0</v>
      </c>
      <c r="F136" s="42">
        <f>RTD("tos.rtd", ,"MARK", F135)</f>
        <v>25226.75</v>
      </c>
      <c r="H136" s="11">
        <f t="shared" ref="H136:M136" si="50">SUM(H137:H189)</f>
        <v>176</v>
      </c>
      <c r="I136" s="27">
        <f t="shared" si="50"/>
        <v>-653</v>
      </c>
      <c r="J136" s="11">
        <f t="shared" si="50"/>
        <v>558</v>
      </c>
      <c r="K136" s="27">
        <f t="shared" si="50"/>
        <v>-1834</v>
      </c>
      <c r="L136" s="11">
        <f t="shared" si="50"/>
        <v>6291</v>
      </c>
      <c r="M136" s="27">
        <f t="shared" si="50"/>
        <v>-1439</v>
      </c>
      <c r="N136" s="27">
        <f>SUM(N137:N189)</f>
        <v>3099</v>
      </c>
      <c r="O136" s="1">
        <v>0</v>
      </c>
      <c r="P136" s="11">
        <f t="shared" ref="P136:U136" si="51">SUM(P137:P189)</f>
        <v>2103</v>
      </c>
      <c r="Q136" s="27">
        <f t="shared" si="51"/>
        <v>-2503</v>
      </c>
      <c r="R136" s="11">
        <f t="shared" si="51"/>
        <v>533</v>
      </c>
      <c r="S136" s="27">
        <f t="shared" si="51"/>
        <v>-1122</v>
      </c>
      <c r="T136" s="11">
        <f t="shared" si="51"/>
        <v>354</v>
      </c>
      <c r="U136" s="27">
        <f t="shared" si="51"/>
        <v>-344</v>
      </c>
      <c r="V136" s="27"/>
      <c r="W136" s="27">
        <f ca="1">SUM(W137:W189)</f>
        <v>-468</v>
      </c>
    </row>
    <row r="137" spans="1:23" ht="11.1" customHeight="1" thickBot="1" x14ac:dyDescent="0.25">
      <c r="A137" s="2">
        <f>ROUND(E134/A133,0)*A133+22*A133</f>
        <v>25600</v>
      </c>
      <c r="B137" s="3">
        <f t="shared" ref="B137:B168" si="52">+IF($A$1="ABS",H137-I137,H137+I137)</f>
        <v>11</v>
      </c>
      <c r="C137" s="3">
        <f t="shared" ref="C137:C168" si="53">+IF($A$1="ABS",J137-K137,J137+K137)</f>
        <v>34</v>
      </c>
      <c r="D137" s="3">
        <f t="shared" ref="D137:D168" si="54">+IF($A$1="ABS",L137-M137,L137+M137)</f>
        <v>259</v>
      </c>
      <c r="E137" s="3">
        <f>SUM(B137:D137)</f>
        <v>304</v>
      </c>
      <c r="F137" s="4">
        <f>+$F$136/$A$136*A137</f>
        <v>25770.540620263331</v>
      </c>
      <c r="H137" s="53">
        <f>IF(RTD("tos.rtd",,H$83,"."&amp;$B$134&amp;$H$82&amp;"C"&amp;$A137)="N/A",0,RTD("tos.rtd",,H$83,"."&amp;$B$134&amp;$H$82&amp;"C"&amp;$A137))</f>
        <v>25</v>
      </c>
      <c r="I137" s="26">
        <f>-IF(RTD("tos.rtd",,I$83,"."&amp;$B$134&amp;$H$82&amp;"P"&amp;$A137)="N/A",0,RTD("tos.rtd",,I$83,"."&amp;$B$134&amp;$H$82&amp;"P"&amp;$A137))</f>
        <v>-14</v>
      </c>
      <c r="J137" s="53">
        <f>IF(RTD("tos.rtd",,J$2,"."&amp;$C$134&amp;$J$134&amp;"C"&amp;$A137)="N/A",0,RTD("tos.rtd",,J$2,"."&amp;$C$134&amp;$J$134&amp;"C"&amp;$A137))</f>
        <v>63</v>
      </c>
      <c r="K137" s="26">
        <f>-IF(RTD("tos.rtd",,K$2,"."&amp;$C$134&amp;$J$134&amp;"P"&amp;$A137)="N/A",0,RTD("tos.rtd",,K$2,"."&amp;$C$134&amp;$J$134&amp;"P"&amp;$A137))</f>
        <v>-29</v>
      </c>
      <c r="L137" s="53">
        <f>IF(RTD("tos.rtd",,L$2,"."&amp;$D$134&amp;$L$134&amp;"C"&amp;$A137)="N/A",0,RTD("tos.rtd",,L$2,"."&amp;$D$134&amp;$L$134&amp;"C"&amp;$A137))</f>
        <v>269</v>
      </c>
      <c r="M137" s="26">
        <f>-IF(RTD("tos.rtd",,M$2,"."&amp;$D$134&amp;$L$134&amp;"P"&amp;$A137)="N/A",0,RTD("tos.rtd",,M$2,"."&amp;$D$134&amp;$L$134&amp;"P"&amp;$A137))</f>
        <v>-10</v>
      </c>
      <c r="N137" s="3">
        <f>SUM(H137:M137)</f>
        <v>304</v>
      </c>
      <c r="O137" s="7">
        <f t="shared" ref="O137:O168" si="55">+A137</f>
        <v>25600</v>
      </c>
      <c r="P137" s="53">
        <f>IF(RTD("tos.rtd",,P$43,"."&amp;$B$134&amp;$H$82&amp;"C"&amp;$A137)="N/A",0,RTD("tos.rtd",,P$43,"."&amp;$B$134&amp;$H$82&amp;"C"&amp;$A137))</f>
        <v>113</v>
      </c>
      <c r="Q137" s="26">
        <f>-IF(RTD("tos.rtd",,Q$43,"."&amp;$B$134&amp;$H$82&amp;"P"&amp;$A137)="N/A",0,RTD("tos.rtd",,Q$43,"."&amp;$B$134&amp;$H$82&amp;"P"&amp;$A137))</f>
        <v>-7</v>
      </c>
      <c r="R137" s="53">
        <f>IF(RTD("tos.rtd",,R$2,"."&amp;$C$134&amp;$J$82&amp;"C"&amp;$A137)="N/A",0,RTD("tos.rtd",,R$2,"."&amp;$C$134&amp;$J$82&amp;"C"&amp;$A137))</f>
        <v>31</v>
      </c>
      <c r="S137" s="26">
        <f>-IF(RTD("tos.rtd",,S$2,"."&amp;$C$134&amp;$J$82&amp;"P"&amp;$A137)="N/A",0,RTD("tos.rtd",,S$2,"."&amp;$C$134&amp;$J$82&amp;"P"&amp;$A137))</f>
        <v>-1</v>
      </c>
      <c r="T137" s="53">
        <f>IF(RTD("tos.rtd",,T$2,"."&amp;$D$134&amp;$L$82&amp;"C"&amp;$A137)="N/A",0,RTD("tos.rtd",,T$2,"."&amp;$D$134&amp;$L$82&amp;"C"&amp;$A137))</f>
        <v>10</v>
      </c>
      <c r="U137" s="26">
        <f>-IF(RTD("tos.rtd",,U$2,"."&amp;$D$134&amp;$L$82&amp;"P"&amp;$A137)="N/A",0,RTD("tos.rtd",,U$2,"."&amp;$D$134&amp;$L$82&amp;"P"&amp;$A137))</f>
        <v>0</v>
      </c>
      <c r="V137" s="3">
        <f ca="1">+Hoja2!Y138</f>
        <v>599</v>
      </c>
      <c r="W137" s="3">
        <f t="shared" ref="W137:W189" ca="1" si="56">SUM(P137:V137)</f>
        <v>745</v>
      </c>
    </row>
    <row r="138" spans="1:23" ht="11.1" customHeight="1" thickBot="1" x14ac:dyDescent="0.25">
      <c r="A138" s="2">
        <f>+A137-$A$133</f>
        <v>25575</v>
      </c>
      <c r="B138" s="3">
        <f t="shared" si="52"/>
        <v>0</v>
      </c>
      <c r="C138" s="3">
        <f t="shared" si="53"/>
        <v>-2</v>
      </c>
      <c r="D138" s="3">
        <f t="shared" si="54"/>
        <v>1</v>
      </c>
      <c r="E138" s="3">
        <f>SUM(B138:D138)</f>
        <v>-1</v>
      </c>
      <c r="F138" s="4">
        <f>+$F$136/$A$136*A138</f>
        <v>25745.374076688855</v>
      </c>
      <c r="H138" s="48">
        <f>IF(RTD("tos.rtd",,H$83,"."&amp;$B$134&amp;$H$82&amp;"C"&amp;$A138)="N/A",0,RTD("tos.rtd",,H$83,"."&amp;$B$134&amp;$H$82&amp;"C"&amp;$A138))</f>
        <v>0</v>
      </c>
      <c r="I138" s="3">
        <f>-IF(RTD("tos.rtd",,I$83,"."&amp;$B$134&amp;$H$82&amp;"P"&amp;$A138)="N/A",0,RTD("tos.rtd",,I$83,"."&amp;$B$134&amp;$H$82&amp;"P"&amp;$A138))</f>
        <v>0</v>
      </c>
      <c r="J138" s="48">
        <f>IF(RTD("tos.rtd",,J$2,"."&amp;$C$134&amp;$J$134&amp;"C"&amp;$A138)="N/A",0,RTD("tos.rtd",,J$2,"."&amp;$C$134&amp;$J$134&amp;"C"&amp;$A138))</f>
        <v>31</v>
      </c>
      <c r="K138" s="3">
        <f>-IF(RTD("tos.rtd",,K$2,"."&amp;$C$134&amp;$J$134&amp;"P"&amp;$A138)="N/A",0,RTD("tos.rtd",,K$2,"."&amp;$C$134&amp;$J$134&amp;"P"&amp;$A138))</f>
        <v>-33</v>
      </c>
      <c r="L138" s="48">
        <f>IF(RTD("tos.rtd",,L$2,"."&amp;$D$134&amp;$L$134&amp;"C"&amp;$A138)="N/A",0,RTD("tos.rtd",,L$2,"."&amp;$D$134&amp;$L$134&amp;"C"&amp;$A138))</f>
        <v>8</v>
      </c>
      <c r="M138" s="3">
        <f>-IF(RTD("tos.rtd",,M$2,"."&amp;$D$134&amp;$L$134&amp;"P"&amp;$A138)="N/A",0,RTD("tos.rtd",,M$2,"."&amp;$D$134&amp;$L$134&amp;"P"&amp;$A138))</f>
        <v>-7</v>
      </c>
      <c r="N138" s="3">
        <f>SUM(H138:M138)</f>
        <v>-1</v>
      </c>
      <c r="O138" s="7">
        <f t="shared" si="55"/>
        <v>25575</v>
      </c>
      <c r="P138" s="48">
        <f>IF(RTD("tos.rtd",,P$43,"."&amp;$B$134&amp;$H$82&amp;"C"&amp;$A138)="N/A",0,RTD("tos.rtd",,P$43,"."&amp;$B$134&amp;$H$82&amp;"C"&amp;$A138))</f>
        <v>0</v>
      </c>
      <c r="Q138" s="3">
        <f>-IF(RTD("tos.rtd",,Q$43,"."&amp;$B$134&amp;$H$82&amp;"P"&amp;$A138)="N/A",0,RTD("tos.rtd",,Q$43,"."&amp;$B$134&amp;$H$82&amp;"P"&amp;$A138))</f>
        <v>0</v>
      </c>
      <c r="R138" s="48">
        <f>IF(RTD("tos.rtd",,R$2,"."&amp;$C$134&amp;$J$82&amp;"C"&amp;$A138)="N/A",0,RTD("tos.rtd",,R$2,"."&amp;$C$134&amp;$J$82&amp;"C"&amp;$A138))</f>
        <v>12</v>
      </c>
      <c r="S138" s="3">
        <f>-IF(RTD("tos.rtd",,S$2,"."&amp;$C$134&amp;$J$82&amp;"P"&amp;$A138)="N/A",0,RTD("tos.rtd",,S$2,"."&amp;$C$134&amp;$J$82&amp;"P"&amp;$A138))</f>
        <v>0</v>
      </c>
      <c r="T138" s="48">
        <f>IF(RTD("tos.rtd",,T$2,"."&amp;$D$134&amp;$L$82&amp;"C"&amp;$A138)="N/A",0,RTD("tos.rtd",,T$2,"."&amp;$D$134&amp;$L$82&amp;"C"&amp;$A138))</f>
        <v>4</v>
      </c>
      <c r="U138" s="3">
        <f>-IF(RTD("tos.rtd",,U$2,"."&amp;$D$134&amp;$L$82&amp;"P"&amp;$A138)="N/A",0,RTD("tos.rtd",,U$2,"."&amp;$D$134&amp;$L$82&amp;"P"&amp;$A138))</f>
        <v>0</v>
      </c>
      <c r="V138" s="3">
        <f ca="1">+Hoja2!Y139</f>
        <v>1</v>
      </c>
      <c r="W138" s="3">
        <f t="shared" ca="1" si="56"/>
        <v>17</v>
      </c>
    </row>
    <row r="139" spans="1:23" ht="11.1" customHeight="1" thickBot="1" x14ac:dyDescent="0.25">
      <c r="A139" s="2">
        <f t="shared" ref="A139:A189" si="57">+A138-$A$133</f>
        <v>25550</v>
      </c>
      <c r="B139" s="3">
        <f t="shared" si="52"/>
        <v>1</v>
      </c>
      <c r="C139" s="3">
        <f t="shared" si="53"/>
        <v>4</v>
      </c>
      <c r="D139" s="3">
        <f t="shared" si="54"/>
        <v>22</v>
      </c>
      <c r="E139" s="3">
        <f t="shared" ref="E139:E147" si="58">SUM(B139:D139)</f>
        <v>27</v>
      </c>
      <c r="F139" s="4">
        <f t="shared" ref="F139:F147" si="59">+$F$136/$A$136*A139</f>
        <v>25720.207533114379</v>
      </c>
      <c r="H139" s="48">
        <f>IF(RTD("tos.rtd",,H$83,"."&amp;$B$134&amp;$H$82&amp;"C"&amp;$A139)="N/A",0,RTD("tos.rtd",,H$83,"."&amp;$B$134&amp;$H$82&amp;"C"&amp;$A139))</f>
        <v>18</v>
      </c>
      <c r="I139" s="3">
        <f>-IF(RTD("tos.rtd",,I$83,"."&amp;$B$134&amp;$H$82&amp;"P"&amp;$A139)="N/A",0,RTD("tos.rtd",,I$83,"."&amp;$B$134&amp;$H$82&amp;"P"&amp;$A139))</f>
        <v>-17</v>
      </c>
      <c r="J139" s="48">
        <f>IF(RTD("tos.rtd",,J$2,"."&amp;$C$134&amp;$J$134&amp;"C"&amp;$A139)="N/A",0,RTD("tos.rtd",,J$2,"."&amp;$C$134&amp;$J$134&amp;"C"&amp;$A139))</f>
        <v>8</v>
      </c>
      <c r="K139" s="3">
        <f>-IF(RTD("tos.rtd",,K$2,"."&amp;$C$134&amp;$J$134&amp;"P"&amp;$A139)="N/A",0,RTD("tos.rtd",,K$2,"."&amp;$C$134&amp;$J$134&amp;"P"&amp;$A139))</f>
        <v>-4</v>
      </c>
      <c r="L139" s="48">
        <f>IF(RTD("tos.rtd",,L$2,"."&amp;$D$134&amp;$L$134&amp;"C"&amp;$A139)="N/A",0,RTD("tos.rtd",,L$2,"."&amp;$D$134&amp;$L$134&amp;"C"&amp;$A139))</f>
        <v>26</v>
      </c>
      <c r="M139" s="3">
        <f>-IF(RTD("tos.rtd",,M$2,"."&amp;$D$134&amp;$L$134&amp;"P"&amp;$A139)="N/A",0,RTD("tos.rtd",,M$2,"."&amp;$D$134&amp;$L$134&amp;"P"&amp;$A139))</f>
        <v>-4</v>
      </c>
      <c r="N139" s="3">
        <f t="shared" ref="N139:N147" si="60">SUM(H139:M139)</f>
        <v>27</v>
      </c>
      <c r="O139" s="7">
        <f t="shared" si="55"/>
        <v>25550</v>
      </c>
      <c r="P139" s="48">
        <f>IF(RTD("tos.rtd",,P$43,"."&amp;$B$134&amp;$H$82&amp;"C"&amp;$A139)="N/A",0,RTD("tos.rtd",,P$43,"."&amp;$B$134&amp;$H$82&amp;"C"&amp;$A139))</f>
        <v>184</v>
      </c>
      <c r="Q139" s="3">
        <f>-IF(RTD("tos.rtd",,Q$43,"."&amp;$B$134&amp;$H$82&amp;"P"&amp;$A139)="N/A",0,RTD("tos.rtd",,Q$43,"."&amp;$B$134&amp;$H$82&amp;"P"&amp;$A139))</f>
        <v>-15</v>
      </c>
      <c r="R139" s="48">
        <f>IF(RTD("tos.rtd",,R$2,"."&amp;$C$134&amp;$J$82&amp;"C"&amp;$A139)="N/A",0,RTD("tos.rtd",,R$2,"."&amp;$C$134&amp;$J$82&amp;"C"&amp;$A139))</f>
        <v>10</v>
      </c>
      <c r="S139" s="3">
        <f>-IF(RTD("tos.rtd",,S$2,"."&amp;$C$134&amp;$J$82&amp;"P"&amp;$A139)="N/A",0,RTD("tos.rtd",,S$2,"."&amp;$C$134&amp;$J$82&amp;"P"&amp;$A139))</f>
        <v>0</v>
      </c>
      <c r="T139" s="48">
        <f>IF(RTD("tos.rtd",,T$2,"."&amp;$D$134&amp;$L$82&amp;"C"&amp;$A139)="N/A",0,RTD("tos.rtd",,T$2,"."&amp;$D$134&amp;$L$82&amp;"C"&amp;$A139))</f>
        <v>4</v>
      </c>
      <c r="U139" s="3">
        <f>-IF(RTD("tos.rtd",,U$2,"."&amp;$D$134&amp;$L$82&amp;"P"&amp;$A139)="N/A",0,RTD("tos.rtd",,U$2,"."&amp;$D$134&amp;$L$82&amp;"P"&amp;$A139))</f>
        <v>0</v>
      </c>
      <c r="V139" s="3">
        <f ca="1">+Hoja2!Y140</f>
        <v>180</v>
      </c>
      <c r="W139" s="3">
        <f t="shared" ca="1" si="56"/>
        <v>363</v>
      </c>
    </row>
    <row r="140" spans="1:23" ht="11.1" customHeight="1" thickBot="1" x14ac:dyDescent="0.25">
      <c r="A140" s="2">
        <f t="shared" si="57"/>
        <v>25525</v>
      </c>
      <c r="B140" s="3">
        <f t="shared" si="52"/>
        <v>0</v>
      </c>
      <c r="C140" s="3">
        <f t="shared" si="53"/>
        <v>-1</v>
      </c>
      <c r="D140" s="3">
        <f t="shared" si="54"/>
        <v>2</v>
      </c>
      <c r="E140" s="3">
        <f t="shared" si="58"/>
        <v>1</v>
      </c>
      <c r="F140" s="4">
        <f t="shared" si="59"/>
        <v>25695.040989539903</v>
      </c>
      <c r="H140" s="48">
        <f>IF(RTD("tos.rtd",,H$83,"."&amp;$B$134&amp;$H$82&amp;"C"&amp;$A140)="N/A",0,RTD("tos.rtd",,H$83,"."&amp;$B$134&amp;$H$82&amp;"C"&amp;$A140))</f>
        <v>0</v>
      </c>
      <c r="I140" s="3">
        <f>-IF(RTD("tos.rtd",,I$83,"."&amp;$B$134&amp;$H$82&amp;"P"&amp;$A140)="N/A",0,RTD("tos.rtd",,I$83,"."&amp;$B$134&amp;$H$82&amp;"P"&amp;$A140))</f>
        <v>0</v>
      </c>
      <c r="J140" s="48">
        <f>IF(RTD("tos.rtd",,J$2,"."&amp;$C$134&amp;$J$134&amp;"C"&amp;$A140)="N/A",0,RTD("tos.rtd",,J$2,"."&amp;$C$134&amp;$J$134&amp;"C"&amp;$A140))</f>
        <v>3</v>
      </c>
      <c r="K140" s="3">
        <f>-IF(RTD("tos.rtd",,K$2,"."&amp;$C$134&amp;$J$134&amp;"P"&amp;$A140)="N/A",0,RTD("tos.rtd",,K$2,"."&amp;$C$134&amp;$J$134&amp;"P"&amp;$A140))</f>
        <v>-4</v>
      </c>
      <c r="L140" s="48">
        <f>IF(RTD("tos.rtd",,L$2,"."&amp;$D$134&amp;$L$134&amp;"C"&amp;$A140)="N/A",0,RTD("tos.rtd",,L$2,"."&amp;$D$134&amp;$L$134&amp;"C"&amp;$A140))</f>
        <v>11</v>
      </c>
      <c r="M140" s="3">
        <f>-IF(RTD("tos.rtd",,M$2,"."&amp;$D$134&amp;$L$134&amp;"P"&amp;$A140)="N/A",0,RTD("tos.rtd",,M$2,"."&amp;$D$134&amp;$L$134&amp;"P"&amp;$A140))</f>
        <v>-9</v>
      </c>
      <c r="N140" s="3">
        <f t="shared" si="60"/>
        <v>1</v>
      </c>
      <c r="O140" s="7">
        <f t="shared" si="55"/>
        <v>25525</v>
      </c>
      <c r="P140" s="48">
        <f>IF(RTD("tos.rtd",,P$43,"."&amp;$B$134&amp;$H$82&amp;"C"&amp;$A140)="N/A",0,RTD("tos.rtd",,P$43,"."&amp;$B$134&amp;$H$82&amp;"C"&amp;$A140))</f>
        <v>0</v>
      </c>
      <c r="Q140" s="3">
        <f>-IF(RTD("tos.rtd",,Q$43,"."&amp;$B$134&amp;$H$82&amp;"P"&amp;$A140)="N/A",0,RTD("tos.rtd",,Q$43,"."&amp;$B$134&amp;$H$82&amp;"P"&amp;$A140))</f>
        <v>0</v>
      </c>
      <c r="R140" s="48">
        <f>IF(RTD("tos.rtd",,R$2,"."&amp;$C$134&amp;$J$82&amp;"C"&amp;$A140)="N/A",0,RTD("tos.rtd",,R$2,"."&amp;$C$134&amp;$J$82&amp;"C"&amp;$A140))</f>
        <v>0</v>
      </c>
      <c r="S140" s="3">
        <f>-IF(RTD("tos.rtd",,S$2,"."&amp;$C$134&amp;$J$82&amp;"P"&amp;$A140)="N/A",0,RTD("tos.rtd",,S$2,"."&amp;$C$134&amp;$J$82&amp;"P"&amp;$A140))</f>
        <v>0</v>
      </c>
      <c r="T140" s="48">
        <f>IF(RTD("tos.rtd",,T$2,"."&amp;$D$134&amp;$L$82&amp;"C"&amp;$A140)="N/A",0,RTD("tos.rtd",,T$2,"."&amp;$D$134&amp;$L$82&amp;"C"&amp;$A140))</f>
        <v>15</v>
      </c>
      <c r="U140" s="3">
        <f>-IF(RTD("tos.rtd",,U$2,"."&amp;$D$134&amp;$L$82&amp;"P"&amp;$A140)="N/A",0,RTD("tos.rtd",,U$2,"."&amp;$D$134&amp;$L$82&amp;"P"&amp;$A140))</f>
        <v>0</v>
      </c>
      <c r="V140" s="3">
        <f ca="1">+Hoja2!Y141</f>
        <v>-2</v>
      </c>
      <c r="W140" s="3">
        <f t="shared" ca="1" si="56"/>
        <v>13</v>
      </c>
    </row>
    <row r="141" spans="1:23" ht="11.1" customHeight="1" thickBot="1" x14ac:dyDescent="0.25">
      <c r="A141" s="2">
        <f t="shared" si="57"/>
        <v>25500</v>
      </c>
      <c r="B141" s="3">
        <f t="shared" si="52"/>
        <v>3</v>
      </c>
      <c r="C141" s="3">
        <f t="shared" si="53"/>
        <v>-20</v>
      </c>
      <c r="D141" s="3">
        <f t="shared" si="54"/>
        <v>19</v>
      </c>
      <c r="E141" s="3">
        <f t="shared" si="58"/>
        <v>2</v>
      </c>
      <c r="F141" s="4">
        <f t="shared" si="59"/>
        <v>25669.874445965426</v>
      </c>
      <c r="H141" s="48">
        <f>IF(RTD("tos.rtd",,H$83,"."&amp;$B$134&amp;$H$82&amp;"C"&amp;$A141)="N/A",0,RTD("tos.rtd",,H$83,"."&amp;$B$134&amp;$H$82&amp;"C"&amp;$A141))</f>
        <v>23</v>
      </c>
      <c r="I141" s="3">
        <f>-IF(RTD("tos.rtd",,I$83,"."&amp;$B$134&amp;$H$82&amp;"P"&amp;$A141)="N/A",0,RTD("tos.rtd",,I$83,"."&amp;$B$134&amp;$H$82&amp;"P"&amp;$A141))</f>
        <v>-20</v>
      </c>
      <c r="J141" s="48">
        <f>IF(RTD("tos.rtd",,J$2,"."&amp;$C$134&amp;$J$134&amp;"C"&amp;$A141)="N/A",0,RTD("tos.rtd",,J$2,"."&amp;$C$134&amp;$J$134&amp;"C"&amp;$A141))</f>
        <v>58</v>
      </c>
      <c r="K141" s="3">
        <f>-IF(RTD("tos.rtd",,K$2,"."&amp;$C$134&amp;$J$134&amp;"P"&amp;$A141)="N/A",0,RTD("tos.rtd",,K$2,"."&amp;$C$134&amp;$J$134&amp;"P"&amp;$A141))</f>
        <v>-78</v>
      </c>
      <c r="L141" s="48">
        <f>IF(RTD("tos.rtd",,L$2,"."&amp;$D$134&amp;$L$134&amp;"C"&amp;$A141)="N/A",0,RTD("tos.rtd",,L$2,"."&amp;$D$134&amp;$L$134&amp;"C"&amp;$A141))</f>
        <v>65</v>
      </c>
      <c r="M141" s="3">
        <f>-IF(RTD("tos.rtd",,M$2,"."&amp;$D$134&amp;$L$134&amp;"P"&amp;$A141)="N/A",0,RTD("tos.rtd",,M$2,"."&amp;$D$134&amp;$L$134&amp;"P"&amp;$A141))</f>
        <v>-46</v>
      </c>
      <c r="N141" s="3">
        <f t="shared" si="60"/>
        <v>2</v>
      </c>
      <c r="O141" s="7">
        <f t="shared" si="55"/>
        <v>25500</v>
      </c>
      <c r="P141" s="48">
        <f>IF(RTD("tos.rtd",,P$43,"."&amp;$B$134&amp;$H$82&amp;"C"&amp;$A141)="N/A",0,RTD("tos.rtd",,P$43,"."&amp;$B$134&amp;$H$82&amp;"C"&amp;$A141))</f>
        <v>52</v>
      </c>
      <c r="Q141" s="3">
        <f>-IF(RTD("tos.rtd",,Q$43,"."&amp;$B$134&amp;$H$82&amp;"P"&amp;$A141)="N/A",0,RTD("tos.rtd",,Q$43,"."&amp;$B$134&amp;$H$82&amp;"P"&amp;$A141))</f>
        <v>-8</v>
      </c>
      <c r="R141" s="48">
        <f>IF(RTD("tos.rtd",,R$2,"."&amp;$C$134&amp;$J$82&amp;"C"&amp;$A141)="N/A",0,RTD("tos.rtd",,R$2,"."&amp;$C$134&amp;$J$82&amp;"C"&amp;$A141))</f>
        <v>60</v>
      </c>
      <c r="S141" s="3">
        <f>-IF(RTD("tos.rtd",,S$2,"."&amp;$C$134&amp;$J$82&amp;"P"&amp;$A141)="N/A",0,RTD("tos.rtd",,S$2,"."&amp;$C$134&amp;$J$82&amp;"P"&amp;$A141))</f>
        <v>-45</v>
      </c>
      <c r="T141" s="48">
        <f>IF(RTD("tos.rtd",,T$2,"."&amp;$D$134&amp;$L$82&amp;"C"&amp;$A141)="N/A",0,RTD("tos.rtd",,T$2,"."&amp;$D$134&amp;$L$82&amp;"C"&amp;$A141))</f>
        <v>17</v>
      </c>
      <c r="U141" s="3">
        <f>-IF(RTD("tos.rtd",,U$2,"."&amp;$D$134&amp;$L$82&amp;"P"&amp;$A141)="N/A",0,RTD("tos.rtd",,U$2,"."&amp;$D$134&amp;$L$82&amp;"P"&amp;$A141))</f>
        <v>-1</v>
      </c>
      <c r="V141" s="3">
        <f ca="1">+Hoja2!Y142</f>
        <v>214</v>
      </c>
      <c r="W141" s="3">
        <f t="shared" ca="1" si="56"/>
        <v>289</v>
      </c>
    </row>
    <row r="142" spans="1:23" ht="11.1" customHeight="1" thickBot="1" x14ac:dyDescent="0.25">
      <c r="A142" s="2">
        <f t="shared" si="57"/>
        <v>25475</v>
      </c>
      <c r="B142" s="3">
        <f t="shared" si="52"/>
        <v>0</v>
      </c>
      <c r="C142" s="3">
        <f t="shared" si="53"/>
        <v>-48</v>
      </c>
      <c r="D142" s="3">
        <f t="shared" si="54"/>
        <v>4</v>
      </c>
      <c r="E142" s="3">
        <f t="shared" si="58"/>
        <v>-44</v>
      </c>
      <c r="F142" s="4">
        <f t="shared" si="59"/>
        <v>25644.70790239095</v>
      </c>
      <c r="H142" s="48">
        <f>IF(RTD("tos.rtd",,H$83,"."&amp;$B$134&amp;$H$82&amp;"C"&amp;$A142)="N/A",0,RTD("tos.rtd",,H$83,"."&amp;$B$134&amp;$H$82&amp;"C"&amp;$A142))</f>
        <v>0</v>
      </c>
      <c r="I142" s="3">
        <f>-IF(RTD("tos.rtd",,I$83,"."&amp;$B$134&amp;$H$82&amp;"P"&amp;$A142)="N/A",0,RTD("tos.rtd",,I$83,"."&amp;$B$134&amp;$H$82&amp;"P"&amp;$A142))</f>
        <v>0</v>
      </c>
      <c r="J142" s="48">
        <f>IF(RTD("tos.rtd",,J$2,"."&amp;$C$134&amp;$J$134&amp;"C"&amp;$A142)="N/A",0,RTD("tos.rtd",,J$2,"."&amp;$C$134&amp;$J$134&amp;"C"&amp;$A142))</f>
        <v>3</v>
      </c>
      <c r="K142" s="3">
        <f>-IF(RTD("tos.rtd",,K$2,"."&amp;$C$134&amp;$J$134&amp;"P"&amp;$A142)="N/A",0,RTD("tos.rtd",,K$2,"."&amp;$C$134&amp;$J$134&amp;"P"&amp;$A142))</f>
        <v>-51</v>
      </c>
      <c r="L142" s="48">
        <f>IF(RTD("tos.rtd",,L$2,"."&amp;$D$134&amp;$L$134&amp;"C"&amp;$A142)="N/A",0,RTD("tos.rtd",,L$2,"."&amp;$D$134&amp;$L$134&amp;"C"&amp;$A142))</f>
        <v>12</v>
      </c>
      <c r="M142" s="3">
        <f>-IF(RTD("tos.rtd",,M$2,"."&amp;$D$134&amp;$L$134&amp;"P"&amp;$A142)="N/A",0,RTD("tos.rtd",,M$2,"."&amp;$D$134&amp;$L$134&amp;"P"&amp;$A142))</f>
        <v>-8</v>
      </c>
      <c r="N142" s="3">
        <f t="shared" si="60"/>
        <v>-44</v>
      </c>
      <c r="O142" s="7">
        <f t="shared" si="55"/>
        <v>25475</v>
      </c>
      <c r="P142" s="48">
        <f>IF(RTD("tos.rtd",,P$43,"."&amp;$B$134&amp;$H$82&amp;"C"&amp;$A142)="N/A",0,RTD("tos.rtd",,P$43,"."&amp;$B$134&amp;$H$82&amp;"C"&amp;$A142))</f>
        <v>0</v>
      </c>
      <c r="Q142" s="3">
        <f>-IF(RTD("tos.rtd",,Q$43,"."&amp;$B$134&amp;$H$82&amp;"P"&amp;$A142)="N/A",0,RTD("tos.rtd",,Q$43,"."&amp;$B$134&amp;$H$82&amp;"P"&amp;$A142))</f>
        <v>0</v>
      </c>
      <c r="R142" s="48">
        <f>IF(RTD("tos.rtd",,R$2,"."&amp;$C$134&amp;$J$82&amp;"C"&amp;$A142)="N/A",0,RTD("tos.rtd",,R$2,"."&amp;$C$134&amp;$J$82&amp;"C"&amp;$A142))</f>
        <v>13</v>
      </c>
      <c r="S142" s="3">
        <f>-IF(RTD("tos.rtd",,S$2,"."&amp;$C$134&amp;$J$82&amp;"P"&amp;$A142)="N/A",0,RTD("tos.rtd",,S$2,"."&amp;$C$134&amp;$J$82&amp;"P"&amp;$A142))</f>
        <v>-42</v>
      </c>
      <c r="T142" s="48">
        <f>IF(RTD("tos.rtd",,T$2,"."&amp;$D$134&amp;$L$82&amp;"C"&amp;$A142)="N/A",0,RTD("tos.rtd",,T$2,"."&amp;$D$134&amp;$L$82&amp;"C"&amp;$A142))</f>
        <v>0</v>
      </c>
      <c r="U142" s="3">
        <f>-IF(RTD("tos.rtd",,U$2,"."&amp;$D$134&amp;$L$82&amp;"P"&amp;$A142)="N/A",0,RTD("tos.rtd",,U$2,"."&amp;$D$134&amp;$L$82&amp;"P"&amp;$A142))</f>
        <v>0</v>
      </c>
      <c r="V142" s="3">
        <f ca="1">+Hoja2!Y143</f>
        <v>1</v>
      </c>
      <c r="W142" s="3">
        <f t="shared" ca="1" si="56"/>
        <v>-28</v>
      </c>
    </row>
    <row r="143" spans="1:23" ht="11.1" customHeight="1" thickBot="1" x14ac:dyDescent="0.25">
      <c r="A143" s="2">
        <f t="shared" si="57"/>
        <v>25450</v>
      </c>
      <c r="B143" s="3">
        <f t="shared" si="52"/>
        <v>-12</v>
      </c>
      <c r="C143" s="3">
        <f t="shared" si="53"/>
        <v>-34</v>
      </c>
      <c r="D143" s="3">
        <f t="shared" si="54"/>
        <v>3</v>
      </c>
      <c r="E143" s="3">
        <f t="shared" si="58"/>
        <v>-43</v>
      </c>
      <c r="F143" s="4">
        <f t="shared" si="59"/>
        <v>25619.541358816474</v>
      </c>
      <c r="H143" s="48">
        <f>IF(RTD("tos.rtd",,H$83,"."&amp;$B$134&amp;$H$82&amp;"C"&amp;$A143)="N/A",0,RTD("tos.rtd",,H$83,"."&amp;$B$134&amp;$H$82&amp;"C"&amp;$A143))</f>
        <v>3</v>
      </c>
      <c r="I143" s="3">
        <f>-IF(RTD("tos.rtd",,I$83,"."&amp;$B$134&amp;$H$82&amp;"P"&amp;$A143)="N/A",0,RTD("tos.rtd",,I$83,"."&amp;$B$134&amp;$H$82&amp;"P"&amp;$A143))</f>
        <v>-15</v>
      </c>
      <c r="J143" s="48">
        <f>IF(RTD("tos.rtd",,J$2,"."&amp;$C$134&amp;$J$134&amp;"C"&amp;$A143)="N/A",0,RTD("tos.rtd",,J$2,"."&amp;$C$134&amp;$J$134&amp;"C"&amp;$A143))</f>
        <v>4</v>
      </c>
      <c r="K143" s="3">
        <f>-IF(RTD("tos.rtd",,K$2,"."&amp;$C$134&amp;$J$134&amp;"P"&amp;$A143)="N/A",0,RTD("tos.rtd",,K$2,"."&amp;$C$134&amp;$J$134&amp;"P"&amp;$A143))</f>
        <v>-38</v>
      </c>
      <c r="L143" s="48">
        <f>IF(RTD("tos.rtd",,L$2,"."&amp;$D$134&amp;$L$134&amp;"C"&amp;$A143)="N/A",0,RTD("tos.rtd",,L$2,"."&amp;$D$134&amp;$L$134&amp;"C"&amp;$A143))</f>
        <v>29</v>
      </c>
      <c r="M143" s="3">
        <f>-IF(RTD("tos.rtd",,M$2,"."&amp;$D$134&amp;$L$134&amp;"P"&amp;$A143)="N/A",0,RTD("tos.rtd",,M$2,"."&amp;$D$134&amp;$L$134&amp;"P"&amp;$A143))</f>
        <v>-26</v>
      </c>
      <c r="N143" s="3">
        <f t="shared" si="60"/>
        <v>-43</v>
      </c>
      <c r="O143" s="7">
        <f t="shared" si="55"/>
        <v>25450</v>
      </c>
      <c r="P143" s="48">
        <f>IF(RTD("tos.rtd",,P$43,"."&amp;$B$134&amp;$H$82&amp;"C"&amp;$A143)="N/A",0,RTD("tos.rtd",,P$43,"."&amp;$B$134&amp;$H$82&amp;"C"&amp;$A143))</f>
        <v>29</v>
      </c>
      <c r="Q143" s="3">
        <f>-IF(RTD("tos.rtd",,Q$43,"."&amp;$B$134&amp;$H$82&amp;"P"&amp;$A143)="N/A",0,RTD("tos.rtd",,Q$43,"."&amp;$B$134&amp;$H$82&amp;"P"&amp;$A143))</f>
        <v>-13</v>
      </c>
      <c r="R143" s="48">
        <f>IF(RTD("tos.rtd",,R$2,"."&amp;$C$134&amp;$J$82&amp;"C"&amp;$A143)="N/A",0,RTD("tos.rtd",,R$2,"."&amp;$C$134&amp;$J$82&amp;"C"&amp;$A143))</f>
        <v>19</v>
      </c>
      <c r="S143" s="3">
        <f>-IF(RTD("tos.rtd",,S$2,"."&amp;$C$134&amp;$J$82&amp;"P"&amp;$A143)="N/A",0,RTD("tos.rtd",,S$2,"."&amp;$C$134&amp;$J$82&amp;"P"&amp;$A143))</f>
        <v>-5</v>
      </c>
      <c r="T143" s="48">
        <f>IF(RTD("tos.rtd",,T$2,"."&amp;$D$134&amp;$L$82&amp;"C"&amp;$A143)="N/A",0,RTD("tos.rtd",,T$2,"."&amp;$D$134&amp;$L$82&amp;"C"&amp;$A143))</f>
        <v>4</v>
      </c>
      <c r="U143" s="3">
        <f>-IF(RTD("tos.rtd",,U$2,"."&amp;$D$134&amp;$L$82&amp;"P"&amp;$A143)="N/A",0,RTD("tos.rtd",,U$2,"."&amp;$D$134&amp;$L$82&amp;"P"&amp;$A143))</f>
        <v>0</v>
      </c>
      <c r="V143" s="3">
        <f ca="1">+Hoja2!Y144</f>
        <v>21</v>
      </c>
      <c r="W143" s="3">
        <f t="shared" ca="1" si="56"/>
        <v>55</v>
      </c>
    </row>
    <row r="144" spans="1:23" ht="11.1" customHeight="1" thickBot="1" x14ac:dyDescent="0.25">
      <c r="A144" s="2">
        <f t="shared" si="57"/>
        <v>25425</v>
      </c>
      <c r="B144" s="3">
        <f t="shared" si="52"/>
        <v>0</v>
      </c>
      <c r="C144" s="3">
        <f t="shared" si="53"/>
        <v>-28</v>
      </c>
      <c r="D144" s="3">
        <f t="shared" si="54"/>
        <v>6</v>
      </c>
      <c r="E144" s="3">
        <f t="shared" si="58"/>
        <v>-22</v>
      </c>
      <c r="F144" s="4">
        <f t="shared" si="59"/>
        <v>25594.374815241998</v>
      </c>
      <c r="H144" s="48">
        <f>IF(RTD("tos.rtd",,H$83,"."&amp;$B$134&amp;$H$82&amp;"C"&amp;$A144)="N/A",0,RTD("tos.rtd",,H$83,"."&amp;$B$134&amp;$H$82&amp;"C"&amp;$A144))</f>
        <v>0</v>
      </c>
      <c r="I144" s="3">
        <f>-IF(RTD("tos.rtd",,I$83,"."&amp;$B$134&amp;$H$82&amp;"P"&amp;$A144)="N/A",0,RTD("tos.rtd",,I$83,"."&amp;$B$134&amp;$H$82&amp;"P"&amp;$A144))</f>
        <v>0</v>
      </c>
      <c r="J144" s="48">
        <f>IF(RTD("tos.rtd",,J$2,"."&amp;$C$134&amp;$J$134&amp;"C"&amp;$A144)="N/A",0,RTD("tos.rtd",,J$2,"."&amp;$C$134&amp;$J$134&amp;"C"&amp;$A144))</f>
        <v>4</v>
      </c>
      <c r="K144" s="3">
        <f>-IF(RTD("tos.rtd",,K$2,"."&amp;$C$134&amp;$J$134&amp;"P"&amp;$A144)="N/A",0,RTD("tos.rtd",,K$2,"."&amp;$C$134&amp;$J$134&amp;"P"&amp;$A144))</f>
        <v>-32</v>
      </c>
      <c r="L144" s="48">
        <f>IF(RTD("tos.rtd",,L$2,"."&amp;$D$134&amp;$L$134&amp;"C"&amp;$A144)="N/A",0,RTD("tos.rtd",,L$2,"."&amp;$D$134&amp;$L$134&amp;"C"&amp;$A144))</f>
        <v>8</v>
      </c>
      <c r="M144" s="3">
        <f>-IF(RTD("tos.rtd",,M$2,"."&amp;$D$134&amp;$L$134&amp;"P"&amp;$A144)="N/A",0,RTD("tos.rtd",,M$2,"."&amp;$D$134&amp;$L$134&amp;"P"&amp;$A144))</f>
        <v>-2</v>
      </c>
      <c r="N144" s="3">
        <f t="shared" si="60"/>
        <v>-22</v>
      </c>
      <c r="O144" s="7">
        <f t="shared" si="55"/>
        <v>25425</v>
      </c>
      <c r="P144" s="48">
        <f>IF(RTD("tos.rtd",,P$43,"."&amp;$B$134&amp;$H$82&amp;"C"&amp;$A144)="N/A",0,RTD("tos.rtd",,P$43,"."&amp;$B$134&amp;$H$82&amp;"C"&amp;$A144))</f>
        <v>0</v>
      </c>
      <c r="Q144" s="3">
        <f>-IF(RTD("tos.rtd",,Q$43,"."&amp;$B$134&amp;$H$82&amp;"P"&amp;$A144)="N/A",0,RTD("tos.rtd",,Q$43,"."&amp;$B$134&amp;$H$82&amp;"P"&amp;$A144))</f>
        <v>0</v>
      </c>
      <c r="R144" s="48">
        <f>IF(RTD("tos.rtd",,R$2,"."&amp;$C$134&amp;$J$82&amp;"C"&amp;$A144)="N/A",0,RTD("tos.rtd",,R$2,"."&amp;$C$134&amp;$J$82&amp;"C"&amp;$A144))</f>
        <v>4</v>
      </c>
      <c r="S144" s="3">
        <f>-IF(RTD("tos.rtd",,S$2,"."&amp;$C$134&amp;$J$82&amp;"P"&amp;$A144)="N/A",0,RTD("tos.rtd",,S$2,"."&amp;$C$134&amp;$J$82&amp;"P"&amp;$A144))</f>
        <v>-9</v>
      </c>
      <c r="T144" s="48">
        <f>IF(RTD("tos.rtd",,T$2,"."&amp;$D$134&amp;$L$82&amp;"C"&amp;$A144)="N/A",0,RTD("tos.rtd",,T$2,"."&amp;$D$134&amp;$L$82&amp;"C"&amp;$A144))</f>
        <v>0</v>
      </c>
      <c r="U144" s="3">
        <f>-IF(RTD("tos.rtd",,U$2,"."&amp;$D$134&amp;$L$82&amp;"P"&amp;$A144)="N/A",0,RTD("tos.rtd",,U$2,"."&amp;$D$134&amp;$L$82&amp;"P"&amp;$A144))</f>
        <v>0</v>
      </c>
      <c r="V144" s="3">
        <f ca="1">+Hoja2!Y145</f>
        <v>1</v>
      </c>
      <c r="W144" s="3">
        <f t="shared" ca="1" si="56"/>
        <v>-4</v>
      </c>
    </row>
    <row r="145" spans="1:23" ht="11.1" customHeight="1" thickBot="1" x14ac:dyDescent="0.25">
      <c r="A145" s="2">
        <f t="shared" si="57"/>
        <v>25400</v>
      </c>
      <c r="B145" s="3">
        <f t="shared" si="52"/>
        <v>2</v>
      </c>
      <c r="C145" s="3">
        <f t="shared" si="53"/>
        <v>-50</v>
      </c>
      <c r="D145" s="3">
        <f t="shared" si="54"/>
        <v>17</v>
      </c>
      <c r="E145" s="3">
        <f t="shared" si="58"/>
        <v>-31</v>
      </c>
      <c r="F145" s="4">
        <f t="shared" si="59"/>
        <v>25569.208271667521</v>
      </c>
      <c r="H145" s="48">
        <f>IF(RTD("tos.rtd",,H$83,"."&amp;$B$134&amp;$H$82&amp;"C"&amp;$A145)="N/A",0,RTD("tos.rtd",,H$83,"."&amp;$B$134&amp;$H$82&amp;"C"&amp;$A145))</f>
        <v>24</v>
      </c>
      <c r="I145" s="3">
        <f>-IF(RTD("tos.rtd",,I$83,"."&amp;$B$134&amp;$H$82&amp;"P"&amp;$A145)="N/A",0,RTD("tos.rtd",,I$83,"."&amp;$B$134&amp;$H$82&amp;"P"&amp;$A145))</f>
        <v>-22</v>
      </c>
      <c r="J145" s="48">
        <f>IF(RTD("tos.rtd",,J$2,"."&amp;$C$134&amp;$J$134&amp;"C"&amp;$A145)="N/A",0,RTD("tos.rtd",,J$2,"."&amp;$C$134&amp;$J$134&amp;"C"&amp;$A145))</f>
        <v>9</v>
      </c>
      <c r="K145" s="3">
        <f>-IF(RTD("tos.rtd",,K$2,"."&amp;$C$134&amp;$J$134&amp;"P"&amp;$A145)="N/A",0,RTD("tos.rtd",,K$2,"."&amp;$C$134&amp;$J$134&amp;"P"&amp;$A145))</f>
        <v>-59</v>
      </c>
      <c r="L145" s="48">
        <f>IF(RTD("tos.rtd",,L$2,"."&amp;$D$134&amp;$L$134&amp;"C"&amp;$A145)="N/A",0,RTD("tos.rtd",,L$2,"."&amp;$D$134&amp;$L$134&amp;"C"&amp;$A145))</f>
        <v>37</v>
      </c>
      <c r="M145" s="3">
        <f>-IF(RTD("tos.rtd",,M$2,"."&amp;$D$134&amp;$L$134&amp;"P"&amp;$A145)="N/A",0,RTD("tos.rtd",,M$2,"."&amp;$D$134&amp;$L$134&amp;"P"&amp;$A145))</f>
        <v>-20</v>
      </c>
      <c r="N145" s="3">
        <f t="shared" si="60"/>
        <v>-31</v>
      </c>
      <c r="O145" s="7">
        <f t="shared" si="55"/>
        <v>25400</v>
      </c>
      <c r="P145" s="48">
        <f>IF(RTD("tos.rtd",,P$43,"."&amp;$B$134&amp;$H$82&amp;"C"&amp;$A145)="N/A",0,RTD("tos.rtd",,P$43,"."&amp;$B$134&amp;$H$82&amp;"C"&amp;$A145))</f>
        <v>81</v>
      </c>
      <c r="Q145" s="3">
        <f>-IF(RTD("tos.rtd",,Q$43,"."&amp;$B$134&amp;$H$82&amp;"P"&amp;$A145)="N/A",0,RTD("tos.rtd",,Q$43,"."&amp;$B$134&amp;$H$82&amp;"P"&amp;$A145))</f>
        <v>-21</v>
      </c>
      <c r="R145" s="48">
        <f>IF(RTD("tos.rtd",,R$2,"."&amp;$C$134&amp;$J$82&amp;"C"&amp;$A145)="N/A",0,RTD("tos.rtd",,R$2,"."&amp;$C$134&amp;$J$82&amp;"C"&amp;$A145))</f>
        <v>11</v>
      </c>
      <c r="S145" s="3">
        <f>-IF(RTD("tos.rtd",,S$2,"."&amp;$C$134&amp;$J$82&amp;"P"&amp;$A145)="N/A",0,RTD("tos.rtd",,S$2,"."&amp;$C$134&amp;$J$82&amp;"P"&amp;$A145))</f>
        <v>-9</v>
      </c>
      <c r="T145" s="48">
        <f>IF(RTD("tos.rtd",,T$2,"."&amp;$D$134&amp;$L$82&amp;"C"&amp;$A145)="N/A",0,RTD("tos.rtd",,T$2,"."&amp;$D$134&amp;$L$82&amp;"C"&amp;$A145))</f>
        <v>10</v>
      </c>
      <c r="U145" s="3">
        <f>-IF(RTD("tos.rtd",,U$2,"."&amp;$D$134&amp;$L$82&amp;"P"&amp;$A145)="N/A",0,RTD("tos.rtd",,U$2,"."&amp;$D$134&amp;$L$82&amp;"P"&amp;$A145))</f>
        <v>0</v>
      </c>
      <c r="V145" s="3">
        <f ca="1">+Hoja2!Y146</f>
        <v>82</v>
      </c>
      <c r="W145" s="3">
        <f t="shared" ca="1" si="56"/>
        <v>154</v>
      </c>
    </row>
    <row r="146" spans="1:23" ht="11.1" customHeight="1" thickBot="1" x14ac:dyDescent="0.25">
      <c r="A146" s="2">
        <f t="shared" si="57"/>
        <v>25375</v>
      </c>
      <c r="B146" s="3">
        <f t="shared" si="52"/>
        <v>0</v>
      </c>
      <c r="C146" s="3">
        <f t="shared" si="53"/>
        <v>-5</v>
      </c>
      <c r="D146" s="3">
        <f t="shared" si="54"/>
        <v>0</v>
      </c>
      <c r="E146" s="3">
        <f t="shared" si="58"/>
        <v>-5</v>
      </c>
      <c r="F146" s="4">
        <f t="shared" si="59"/>
        <v>25544.041728093045</v>
      </c>
      <c r="H146" s="48">
        <f>IF(RTD("tos.rtd",,H$83,"."&amp;$B$134&amp;$H$82&amp;"C"&amp;$A146)="N/A",0,RTD("tos.rtd",,H$83,"."&amp;$B$134&amp;$H$82&amp;"C"&amp;$A146))</f>
        <v>0</v>
      </c>
      <c r="I146" s="3">
        <f>-IF(RTD("tos.rtd",,I$83,"."&amp;$B$134&amp;$H$82&amp;"P"&amp;$A146)="N/A",0,RTD("tos.rtd",,I$83,"."&amp;$B$134&amp;$H$82&amp;"P"&amp;$A146))</f>
        <v>0</v>
      </c>
      <c r="J146" s="48">
        <f>IF(RTD("tos.rtd",,J$2,"."&amp;$C$134&amp;$J$134&amp;"C"&amp;$A146)="N/A",0,RTD("tos.rtd",,J$2,"."&amp;$C$134&amp;$J$134&amp;"C"&amp;$A146))</f>
        <v>2</v>
      </c>
      <c r="K146" s="3">
        <f>-IF(RTD("tos.rtd",,K$2,"."&amp;$C$134&amp;$J$134&amp;"P"&amp;$A146)="N/A",0,RTD("tos.rtd",,K$2,"."&amp;$C$134&amp;$J$134&amp;"P"&amp;$A146))</f>
        <v>-7</v>
      </c>
      <c r="L146" s="48">
        <f>IF(RTD("tos.rtd",,L$2,"."&amp;$D$134&amp;$L$134&amp;"C"&amp;$A146)="N/A",0,RTD("tos.rtd",,L$2,"."&amp;$D$134&amp;$L$134&amp;"C"&amp;$A146))</f>
        <v>7</v>
      </c>
      <c r="M146" s="3">
        <f>-IF(RTD("tos.rtd",,M$2,"."&amp;$D$134&amp;$L$134&amp;"P"&amp;$A146)="N/A",0,RTD("tos.rtd",,M$2,"."&amp;$D$134&amp;$L$134&amp;"P"&amp;$A146))</f>
        <v>-7</v>
      </c>
      <c r="N146" s="3">
        <f t="shared" si="60"/>
        <v>-5</v>
      </c>
      <c r="O146" s="7">
        <f t="shared" si="55"/>
        <v>25375</v>
      </c>
      <c r="P146" s="48">
        <f>IF(RTD("tos.rtd",,P$43,"."&amp;$B$134&amp;$H$82&amp;"C"&amp;$A146)="N/A",0,RTD("tos.rtd",,P$43,"."&amp;$B$134&amp;$H$82&amp;"C"&amp;$A146))</f>
        <v>0</v>
      </c>
      <c r="Q146" s="3">
        <f>-IF(RTD("tos.rtd",,Q$43,"."&amp;$B$134&amp;$H$82&amp;"P"&amp;$A146)="N/A",0,RTD("tos.rtd",,Q$43,"."&amp;$B$134&amp;$H$82&amp;"P"&amp;$A146))</f>
        <v>0</v>
      </c>
      <c r="R146" s="48">
        <f>IF(RTD("tos.rtd",,R$2,"."&amp;$C$134&amp;$J$82&amp;"C"&amp;$A146)="N/A",0,RTD("tos.rtd",,R$2,"."&amp;$C$134&amp;$J$82&amp;"C"&amp;$A146))</f>
        <v>25</v>
      </c>
      <c r="S146" s="3">
        <f>-IF(RTD("tos.rtd",,S$2,"."&amp;$C$134&amp;$J$82&amp;"P"&amp;$A146)="N/A",0,RTD("tos.rtd",,S$2,"."&amp;$C$134&amp;$J$82&amp;"P"&amp;$A146))</f>
        <v>0</v>
      </c>
      <c r="T146" s="48">
        <f>IF(RTD("tos.rtd",,T$2,"."&amp;$D$134&amp;$L$82&amp;"C"&amp;$A146)="N/A",0,RTD("tos.rtd",,T$2,"."&amp;$D$134&amp;$L$82&amp;"C"&amp;$A146))</f>
        <v>1</v>
      </c>
      <c r="U146" s="3">
        <f>-IF(RTD("tos.rtd",,U$2,"."&amp;$D$134&amp;$L$82&amp;"P"&amp;$A146)="N/A",0,RTD("tos.rtd",,U$2,"."&amp;$D$134&amp;$L$82&amp;"P"&amp;$A146))</f>
        <v>0</v>
      </c>
      <c r="V146" s="3">
        <f ca="1">+Hoja2!Y147</f>
        <v>1</v>
      </c>
      <c r="W146" s="3">
        <f t="shared" ca="1" si="56"/>
        <v>27</v>
      </c>
    </row>
    <row r="147" spans="1:23" ht="11.1" customHeight="1" thickBot="1" x14ac:dyDescent="0.25">
      <c r="A147" s="2">
        <f t="shared" si="57"/>
        <v>25350</v>
      </c>
      <c r="B147" s="3">
        <f t="shared" si="52"/>
        <v>-5</v>
      </c>
      <c r="C147" s="3">
        <f t="shared" si="53"/>
        <v>28</v>
      </c>
      <c r="D147" s="3">
        <f t="shared" si="54"/>
        <v>15</v>
      </c>
      <c r="E147" s="3">
        <f t="shared" si="58"/>
        <v>38</v>
      </c>
      <c r="F147" s="4">
        <f t="shared" si="59"/>
        <v>25518.875184518572</v>
      </c>
      <c r="H147" s="48">
        <f>IF(RTD("tos.rtd",,H$83,"."&amp;$B$134&amp;$H$82&amp;"C"&amp;$A147)="N/A",0,RTD("tos.rtd",,H$83,"."&amp;$B$134&amp;$H$82&amp;"C"&amp;$A147))</f>
        <v>3</v>
      </c>
      <c r="I147" s="3">
        <f>-IF(RTD("tos.rtd",,I$83,"."&amp;$B$134&amp;$H$82&amp;"P"&amp;$A147)="N/A",0,RTD("tos.rtd",,I$83,"."&amp;$B$134&amp;$H$82&amp;"P"&amp;$A147))</f>
        <v>-8</v>
      </c>
      <c r="J147" s="48">
        <f>IF(RTD("tos.rtd",,J$2,"."&amp;$C$134&amp;$J$134&amp;"C"&amp;$A147)="N/A",0,RTD("tos.rtd",,J$2,"."&amp;$C$134&amp;$J$134&amp;"C"&amp;$A147))</f>
        <v>34</v>
      </c>
      <c r="K147" s="3">
        <f>-IF(RTD("tos.rtd",,K$2,"."&amp;$C$134&amp;$J$134&amp;"P"&amp;$A147)="N/A",0,RTD("tos.rtd",,K$2,"."&amp;$C$134&amp;$J$134&amp;"P"&amp;$A147))</f>
        <v>-6</v>
      </c>
      <c r="L147" s="48">
        <f>IF(RTD("tos.rtd",,L$2,"."&amp;$D$134&amp;$L$134&amp;"C"&amp;$A147)="N/A",0,RTD("tos.rtd",,L$2,"."&amp;$D$134&amp;$L$134&amp;"C"&amp;$A147))</f>
        <v>16</v>
      </c>
      <c r="M147" s="3">
        <f>-IF(RTD("tos.rtd",,M$2,"."&amp;$D$134&amp;$L$134&amp;"P"&amp;$A147)="N/A",0,RTD("tos.rtd",,M$2,"."&amp;$D$134&amp;$L$134&amp;"P"&amp;$A147))</f>
        <v>-1</v>
      </c>
      <c r="N147" s="3">
        <f t="shared" si="60"/>
        <v>38</v>
      </c>
      <c r="O147" s="7">
        <f t="shared" si="55"/>
        <v>25350</v>
      </c>
      <c r="P147" s="48">
        <f>IF(RTD("tos.rtd",,P$43,"."&amp;$B$134&amp;$H$82&amp;"C"&amp;$A147)="N/A",0,RTD("tos.rtd",,P$43,"."&amp;$B$134&amp;$H$82&amp;"C"&amp;$A147))</f>
        <v>20</v>
      </c>
      <c r="Q147" s="3">
        <f>-IF(RTD("tos.rtd",,Q$43,"."&amp;$B$134&amp;$H$82&amp;"P"&amp;$A147)="N/A",0,RTD("tos.rtd",,Q$43,"."&amp;$B$134&amp;$H$82&amp;"P"&amp;$A147))</f>
        <v>-17</v>
      </c>
      <c r="R147" s="48">
        <f>IF(RTD("tos.rtd",,R$2,"."&amp;$C$134&amp;$J$82&amp;"C"&amp;$A147)="N/A",0,RTD("tos.rtd",,R$2,"."&amp;$C$134&amp;$J$82&amp;"C"&amp;$A147))</f>
        <v>25</v>
      </c>
      <c r="S147" s="3">
        <f>-IF(RTD("tos.rtd",,S$2,"."&amp;$C$134&amp;$J$82&amp;"P"&amp;$A147)="N/A",0,RTD("tos.rtd",,S$2,"."&amp;$C$134&amp;$J$82&amp;"P"&amp;$A147))</f>
        <v>-1</v>
      </c>
      <c r="T147" s="48">
        <f>IF(RTD("tos.rtd",,T$2,"."&amp;$D$134&amp;$L$82&amp;"C"&amp;$A147)="N/A",0,RTD("tos.rtd",,T$2,"."&amp;$D$134&amp;$L$82&amp;"C"&amp;$A147))</f>
        <v>38</v>
      </c>
      <c r="U147" s="3">
        <f>-IF(RTD("tos.rtd",,U$2,"."&amp;$D$134&amp;$L$82&amp;"P"&amp;$A147)="N/A",0,RTD("tos.rtd",,U$2,"."&amp;$D$134&amp;$L$82&amp;"P"&amp;$A147))</f>
        <v>0</v>
      </c>
      <c r="V147" s="3">
        <f ca="1">+Hoja2!Y148</f>
        <v>24</v>
      </c>
      <c r="W147" s="3">
        <f t="shared" ca="1" si="56"/>
        <v>89</v>
      </c>
    </row>
    <row r="148" spans="1:23" ht="11.1" customHeight="1" thickBot="1" x14ac:dyDescent="0.25">
      <c r="A148" s="2">
        <f t="shared" si="57"/>
        <v>25325</v>
      </c>
      <c r="B148" s="3">
        <f t="shared" si="52"/>
        <v>0</v>
      </c>
      <c r="C148" s="3">
        <f t="shared" si="53"/>
        <v>-3</v>
      </c>
      <c r="D148" s="3">
        <f t="shared" si="54"/>
        <v>2</v>
      </c>
      <c r="E148" s="3">
        <f t="shared" ref="E148:E166" si="61">SUM(B148:D148)</f>
        <v>-1</v>
      </c>
      <c r="F148" s="4">
        <f t="shared" ref="F148:F153" si="62">+$F$136/$A$136*A148</f>
        <v>25493.708640944096</v>
      </c>
      <c r="H148" s="48">
        <f>IF(RTD("tos.rtd",,H$83,"."&amp;$B$134&amp;$H$82&amp;"C"&amp;$A148)="N/A",0,RTD("tos.rtd",,H$83,"."&amp;$B$134&amp;$H$82&amp;"C"&amp;$A148))</f>
        <v>0</v>
      </c>
      <c r="I148" s="3">
        <f>-IF(RTD("tos.rtd",,I$83,"."&amp;$B$134&amp;$H$82&amp;"P"&amp;$A148)="N/A",0,RTD("tos.rtd",,I$83,"."&amp;$B$134&amp;$H$82&amp;"P"&amp;$A148))</f>
        <v>0</v>
      </c>
      <c r="J148" s="48">
        <f>IF(RTD("tos.rtd",,J$2,"."&amp;$C$134&amp;$J$134&amp;"C"&amp;$A148)="N/A",0,RTD("tos.rtd",,J$2,"."&amp;$C$134&amp;$J$134&amp;"C"&amp;$A148))</f>
        <v>5</v>
      </c>
      <c r="K148" s="3">
        <f>-IF(RTD("tos.rtd",,K$2,"."&amp;$C$134&amp;$J$134&amp;"P"&amp;$A148)="N/A",0,RTD("tos.rtd",,K$2,"."&amp;$C$134&amp;$J$134&amp;"P"&amp;$A148))</f>
        <v>-8</v>
      </c>
      <c r="L148" s="48">
        <f>IF(RTD("tos.rtd",,L$2,"."&amp;$D$134&amp;$L$134&amp;"C"&amp;$A148)="N/A",0,RTD("tos.rtd",,L$2,"."&amp;$D$134&amp;$L$134&amp;"C"&amp;$A148))</f>
        <v>9</v>
      </c>
      <c r="M148" s="3">
        <f>-IF(RTD("tos.rtd",,M$2,"."&amp;$D$134&amp;$L$134&amp;"P"&amp;$A148)="N/A",0,RTD("tos.rtd",,M$2,"."&amp;$D$134&amp;$L$134&amp;"P"&amp;$A148))</f>
        <v>-7</v>
      </c>
      <c r="N148" s="3">
        <f t="shared" ref="N148:N153" si="63">SUM(H148:M148)</f>
        <v>-1</v>
      </c>
      <c r="O148" s="7">
        <f t="shared" si="55"/>
        <v>25325</v>
      </c>
      <c r="P148" s="48">
        <f>IF(RTD("tos.rtd",,P$43,"."&amp;$B$134&amp;$H$82&amp;"C"&amp;$A148)="N/A",0,RTD("tos.rtd",,P$43,"."&amp;$B$134&amp;$H$82&amp;"C"&amp;$A148))</f>
        <v>0</v>
      </c>
      <c r="Q148" s="3">
        <f>-IF(RTD("tos.rtd",,Q$43,"."&amp;$B$134&amp;$H$82&amp;"P"&amp;$A148)="N/A",0,RTD("tos.rtd",,Q$43,"."&amp;$B$134&amp;$H$82&amp;"P"&amp;$A148))</f>
        <v>0</v>
      </c>
      <c r="R148" s="48">
        <f>IF(RTD("tos.rtd",,R$2,"."&amp;$C$134&amp;$J$82&amp;"C"&amp;$A148)="N/A",0,RTD("tos.rtd",,R$2,"."&amp;$C$134&amp;$J$82&amp;"C"&amp;$A148))</f>
        <v>1</v>
      </c>
      <c r="S148" s="3">
        <f>-IF(RTD("tos.rtd",,S$2,"."&amp;$C$134&amp;$J$82&amp;"P"&amp;$A148)="N/A",0,RTD("tos.rtd",,S$2,"."&amp;$C$134&amp;$J$82&amp;"P"&amp;$A148))</f>
        <v>0</v>
      </c>
      <c r="T148" s="48">
        <f>IF(RTD("tos.rtd",,T$2,"."&amp;$D$134&amp;$L$82&amp;"C"&amp;$A148)="N/A",0,RTD("tos.rtd",,T$2,"."&amp;$D$134&amp;$L$82&amp;"C"&amp;$A148))</f>
        <v>9</v>
      </c>
      <c r="U148" s="3">
        <f>-IF(RTD("tos.rtd",,U$2,"."&amp;$D$134&amp;$L$82&amp;"P"&amp;$A148)="N/A",0,RTD("tos.rtd",,U$2,"."&amp;$D$134&amp;$L$82&amp;"P"&amp;$A148))</f>
        <v>0</v>
      </c>
      <c r="V148" s="3">
        <f ca="1">+Hoja2!Y149</f>
        <v>0</v>
      </c>
      <c r="W148" s="3">
        <f t="shared" ca="1" si="56"/>
        <v>10</v>
      </c>
    </row>
    <row r="149" spans="1:23" ht="11.1" customHeight="1" thickBot="1" x14ac:dyDescent="0.25">
      <c r="A149" s="2">
        <f t="shared" si="57"/>
        <v>25300</v>
      </c>
      <c r="B149" s="3">
        <f t="shared" si="52"/>
        <v>4</v>
      </c>
      <c r="C149" s="3">
        <f t="shared" si="53"/>
        <v>0</v>
      </c>
      <c r="D149" s="3">
        <f t="shared" si="54"/>
        <v>8</v>
      </c>
      <c r="E149" s="3">
        <f t="shared" si="61"/>
        <v>12</v>
      </c>
      <c r="F149" s="4">
        <f t="shared" si="62"/>
        <v>25468.54209736962</v>
      </c>
      <c r="H149" s="48">
        <f>IF(RTD("tos.rtd",,H$83,"."&amp;$B$134&amp;$H$82&amp;"C"&amp;$A149)="N/A",0,RTD("tos.rtd",,H$83,"."&amp;$B$134&amp;$H$82&amp;"C"&amp;$A149))</f>
        <v>16</v>
      </c>
      <c r="I149" s="3">
        <f>-IF(RTD("tos.rtd",,I$83,"."&amp;$B$134&amp;$H$82&amp;"P"&amp;$A149)="N/A",0,RTD("tos.rtd",,I$83,"."&amp;$B$134&amp;$H$82&amp;"P"&amp;$A149))</f>
        <v>-12</v>
      </c>
      <c r="J149" s="48">
        <f>IF(RTD("tos.rtd",,J$2,"."&amp;$C$134&amp;$J$134&amp;"C"&amp;$A149)="N/A",0,RTD("tos.rtd",,J$2,"."&amp;$C$134&amp;$J$134&amp;"C"&amp;$A149))</f>
        <v>5</v>
      </c>
      <c r="K149" s="3">
        <f>-IF(RTD("tos.rtd",,K$2,"."&amp;$C$134&amp;$J$134&amp;"P"&amp;$A149)="N/A",0,RTD("tos.rtd",,K$2,"."&amp;$C$134&amp;$J$134&amp;"P"&amp;$A149))</f>
        <v>-5</v>
      </c>
      <c r="L149" s="48">
        <f>IF(RTD("tos.rtd",,L$2,"."&amp;$D$134&amp;$L$134&amp;"C"&amp;$A149)="N/A",0,RTD("tos.rtd",,L$2,"."&amp;$D$134&amp;$L$134&amp;"C"&amp;$A149))</f>
        <v>36</v>
      </c>
      <c r="M149" s="3">
        <f>-IF(RTD("tos.rtd",,M$2,"."&amp;$D$134&amp;$L$134&amp;"P"&amp;$A149)="N/A",0,RTD("tos.rtd",,M$2,"."&amp;$D$134&amp;$L$134&amp;"P"&amp;$A149))</f>
        <v>-28</v>
      </c>
      <c r="N149" s="3">
        <f t="shared" si="63"/>
        <v>12</v>
      </c>
      <c r="O149" s="7">
        <f t="shared" si="55"/>
        <v>25300</v>
      </c>
      <c r="P149" s="48">
        <f>IF(RTD("tos.rtd",,P$43,"."&amp;$B$134&amp;$H$82&amp;"C"&amp;$A149)="N/A",0,RTD("tos.rtd",,P$43,"."&amp;$B$134&amp;$H$82&amp;"C"&amp;$A149))</f>
        <v>339</v>
      </c>
      <c r="Q149" s="3">
        <f>-IF(RTD("tos.rtd",,Q$43,"."&amp;$B$134&amp;$H$82&amp;"P"&amp;$A149)="N/A",0,RTD("tos.rtd",,Q$43,"."&amp;$B$134&amp;$H$82&amp;"P"&amp;$A149))</f>
        <v>-39</v>
      </c>
      <c r="R149" s="48">
        <f>IF(RTD("tos.rtd",,R$2,"."&amp;$C$134&amp;$J$82&amp;"C"&amp;$A149)="N/A",0,RTD("tos.rtd",,R$2,"."&amp;$C$134&amp;$J$82&amp;"C"&amp;$A149))</f>
        <v>13</v>
      </c>
      <c r="S149" s="3">
        <f>-IF(RTD("tos.rtd",,S$2,"."&amp;$C$134&amp;$J$82&amp;"P"&amp;$A149)="N/A",0,RTD("tos.rtd",,S$2,"."&amp;$C$134&amp;$J$82&amp;"P"&amp;$A149))</f>
        <v>-80</v>
      </c>
      <c r="T149" s="48">
        <f>IF(RTD("tos.rtd",,T$2,"."&amp;$D$134&amp;$L$82&amp;"C"&amp;$A149)="N/A",0,RTD("tos.rtd",,T$2,"."&amp;$D$134&amp;$L$82&amp;"C"&amp;$A149))</f>
        <v>24</v>
      </c>
      <c r="U149" s="3">
        <f>-IF(RTD("tos.rtd",,U$2,"."&amp;$D$134&amp;$L$82&amp;"P"&amp;$A149)="N/A",0,RTD("tos.rtd",,U$2,"."&amp;$D$134&amp;$L$82&amp;"P"&amp;$A149))</f>
        <v>-10</v>
      </c>
      <c r="V149" s="3">
        <f ca="1">+Hoja2!Y150</f>
        <v>366</v>
      </c>
      <c r="W149" s="3">
        <f t="shared" ca="1" si="56"/>
        <v>613</v>
      </c>
    </row>
    <row r="150" spans="1:23" ht="11.1" customHeight="1" thickBot="1" x14ac:dyDescent="0.25">
      <c r="A150" s="2">
        <f t="shared" si="57"/>
        <v>25275</v>
      </c>
      <c r="B150" s="3">
        <f t="shared" si="52"/>
        <v>0</v>
      </c>
      <c r="C150" s="3">
        <f t="shared" si="53"/>
        <v>3</v>
      </c>
      <c r="D150" s="3">
        <f t="shared" si="54"/>
        <v>7</v>
      </c>
      <c r="E150" s="3">
        <f t="shared" si="61"/>
        <v>10</v>
      </c>
      <c r="F150" s="4">
        <f t="shared" si="62"/>
        <v>25443.375553795144</v>
      </c>
      <c r="H150" s="48">
        <f>IF(RTD("tos.rtd",,H$83,"."&amp;$B$134&amp;$H$82&amp;"C"&amp;$A150)="N/A",0,RTD("tos.rtd",,H$83,"."&amp;$B$134&amp;$H$82&amp;"C"&amp;$A150))</f>
        <v>0</v>
      </c>
      <c r="I150" s="3">
        <f>-IF(RTD("tos.rtd",,I$83,"."&amp;$B$134&amp;$H$82&amp;"P"&amp;$A150)="N/A",0,RTD("tos.rtd",,I$83,"."&amp;$B$134&amp;$H$82&amp;"P"&amp;$A150))</f>
        <v>0</v>
      </c>
      <c r="J150" s="48">
        <f>IF(RTD("tos.rtd",,J$2,"."&amp;$C$134&amp;$J$134&amp;"C"&amp;$A150)="N/A",0,RTD("tos.rtd",,J$2,"."&amp;$C$134&amp;$J$134&amp;"C"&amp;$A150))</f>
        <v>5</v>
      </c>
      <c r="K150" s="3">
        <f>-IF(RTD("tos.rtd",,K$2,"."&amp;$C$134&amp;$J$134&amp;"P"&amp;$A150)="N/A",0,RTD("tos.rtd",,K$2,"."&amp;$C$134&amp;$J$134&amp;"P"&amp;$A150))</f>
        <v>-2</v>
      </c>
      <c r="L150" s="48">
        <f>IF(RTD("tos.rtd",,L$2,"."&amp;$D$134&amp;$L$134&amp;"C"&amp;$A150)="N/A",0,RTD("tos.rtd",,L$2,"."&amp;$D$134&amp;$L$134&amp;"C"&amp;$A150))</f>
        <v>10</v>
      </c>
      <c r="M150" s="3">
        <f>-IF(RTD("tos.rtd",,M$2,"."&amp;$D$134&amp;$L$134&amp;"P"&amp;$A150)="N/A",0,RTD("tos.rtd",,M$2,"."&amp;$D$134&amp;$L$134&amp;"P"&amp;$A150))</f>
        <v>-3</v>
      </c>
      <c r="N150" s="3">
        <f t="shared" si="63"/>
        <v>10</v>
      </c>
      <c r="O150" s="7">
        <f t="shared" si="55"/>
        <v>25275</v>
      </c>
      <c r="P150" s="48">
        <f>IF(RTD("tos.rtd",,P$43,"."&amp;$B$134&amp;$H$82&amp;"C"&amp;$A150)="N/A",0,RTD("tos.rtd",,P$43,"."&amp;$B$134&amp;$H$82&amp;"C"&amp;$A150))</f>
        <v>0</v>
      </c>
      <c r="Q150" s="3">
        <f>-IF(RTD("tos.rtd",,Q$43,"."&amp;$B$134&amp;$H$82&amp;"P"&amp;$A150)="N/A",0,RTD("tos.rtd",,Q$43,"."&amp;$B$134&amp;$H$82&amp;"P"&amp;$A150))</f>
        <v>0</v>
      </c>
      <c r="R150" s="48">
        <f>IF(RTD("tos.rtd",,R$2,"."&amp;$C$134&amp;$J$82&amp;"C"&amp;$A150)="N/A",0,RTD("tos.rtd",,R$2,"."&amp;$C$134&amp;$J$82&amp;"C"&amp;$A150))</f>
        <v>13</v>
      </c>
      <c r="S150" s="3">
        <f>-IF(RTD("tos.rtd",,S$2,"."&amp;$C$134&amp;$J$82&amp;"P"&amp;$A150)="N/A",0,RTD("tos.rtd",,S$2,"."&amp;$C$134&amp;$J$82&amp;"P"&amp;$A150))</f>
        <v>-82</v>
      </c>
      <c r="T150" s="48">
        <f>IF(RTD("tos.rtd",,T$2,"."&amp;$D$134&amp;$L$82&amp;"C"&amp;$A150)="N/A",0,RTD("tos.rtd",,T$2,"."&amp;$D$134&amp;$L$82&amp;"C"&amp;$A150))</f>
        <v>7</v>
      </c>
      <c r="U150" s="3">
        <f>-IF(RTD("tos.rtd",,U$2,"."&amp;$D$134&amp;$L$82&amp;"P"&amp;$A150)="N/A",0,RTD("tos.rtd",,U$2,"."&amp;$D$134&amp;$L$82&amp;"P"&amp;$A150))</f>
        <v>0</v>
      </c>
      <c r="V150" s="3">
        <f ca="1">+Hoja2!Y151</f>
        <v>3</v>
      </c>
      <c r="W150" s="3">
        <f t="shared" ca="1" si="56"/>
        <v>-59</v>
      </c>
    </row>
    <row r="151" spans="1:23" ht="11.1" customHeight="1" thickBot="1" x14ac:dyDescent="0.25">
      <c r="A151" s="2">
        <f t="shared" si="57"/>
        <v>25250</v>
      </c>
      <c r="B151" s="3">
        <f t="shared" si="52"/>
        <v>6</v>
      </c>
      <c r="C151" s="3">
        <f t="shared" si="53"/>
        <v>4</v>
      </c>
      <c r="D151" s="3">
        <f t="shared" si="54"/>
        <v>5</v>
      </c>
      <c r="E151" s="3">
        <f t="shared" si="61"/>
        <v>15</v>
      </c>
      <c r="F151" s="4">
        <f t="shared" si="62"/>
        <v>25418.209010220668</v>
      </c>
      <c r="H151" s="48">
        <f>IF(RTD("tos.rtd",,H$83,"."&amp;$B$134&amp;$H$82&amp;"C"&amp;$A151)="N/A",0,RTD("tos.rtd",,H$83,"."&amp;$B$134&amp;$H$82&amp;"C"&amp;$A151))</f>
        <v>11</v>
      </c>
      <c r="I151" s="3">
        <f>-IF(RTD("tos.rtd",,I$83,"."&amp;$B$134&amp;$H$82&amp;"P"&amp;$A151)="N/A",0,RTD("tos.rtd",,I$83,"."&amp;$B$134&amp;$H$82&amp;"P"&amp;$A151))</f>
        <v>-5</v>
      </c>
      <c r="J151" s="48">
        <f>IF(RTD("tos.rtd",,J$2,"."&amp;$C$134&amp;$J$134&amp;"C"&amp;$A151)="N/A",0,RTD("tos.rtd",,J$2,"."&amp;$C$134&amp;$J$134&amp;"C"&amp;$A151))</f>
        <v>7</v>
      </c>
      <c r="K151" s="3">
        <f>-IF(RTD("tos.rtd",,K$2,"."&amp;$C$134&amp;$J$134&amp;"P"&amp;$A151)="N/A",0,RTD("tos.rtd",,K$2,"."&amp;$C$134&amp;$J$134&amp;"P"&amp;$A151))</f>
        <v>-3</v>
      </c>
      <c r="L151" s="48">
        <f>IF(RTD("tos.rtd",,L$2,"."&amp;$D$134&amp;$L$134&amp;"C"&amp;$A151)="N/A",0,RTD("tos.rtd",,L$2,"."&amp;$D$134&amp;$L$134&amp;"C"&amp;$A151))</f>
        <v>7</v>
      </c>
      <c r="M151" s="3">
        <f>-IF(RTD("tos.rtd",,M$2,"."&amp;$D$134&amp;$L$134&amp;"P"&amp;$A151)="N/A",0,RTD("tos.rtd",,M$2,"."&amp;$D$134&amp;$L$134&amp;"P"&amp;$A151))</f>
        <v>-2</v>
      </c>
      <c r="N151" s="3">
        <f t="shared" si="63"/>
        <v>15</v>
      </c>
      <c r="O151" s="7">
        <f t="shared" si="55"/>
        <v>25250</v>
      </c>
      <c r="P151" s="48">
        <f>IF(RTD("tos.rtd",,P$43,"."&amp;$B$134&amp;$H$82&amp;"C"&amp;$A151)="N/A",0,RTD("tos.rtd",,P$43,"."&amp;$B$134&amp;$H$82&amp;"C"&amp;$A151))</f>
        <v>40</v>
      </c>
      <c r="Q151" s="3">
        <f>-IF(RTD("tos.rtd",,Q$43,"."&amp;$B$134&amp;$H$82&amp;"P"&amp;$A151)="N/A",0,RTD("tos.rtd",,Q$43,"."&amp;$B$134&amp;$H$82&amp;"P"&amp;$A151))</f>
        <v>-3</v>
      </c>
      <c r="R151" s="48">
        <f>IF(RTD("tos.rtd",,R$2,"."&amp;$C$134&amp;$J$82&amp;"C"&amp;$A151)="N/A",0,RTD("tos.rtd",,R$2,"."&amp;$C$134&amp;$J$82&amp;"C"&amp;$A151))</f>
        <v>0</v>
      </c>
      <c r="S151" s="3">
        <f>-IF(RTD("tos.rtd",,S$2,"."&amp;$C$134&amp;$J$82&amp;"P"&amp;$A151)="N/A",0,RTD("tos.rtd",,S$2,"."&amp;$C$134&amp;$J$82&amp;"P"&amp;$A151))</f>
        <v>0</v>
      </c>
      <c r="T151" s="48">
        <f>IF(RTD("tos.rtd",,T$2,"."&amp;$D$134&amp;$L$82&amp;"C"&amp;$A151)="N/A",0,RTD("tos.rtd",,T$2,"."&amp;$D$134&amp;$L$82&amp;"C"&amp;$A151))</f>
        <v>13</v>
      </c>
      <c r="U151" s="3">
        <f>-IF(RTD("tos.rtd",,U$2,"."&amp;$D$134&amp;$L$82&amp;"P"&amp;$A151)="N/A",0,RTD("tos.rtd",,U$2,"."&amp;$D$134&amp;$L$82&amp;"P"&amp;$A151))</f>
        <v>-2</v>
      </c>
      <c r="V151" s="3">
        <f ca="1">+Hoja2!Y152</f>
        <v>41</v>
      </c>
      <c r="W151" s="3">
        <f t="shared" ca="1" si="56"/>
        <v>89</v>
      </c>
    </row>
    <row r="152" spans="1:23" ht="11.1" customHeight="1" thickBot="1" x14ac:dyDescent="0.25">
      <c r="A152" s="2">
        <f t="shared" si="57"/>
        <v>25225</v>
      </c>
      <c r="B152" s="3">
        <f t="shared" si="52"/>
        <v>0</v>
      </c>
      <c r="C152" s="3">
        <f t="shared" si="53"/>
        <v>0</v>
      </c>
      <c r="D152" s="3">
        <f t="shared" si="54"/>
        <v>17</v>
      </c>
      <c r="E152" s="3">
        <f t="shared" si="61"/>
        <v>17</v>
      </c>
      <c r="F152" s="4">
        <f t="shared" si="62"/>
        <v>25393.042466646191</v>
      </c>
      <c r="H152" s="48">
        <f>IF(RTD("tos.rtd",,H$83,"."&amp;$B$134&amp;$H$82&amp;"C"&amp;$A152)="N/A",0,RTD("tos.rtd",,H$83,"."&amp;$B$134&amp;$H$82&amp;"C"&amp;$A152))</f>
        <v>0</v>
      </c>
      <c r="I152" s="3">
        <f>-IF(RTD("tos.rtd",,I$83,"."&amp;$B$134&amp;$H$82&amp;"P"&amp;$A152)="N/A",0,RTD("tos.rtd",,I$83,"."&amp;$B$134&amp;$H$82&amp;"P"&amp;$A152))</f>
        <v>0</v>
      </c>
      <c r="J152" s="48">
        <f>IF(RTD("tos.rtd",,J$2,"."&amp;$C$134&amp;$J$134&amp;"C"&amp;$A152)="N/A",0,RTD("tos.rtd",,J$2,"."&amp;$C$134&amp;$J$134&amp;"C"&amp;$A152))</f>
        <v>5</v>
      </c>
      <c r="K152" s="3">
        <f>-IF(RTD("tos.rtd",,K$2,"."&amp;$C$134&amp;$J$134&amp;"P"&amp;$A152)="N/A",0,RTD("tos.rtd",,K$2,"."&amp;$C$134&amp;$J$134&amp;"P"&amp;$A152))</f>
        <v>-5</v>
      </c>
      <c r="L152" s="48">
        <f>IF(RTD("tos.rtd",,L$2,"."&amp;$D$134&amp;$L$134&amp;"C"&amp;$A152)="N/A",0,RTD("tos.rtd",,L$2,"."&amp;$D$134&amp;$L$134&amp;"C"&amp;$A152))</f>
        <v>55</v>
      </c>
      <c r="M152" s="3">
        <f>-IF(RTD("tos.rtd",,M$2,"."&amp;$D$134&amp;$L$134&amp;"P"&amp;$A152)="N/A",0,RTD("tos.rtd",,M$2,"."&amp;$D$134&amp;$L$134&amp;"P"&amp;$A152))</f>
        <v>-38</v>
      </c>
      <c r="N152" s="3">
        <f t="shared" si="63"/>
        <v>17</v>
      </c>
      <c r="O152" s="7">
        <f t="shared" si="55"/>
        <v>25225</v>
      </c>
      <c r="P152" s="48">
        <f>IF(RTD("tos.rtd",,P$43,"."&amp;$B$134&amp;$H$82&amp;"C"&amp;$A152)="N/A",0,RTD("tos.rtd",,P$43,"."&amp;$B$134&amp;$H$82&amp;"C"&amp;$A152))</f>
        <v>0</v>
      </c>
      <c r="Q152" s="3">
        <f>-IF(RTD("tos.rtd",,Q$43,"."&amp;$B$134&amp;$H$82&amp;"P"&amp;$A152)="N/A",0,RTD("tos.rtd",,Q$43,"."&amp;$B$134&amp;$H$82&amp;"P"&amp;$A152))</f>
        <v>0</v>
      </c>
      <c r="R152" s="48">
        <f>IF(RTD("tos.rtd",,R$2,"."&amp;$C$134&amp;$J$82&amp;"C"&amp;$A152)="N/A",0,RTD("tos.rtd",,R$2,"."&amp;$C$134&amp;$J$82&amp;"C"&amp;$A152))</f>
        <v>18</v>
      </c>
      <c r="S152" s="3">
        <f>-IF(RTD("tos.rtd",,S$2,"."&amp;$C$134&amp;$J$82&amp;"P"&amp;$A152)="N/A",0,RTD("tos.rtd",,S$2,"."&amp;$C$134&amp;$J$82&amp;"P"&amp;$A152))</f>
        <v>-4</v>
      </c>
      <c r="T152" s="48">
        <f>IF(RTD("tos.rtd",,T$2,"."&amp;$D$134&amp;$L$82&amp;"C"&amp;$A152)="N/A",0,RTD("tos.rtd",,T$2,"."&amp;$D$134&amp;$L$82&amp;"C"&amp;$A152))</f>
        <v>22</v>
      </c>
      <c r="U152" s="3">
        <f>-IF(RTD("tos.rtd",,U$2,"."&amp;$D$134&amp;$L$82&amp;"P"&amp;$A152)="N/A",0,RTD("tos.rtd",,U$2,"."&amp;$D$134&amp;$L$82&amp;"P"&amp;$A152))</f>
        <v>-1</v>
      </c>
      <c r="V152" s="3">
        <f ca="1">+Hoja2!Y153</f>
        <v>0</v>
      </c>
      <c r="W152" s="3">
        <f t="shared" ca="1" si="56"/>
        <v>35</v>
      </c>
    </row>
    <row r="153" spans="1:23" ht="11.1" customHeight="1" thickBot="1" x14ac:dyDescent="0.25">
      <c r="A153" s="2">
        <f t="shared" si="57"/>
        <v>25200</v>
      </c>
      <c r="B153" s="3">
        <f t="shared" si="52"/>
        <v>26</v>
      </c>
      <c r="C153" s="3">
        <f t="shared" si="53"/>
        <v>-7</v>
      </c>
      <c r="D153" s="3">
        <f t="shared" si="54"/>
        <v>235</v>
      </c>
      <c r="E153" s="3">
        <f t="shared" si="61"/>
        <v>254</v>
      </c>
      <c r="F153" s="4">
        <f t="shared" si="62"/>
        <v>25367.875923071715</v>
      </c>
      <c r="H153" s="48">
        <f>IF(RTD("tos.rtd",,H$83,"."&amp;$B$134&amp;$H$82&amp;"C"&amp;$A153)="N/A",0,RTD("tos.rtd",,H$83,"."&amp;$B$134&amp;$H$82&amp;"C"&amp;$A153))</f>
        <v>37</v>
      </c>
      <c r="I153" s="3">
        <f>-IF(RTD("tos.rtd",,I$83,"."&amp;$B$134&amp;$H$82&amp;"P"&amp;$A153)="N/A",0,RTD("tos.rtd",,I$83,"."&amp;$B$134&amp;$H$82&amp;"P"&amp;$A153))</f>
        <v>-11</v>
      </c>
      <c r="J153" s="48">
        <f>IF(RTD("tos.rtd",,J$2,"."&amp;$C$134&amp;$J$134&amp;"C"&amp;$A153)="N/A",0,RTD("tos.rtd",,J$2,"."&amp;$C$134&amp;$J$134&amp;"C"&amp;$A153))</f>
        <v>6</v>
      </c>
      <c r="K153" s="3">
        <f>-IF(RTD("tos.rtd",,K$2,"."&amp;$C$134&amp;$J$134&amp;"P"&amp;$A153)="N/A",0,RTD("tos.rtd",,K$2,"."&amp;$C$134&amp;$J$134&amp;"P"&amp;$A153))</f>
        <v>-13</v>
      </c>
      <c r="L153" s="48">
        <f>IF(RTD("tos.rtd",,L$2,"."&amp;$D$134&amp;$L$134&amp;"C"&amp;$A153)="N/A",0,RTD("tos.rtd",,L$2,"."&amp;$D$134&amp;$L$134&amp;"C"&amp;$A153))</f>
        <v>244</v>
      </c>
      <c r="M153" s="3">
        <f>-IF(RTD("tos.rtd",,M$2,"."&amp;$D$134&amp;$L$134&amp;"P"&amp;$A153)="N/A",0,RTD("tos.rtd",,M$2,"."&amp;$D$134&amp;$L$134&amp;"P"&amp;$A153))</f>
        <v>-9</v>
      </c>
      <c r="N153" s="3">
        <f t="shared" si="63"/>
        <v>254</v>
      </c>
      <c r="O153" s="7">
        <f t="shared" si="55"/>
        <v>25200</v>
      </c>
      <c r="P153" s="48">
        <f>IF(RTD("tos.rtd",,P$43,"."&amp;$B$134&amp;$H$82&amp;"C"&amp;$A153)="N/A",0,RTD("tos.rtd",,P$43,"."&amp;$B$134&amp;$H$82&amp;"C"&amp;$A153))</f>
        <v>214</v>
      </c>
      <c r="Q153" s="3">
        <f>-IF(RTD("tos.rtd",,Q$43,"."&amp;$B$134&amp;$H$82&amp;"P"&amp;$A153)="N/A",0,RTD("tos.rtd",,Q$43,"."&amp;$B$134&amp;$H$82&amp;"P"&amp;$A153))</f>
        <v>-24</v>
      </c>
      <c r="R153" s="48">
        <f>IF(RTD("tos.rtd",,R$2,"."&amp;$C$134&amp;$J$82&amp;"C"&amp;$A153)="N/A",0,RTD("tos.rtd",,R$2,"."&amp;$C$134&amp;$J$82&amp;"C"&amp;$A153))</f>
        <v>19</v>
      </c>
      <c r="S153" s="3">
        <f>-IF(RTD("tos.rtd",,S$2,"."&amp;$C$134&amp;$J$82&amp;"P"&amp;$A153)="N/A",0,RTD("tos.rtd",,S$2,"."&amp;$C$134&amp;$J$82&amp;"P"&amp;$A153))</f>
        <v>-44</v>
      </c>
      <c r="T153" s="48">
        <f>IF(RTD("tos.rtd",,T$2,"."&amp;$D$134&amp;$L$82&amp;"C"&amp;$A153)="N/A",0,RTD("tos.rtd",,T$2,"."&amp;$D$134&amp;$L$82&amp;"C"&amp;$A153))</f>
        <v>8</v>
      </c>
      <c r="U153" s="3">
        <f>-IF(RTD("tos.rtd",,U$2,"."&amp;$D$134&amp;$L$82&amp;"P"&amp;$A153)="N/A",0,RTD("tos.rtd",,U$2,"."&amp;$D$134&amp;$L$82&amp;"P"&amp;$A153))</f>
        <v>-4</v>
      </c>
      <c r="V153" s="3">
        <f ca="1">+Hoja2!Y154</f>
        <v>215</v>
      </c>
      <c r="W153" s="3">
        <f t="shared" ca="1" si="56"/>
        <v>384</v>
      </c>
    </row>
    <row r="154" spans="1:23" ht="11.1" customHeight="1" thickBot="1" x14ac:dyDescent="0.25">
      <c r="A154" s="2">
        <f t="shared" si="57"/>
        <v>25175</v>
      </c>
      <c r="B154" s="3">
        <f t="shared" si="52"/>
        <v>0</v>
      </c>
      <c r="C154" s="3">
        <f t="shared" si="53"/>
        <v>-5</v>
      </c>
      <c r="D154" s="3">
        <f t="shared" si="54"/>
        <v>8</v>
      </c>
      <c r="E154" s="3">
        <f t="shared" si="61"/>
        <v>3</v>
      </c>
      <c r="F154" s="4">
        <f t="shared" ref="F154:F189" si="64">+$F$136/$A$136*A154</f>
        <v>25342.709379497239</v>
      </c>
      <c r="H154" s="48">
        <f>IF(RTD("tos.rtd",,H$83,"."&amp;$B$134&amp;$H$82&amp;"C"&amp;$A154)="N/A",0,RTD("tos.rtd",,H$83,"."&amp;$B$134&amp;$H$82&amp;"C"&amp;$A154))</f>
        <v>0</v>
      </c>
      <c r="I154" s="3">
        <f>-IF(RTD("tos.rtd",,I$83,"."&amp;$B$134&amp;$H$82&amp;"P"&amp;$A154)="N/A",0,RTD("tos.rtd",,I$83,"."&amp;$B$134&amp;$H$82&amp;"P"&amp;$A154))</f>
        <v>0</v>
      </c>
      <c r="J154" s="48">
        <f>IF(RTD("tos.rtd",,J$2,"."&amp;$C$134&amp;$J$134&amp;"C"&amp;$A154)="N/A",0,RTD("tos.rtd",,J$2,"."&amp;$C$134&amp;$J$134&amp;"C"&amp;$A154))</f>
        <v>0</v>
      </c>
      <c r="K154" s="3">
        <f>-IF(RTD("tos.rtd",,K$2,"."&amp;$C$134&amp;$J$134&amp;"P"&amp;$A154)="N/A",0,RTD("tos.rtd",,K$2,"."&amp;$C$134&amp;$J$134&amp;"P"&amp;$A154))</f>
        <v>-5</v>
      </c>
      <c r="L154" s="48">
        <f>IF(RTD("tos.rtd",,L$2,"."&amp;$D$134&amp;$L$134&amp;"C"&amp;$A154)="N/A",0,RTD("tos.rtd",,L$2,"."&amp;$D$134&amp;$L$134&amp;"C"&amp;$A154))</f>
        <v>17</v>
      </c>
      <c r="M154" s="3">
        <f>-IF(RTD("tos.rtd",,M$2,"."&amp;$D$134&amp;$L$134&amp;"P"&amp;$A154)="N/A",0,RTD("tos.rtd",,M$2,"."&amp;$D$134&amp;$L$134&amp;"P"&amp;$A154))</f>
        <v>-9</v>
      </c>
      <c r="N154" s="3">
        <f t="shared" ref="N154:N189" si="65">SUM(H154:M154)</f>
        <v>3</v>
      </c>
      <c r="O154" s="7">
        <f t="shared" si="55"/>
        <v>25175</v>
      </c>
      <c r="P154" s="48">
        <f>IF(RTD("tos.rtd",,P$43,"."&amp;$B$134&amp;$H$82&amp;"C"&amp;$A154)="N/A",0,RTD("tos.rtd",,P$43,"."&amp;$B$134&amp;$H$82&amp;"C"&amp;$A154))</f>
        <v>0</v>
      </c>
      <c r="Q154" s="3">
        <f>-IF(RTD("tos.rtd",,Q$43,"."&amp;$B$134&amp;$H$82&amp;"P"&amp;$A154)="N/A",0,RTD("tos.rtd",,Q$43,"."&amp;$B$134&amp;$H$82&amp;"P"&amp;$A154))</f>
        <v>0</v>
      </c>
      <c r="R154" s="48">
        <f>IF(RTD("tos.rtd",,R$2,"."&amp;$C$134&amp;$J$82&amp;"C"&amp;$A154)="N/A",0,RTD("tos.rtd",,R$2,"."&amp;$C$134&amp;$J$82&amp;"C"&amp;$A154))</f>
        <v>10</v>
      </c>
      <c r="S154" s="3">
        <f>-IF(RTD("tos.rtd",,S$2,"."&amp;$C$134&amp;$J$82&amp;"P"&amp;$A154)="N/A",0,RTD("tos.rtd",,S$2,"."&amp;$C$134&amp;$J$82&amp;"P"&amp;$A154))</f>
        <v>-40</v>
      </c>
      <c r="T154" s="48">
        <f>IF(RTD("tos.rtd",,T$2,"."&amp;$D$134&amp;$L$82&amp;"C"&amp;$A154)="N/A",0,RTD("tos.rtd",,T$2,"."&amp;$D$134&amp;$L$82&amp;"C"&amp;$A154))</f>
        <v>3</v>
      </c>
      <c r="U154" s="3">
        <f>-IF(RTD("tos.rtd",,U$2,"."&amp;$D$134&amp;$L$82&amp;"P"&amp;$A154)="N/A",0,RTD("tos.rtd",,U$2,"."&amp;$D$134&amp;$L$82&amp;"P"&amp;$A154))</f>
        <v>-1</v>
      </c>
      <c r="V154" s="3">
        <f ca="1">+Hoja2!Y155</f>
        <v>4</v>
      </c>
      <c r="W154" s="3">
        <f t="shared" ca="1" si="56"/>
        <v>-24</v>
      </c>
    </row>
    <row r="155" spans="1:23" ht="11.1" customHeight="1" thickBot="1" x14ac:dyDescent="0.25">
      <c r="A155" s="2">
        <f t="shared" si="57"/>
        <v>25150</v>
      </c>
      <c r="B155" s="3">
        <f t="shared" si="52"/>
        <v>-11</v>
      </c>
      <c r="C155" s="3">
        <f t="shared" si="53"/>
        <v>-12</v>
      </c>
      <c r="D155" s="3">
        <f t="shared" si="54"/>
        <v>2</v>
      </c>
      <c r="E155" s="3">
        <f t="shared" si="61"/>
        <v>-21</v>
      </c>
      <c r="F155" s="4">
        <f t="shared" si="64"/>
        <v>25317.542835922763</v>
      </c>
      <c r="H155" s="48">
        <f>IF(RTD("tos.rtd",,H$83,"."&amp;$B$134&amp;$H$82&amp;"C"&amp;$A155)="N/A",0,RTD("tos.rtd",,H$83,"."&amp;$B$134&amp;$H$82&amp;"C"&amp;$A155))</f>
        <v>0</v>
      </c>
      <c r="I155" s="3">
        <f>-IF(RTD("tos.rtd",,I$83,"."&amp;$B$134&amp;$H$82&amp;"P"&amp;$A155)="N/A",0,RTD("tos.rtd",,I$83,"."&amp;$B$134&amp;$H$82&amp;"P"&amp;$A155))</f>
        <v>-11</v>
      </c>
      <c r="J155" s="48">
        <f>IF(RTD("tos.rtd",,J$2,"."&amp;$C$134&amp;$J$134&amp;"C"&amp;$A155)="N/A",0,RTD("tos.rtd",,J$2,"."&amp;$C$134&amp;$J$134&amp;"C"&amp;$A155))</f>
        <v>5</v>
      </c>
      <c r="K155" s="3">
        <f>-IF(RTD("tos.rtd",,K$2,"."&amp;$C$134&amp;$J$134&amp;"P"&amp;$A155)="N/A",0,RTD("tos.rtd",,K$2,"."&amp;$C$134&amp;$J$134&amp;"P"&amp;$A155))</f>
        <v>-17</v>
      </c>
      <c r="L155" s="48">
        <f>IF(RTD("tos.rtd",,L$2,"."&amp;$D$134&amp;$L$134&amp;"C"&amp;$A155)="N/A",0,RTD("tos.rtd",,L$2,"."&amp;$D$134&amp;$L$134&amp;"C"&amp;$A155))</f>
        <v>13</v>
      </c>
      <c r="M155" s="3">
        <f>-IF(RTD("tos.rtd",,M$2,"."&amp;$D$134&amp;$L$134&amp;"P"&amp;$A155)="N/A",0,RTD("tos.rtd",,M$2,"."&amp;$D$134&amp;$L$134&amp;"P"&amp;$A155))</f>
        <v>-11</v>
      </c>
      <c r="N155" s="3">
        <f t="shared" si="65"/>
        <v>-21</v>
      </c>
      <c r="O155" s="7">
        <f t="shared" si="55"/>
        <v>25150</v>
      </c>
      <c r="P155" s="48">
        <f>IF(RTD("tos.rtd",,P$43,"."&amp;$B$134&amp;$H$82&amp;"C"&amp;$A155)="N/A",0,RTD("tos.rtd",,P$43,"."&amp;$B$134&amp;$H$82&amp;"C"&amp;$A155))</f>
        <v>74</v>
      </c>
      <c r="Q155" s="3">
        <f>-IF(RTD("tos.rtd",,Q$43,"."&amp;$B$134&amp;$H$82&amp;"P"&amp;$A155)="N/A",0,RTD("tos.rtd",,Q$43,"."&amp;$B$134&amp;$H$82&amp;"P"&amp;$A155))</f>
        <v>-6</v>
      </c>
      <c r="R155" s="48">
        <f>IF(RTD("tos.rtd",,R$2,"."&amp;$C$134&amp;$J$82&amp;"C"&amp;$A155)="N/A",0,RTD("tos.rtd",,R$2,"."&amp;$C$134&amp;$J$82&amp;"C"&amp;$A155))</f>
        <v>4</v>
      </c>
      <c r="S155" s="3">
        <f>-IF(RTD("tos.rtd",,S$2,"."&amp;$C$134&amp;$J$82&amp;"P"&amp;$A155)="N/A",0,RTD("tos.rtd",,S$2,"."&amp;$C$134&amp;$J$82&amp;"P"&amp;$A155))</f>
        <v>-10</v>
      </c>
      <c r="T155" s="48">
        <f>IF(RTD("tos.rtd",,T$2,"."&amp;$D$134&amp;$L$82&amp;"C"&amp;$A155)="N/A",0,RTD("tos.rtd",,T$2,"."&amp;$D$134&amp;$L$82&amp;"C"&amp;$A155))</f>
        <v>6</v>
      </c>
      <c r="U155" s="3">
        <f>-IF(RTD("tos.rtd",,U$2,"."&amp;$D$134&amp;$L$82&amp;"P"&amp;$A155)="N/A",0,RTD("tos.rtd",,U$2,"."&amp;$D$134&amp;$L$82&amp;"P"&amp;$A155))</f>
        <v>-3</v>
      </c>
      <c r="V155" s="3">
        <f ca="1">+Hoja2!Y156</f>
        <v>66</v>
      </c>
      <c r="W155" s="3">
        <f t="shared" ca="1" si="56"/>
        <v>131</v>
      </c>
    </row>
    <row r="156" spans="1:23" ht="11.1" customHeight="1" thickBot="1" x14ac:dyDescent="0.25">
      <c r="A156" s="2">
        <f t="shared" si="57"/>
        <v>25125</v>
      </c>
      <c r="B156" s="3">
        <f t="shared" si="52"/>
        <v>0</v>
      </c>
      <c r="C156" s="3">
        <f t="shared" si="53"/>
        <v>-1</v>
      </c>
      <c r="D156" s="3">
        <f t="shared" si="54"/>
        <v>-7</v>
      </c>
      <c r="E156" s="3">
        <f t="shared" si="61"/>
        <v>-8</v>
      </c>
      <c r="F156" s="4">
        <f t="shared" si="64"/>
        <v>25292.376292348286</v>
      </c>
      <c r="H156" s="48">
        <f>IF(RTD("tos.rtd",,H$83,"."&amp;$B$134&amp;$H$82&amp;"C"&amp;$A156)="N/A",0,RTD("tos.rtd",,H$83,"."&amp;$B$134&amp;$H$82&amp;"C"&amp;$A156))</f>
        <v>0</v>
      </c>
      <c r="I156" s="3">
        <f>-IF(RTD("tos.rtd",,I$83,"."&amp;$B$134&amp;$H$82&amp;"P"&amp;$A156)="N/A",0,RTD("tos.rtd",,I$83,"."&amp;$B$134&amp;$H$82&amp;"P"&amp;$A156))</f>
        <v>0</v>
      </c>
      <c r="J156" s="48">
        <f>IF(RTD("tos.rtd",,J$2,"."&amp;$C$134&amp;$J$134&amp;"C"&amp;$A156)="N/A",0,RTD("tos.rtd",,J$2,"."&amp;$C$134&amp;$J$134&amp;"C"&amp;$A156))</f>
        <v>3</v>
      </c>
      <c r="K156" s="3">
        <f>-IF(RTD("tos.rtd",,K$2,"."&amp;$C$134&amp;$J$134&amp;"P"&amp;$A156)="N/A",0,RTD("tos.rtd",,K$2,"."&amp;$C$134&amp;$J$134&amp;"P"&amp;$A156))</f>
        <v>-4</v>
      </c>
      <c r="L156" s="48">
        <f>IF(RTD("tos.rtd",,L$2,"."&amp;$D$134&amp;$L$134&amp;"C"&amp;$A156)="N/A",0,RTD("tos.rtd",,L$2,"."&amp;$D$134&amp;$L$134&amp;"C"&amp;$A156))</f>
        <v>8</v>
      </c>
      <c r="M156" s="3">
        <f>-IF(RTD("tos.rtd",,M$2,"."&amp;$D$134&amp;$L$134&amp;"P"&amp;$A156)="N/A",0,RTD("tos.rtd",,M$2,"."&amp;$D$134&amp;$L$134&amp;"P"&amp;$A156))</f>
        <v>-15</v>
      </c>
      <c r="N156" s="3">
        <f t="shared" si="65"/>
        <v>-8</v>
      </c>
      <c r="O156" s="7">
        <f t="shared" si="55"/>
        <v>25125</v>
      </c>
      <c r="P156" s="48">
        <f>IF(RTD("tos.rtd",,P$43,"."&amp;$B$134&amp;$H$82&amp;"C"&amp;$A156)="N/A",0,RTD("tos.rtd",,P$43,"."&amp;$B$134&amp;$H$82&amp;"C"&amp;$A156))</f>
        <v>0</v>
      </c>
      <c r="Q156" s="3">
        <f>-IF(RTD("tos.rtd",,Q$43,"."&amp;$B$134&amp;$H$82&amp;"P"&amp;$A156)="N/A",0,RTD("tos.rtd",,Q$43,"."&amp;$B$134&amp;$H$82&amp;"P"&amp;$A156))</f>
        <v>0</v>
      </c>
      <c r="R156" s="48">
        <f>IF(RTD("tos.rtd",,R$2,"."&amp;$C$134&amp;$J$82&amp;"C"&amp;$A156)="N/A",0,RTD("tos.rtd",,R$2,"."&amp;$C$134&amp;$J$82&amp;"C"&amp;$A156))</f>
        <v>37</v>
      </c>
      <c r="S156" s="3">
        <f>-IF(RTD("tos.rtd",,S$2,"."&amp;$C$134&amp;$J$82&amp;"P"&amp;$A156)="N/A",0,RTD("tos.rtd",,S$2,"."&amp;$C$134&amp;$J$82&amp;"P"&amp;$A156))</f>
        <v>-10</v>
      </c>
      <c r="T156" s="48">
        <f>IF(RTD("tos.rtd",,T$2,"."&amp;$D$134&amp;$L$82&amp;"C"&amp;$A156)="N/A",0,RTD("tos.rtd",,T$2,"."&amp;$D$134&amp;$L$82&amp;"C"&amp;$A156))</f>
        <v>13</v>
      </c>
      <c r="U156" s="3">
        <f>-IF(RTD("tos.rtd",,U$2,"."&amp;$D$134&amp;$L$82&amp;"P"&amp;$A156)="N/A",0,RTD("tos.rtd",,U$2,"."&amp;$D$134&amp;$L$82&amp;"P"&amp;$A156))</f>
        <v>-2</v>
      </c>
      <c r="V156" s="3">
        <f ca="1">+Hoja2!Y157</f>
        <v>1</v>
      </c>
      <c r="W156" s="3">
        <f t="shared" ca="1" si="56"/>
        <v>39</v>
      </c>
    </row>
    <row r="157" spans="1:23" ht="11.1" customHeight="1" thickBot="1" x14ac:dyDescent="0.25">
      <c r="A157" s="2">
        <f t="shared" si="57"/>
        <v>25100</v>
      </c>
      <c r="B157" s="3">
        <f t="shared" si="52"/>
        <v>-45</v>
      </c>
      <c r="C157" s="3">
        <f t="shared" si="53"/>
        <v>-35</v>
      </c>
      <c r="D157" s="3">
        <f t="shared" si="54"/>
        <v>2</v>
      </c>
      <c r="E157" s="3">
        <f t="shared" si="61"/>
        <v>-78</v>
      </c>
      <c r="F157" s="4">
        <f t="shared" si="64"/>
        <v>25267.20974877381</v>
      </c>
      <c r="H157" s="48">
        <f>IF(RTD("tos.rtd",,H$83,"."&amp;$B$134&amp;$H$82&amp;"C"&amp;$A157)="N/A",0,RTD("tos.rtd",,H$83,"."&amp;$B$134&amp;$H$82&amp;"C"&amp;$A157))</f>
        <v>2</v>
      </c>
      <c r="I157" s="3">
        <f>-IF(RTD("tos.rtd",,I$83,"."&amp;$B$134&amp;$H$82&amp;"P"&amp;$A157)="N/A",0,RTD("tos.rtd",,I$83,"."&amp;$B$134&amp;$H$82&amp;"P"&amp;$A157))</f>
        <v>-47</v>
      </c>
      <c r="J157" s="48">
        <f>IF(RTD("tos.rtd",,J$2,"."&amp;$C$134&amp;$J$134&amp;"C"&amp;$A157)="N/A",0,RTD("tos.rtd",,J$2,"."&amp;$C$134&amp;$J$134&amp;"C"&amp;$A157))</f>
        <v>4</v>
      </c>
      <c r="K157" s="3">
        <f>-IF(RTD("tos.rtd",,K$2,"."&amp;$C$134&amp;$J$134&amp;"P"&amp;$A157)="N/A",0,RTD("tos.rtd",,K$2,"."&amp;$C$134&amp;$J$134&amp;"P"&amp;$A157))</f>
        <v>-39</v>
      </c>
      <c r="L157" s="48">
        <f>IF(RTD("tos.rtd",,L$2,"."&amp;$D$134&amp;$L$134&amp;"C"&amp;$A157)="N/A",0,RTD("tos.rtd",,L$2,"."&amp;$D$134&amp;$L$134&amp;"C"&amp;$A157))</f>
        <v>17</v>
      </c>
      <c r="M157" s="3">
        <f>-IF(RTD("tos.rtd",,M$2,"."&amp;$D$134&amp;$L$134&amp;"P"&amp;$A157)="N/A",0,RTD("tos.rtd",,M$2,"."&amp;$D$134&amp;$L$134&amp;"P"&amp;$A157))</f>
        <v>-15</v>
      </c>
      <c r="N157" s="3">
        <f t="shared" si="65"/>
        <v>-78</v>
      </c>
      <c r="O157" s="7">
        <f t="shared" si="55"/>
        <v>25100</v>
      </c>
      <c r="P157" s="48">
        <f>IF(RTD("tos.rtd",,P$43,"."&amp;$B$134&amp;$H$82&amp;"C"&amp;$A157)="N/A",0,RTD("tos.rtd",,P$43,"."&amp;$B$134&amp;$H$82&amp;"C"&amp;$A157))</f>
        <v>126</v>
      </c>
      <c r="Q157" s="3">
        <f>-IF(RTD("tos.rtd",,Q$43,"."&amp;$B$134&amp;$H$82&amp;"P"&amp;$A157)="N/A",0,RTD("tos.rtd",,Q$43,"."&amp;$B$134&amp;$H$82&amp;"P"&amp;$A157))</f>
        <v>-14</v>
      </c>
      <c r="R157" s="48">
        <f>IF(RTD("tos.rtd",,R$2,"."&amp;$C$134&amp;$J$82&amp;"C"&amp;$A157)="N/A",0,RTD("tos.rtd",,R$2,"."&amp;$C$134&amp;$J$82&amp;"C"&amp;$A157))</f>
        <v>24</v>
      </c>
      <c r="S157" s="3">
        <f>-IF(RTD("tos.rtd",,S$2,"."&amp;$C$134&amp;$J$82&amp;"P"&amp;$A157)="N/A",0,RTD("tos.rtd",,S$2,"."&amp;$C$134&amp;$J$82&amp;"P"&amp;$A157))</f>
        <v>-7</v>
      </c>
      <c r="T157" s="48">
        <f>IF(RTD("tos.rtd",,T$2,"."&amp;$D$134&amp;$L$82&amp;"C"&amp;$A157)="N/A",0,RTD("tos.rtd",,T$2,"."&amp;$D$134&amp;$L$82&amp;"C"&amp;$A157))</f>
        <v>23</v>
      </c>
      <c r="U157" s="3">
        <f>-IF(RTD("tos.rtd",,U$2,"."&amp;$D$134&amp;$L$82&amp;"P"&amp;$A157)="N/A",0,RTD("tos.rtd",,U$2,"."&amp;$D$134&amp;$L$82&amp;"P"&amp;$A157))</f>
        <v>-2</v>
      </c>
      <c r="V157" s="3">
        <f ca="1">+Hoja2!Y158</f>
        <v>159</v>
      </c>
      <c r="W157" s="3">
        <f t="shared" ca="1" si="56"/>
        <v>309</v>
      </c>
    </row>
    <row r="158" spans="1:23" ht="11.1" customHeight="1" thickBot="1" x14ac:dyDescent="0.25">
      <c r="A158" s="2">
        <f t="shared" si="57"/>
        <v>25075</v>
      </c>
      <c r="B158" s="3">
        <f t="shared" si="52"/>
        <v>0</v>
      </c>
      <c r="C158" s="3">
        <f t="shared" si="53"/>
        <v>-4</v>
      </c>
      <c r="D158" s="3">
        <f t="shared" si="54"/>
        <v>-2</v>
      </c>
      <c r="E158" s="3">
        <f t="shared" si="61"/>
        <v>-6</v>
      </c>
      <c r="F158" s="4">
        <f t="shared" si="64"/>
        <v>25242.043205199338</v>
      </c>
      <c r="H158" s="48">
        <f>IF(RTD("tos.rtd",,H$83,"."&amp;$B$134&amp;$H$82&amp;"C"&amp;$A158)="N/A",0,RTD("tos.rtd",,H$83,"."&amp;$B$134&amp;$H$82&amp;"C"&amp;$A158))</f>
        <v>0</v>
      </c>
      <c r="I158" s="3">
        <f>-IF(RTD("tos.rtd",,I$83,"."&amp;$B$134&amp;$H$82&amp;"P"&amp;$A158)="N/A",0,RTD("tos.rtd",,I$83,"."&amp;$B$134&amp;$H$82&amp;"P"&amp;$A158))</f>
        <v>0</v>
      </c>
      <c r="J158" s="48">
        <f>IF(RTD("tos.rtd",,J$2,"."&amp;$C$134&amp;$J$134&amp;"C"&amp;$A158)="N/A",0,RTD("tos.rtd",,J$2,"."&amp;$C$134&amp;$J$134&amp;"C"&amp;$A158))</f>
        <v>1</v>
      </c>
      <c r="K158" s="3">
        <f>-IF(RTD("tos.rtd",,K$2,"."&amp;$C$134&amp;$J$134&amp;"P"&amp;$A158)="N/A",0,RTD("tos.rtd",,K$2,"."&amp;$C$134&amp;$J$134&amp;"P"&amp;$A158))</f>
        <v>-5</v>
      </c>
      <c r="L158" s="48">
        <f>IF(RTD("tos.rtd",,L$2,"."&amp;$D$134&amp;$L$134&amp;"C"&amp;$A158)="N/A",0,RTD("tos.rtd",,L$2,"."&amp;$D$134&amp;$L$134&amp;"C"&amp;$A158))</f>
        <v>8</v>
      </c>
      <c r="M158" s="3">
        <f>-IF(RTD("tos.rtd",,M$2,"."&amp;$D$134&amp;$L$134&amp;"P"&amp;$A158)="N/A",0,RTD("tos.rtd",,M$2,"."&amp;$D$134&amp;$L$134&amp;"P"&amp;$A158))</f>
        <v>-10</v>
      </c>
      <c r="N158" s="3">
        <f t="shared" si="65"/>
        <v>-6</v>
      </c>
      <c r="O158" s="7">
        <f t="shared" si="55"/>
        <v>25075</v>
      </c>
      <c r="P158" s="48">
        <f>IF(RTD("tos.rtd",,P$43,"."&amp;$B$134&amp;$H$82&amp;"C"&amp;$A158)="N/A",0,RTD("tos.rtd",,P$43,"."&amp;$B$134&amp;$H$82&amp;"C"&amp;$A158))</f>
        <v>0</v>
      </c>
      <c r="Q158" s="3">
        <f>-IF(RTD("tos.rtd",,Q$43,"."&amp;$B$134&amp;$H$82&amp;"P"&amp;$A158)="N/A",0,RTD("tos.rtd",,Q$43,"."&amp;$B$134&amp;$H$82&amp;"P"&amp;$A158))</f>
        <v>0</v>
      </c>
      <c r="R158" s="48">
        <f>IF(RTD("tos.rtd",,R$2,"."&amp;$C$134&amp;$J$82&amp;"C"&amp;$A158)="N/A",0,RTD("tos.rtd",,R$2,"."&amp;$C$134&amp;$J$82&amp;"C"&amp;$A158))</f>
        <v>0</v>
      </c>
      <c r="S158" s="3">
        <f>-IF(RTD("tos.rtd",,S$2,"."&amp;$C$134&amp;$J$82&amp;"P"&amp;$A158)="N/A",0,RTD("tos.rtd",,S$2,"."&amp;$C$134&amp;$J$82&amp;"P"&amp;$A158))</f>
        <v>0</v>
      </c>
      <c r="T158" s="48">
        <f>IF(RTD("tos.rtd",,T$2,"."&amp;$D$134&amp;$L$82&amp;"C"&amp;$A158)="N/A",0,RTD("tos.rtd",,T$2,"."&amp;$D$134&amp;$L$82&amp;"C"&amp;$A158))</f>
        <v>4</v>
      </c>
      <c r="U158" s="3">
        <f>-IF(RTD("tos.rtd",,U$2,"."&amp;$D$134&amp;$L$82&amp;"P"&amp;$A158)="N/A",0,RTD("tos.rtd",,U$2,"."&amp;$D$134&amp;$L$82&amp;"P"&amp;$A158))</f>
        <v>0</v>
      </c>
      <c r="V158" s="3">
        <f ca="1">+Hoja2!Y159</f>
        <v>-1</v>
      </c>
      <c r="W158" s="3">
        <f t="shared" ca="1" si="56"/>
        <v>3</v>
      </c>
    </row>
    <row r="159" spans="1:23" ht="11.1" customHeight="1" thickBot="1" x14ac:dyDescent="0.25">
      <c r="A159" s="2">
        <f t="shared" si="57"/>
        <v>25050</v>
      </c>
      <c r="B159" s="3">
        <f t="shared" si="52"/>
        <v>-6</v>
      </c>
      <c r="C159" s="3">
        <f t="shared" si="53"/>
        <v>-16</v>
      </c>
      <c r="D159" s="3">
        <f t="shared" si="54"/>
        <v>12</v>
      </c>
      <c r="E159" s="3">
        <f t="shared" si="61"/>
        <v>-10</v>
      </c>
      <c r="F159" s="4">
        <f t="shared" si="64"/>
        <v>25216.876661624861</v>
      </c>
      <c r="H159" s="48">
        <f>IF(RTD("tos.rtd",,H$83,"."&amp;$B$134&amp;$H$82&amp;"C"&amp;$A159)="N/A",0,RTD("tos.rtd",,H$83,"."&amp;$B$134&amp;$H$82&amp;"C"&amp;$A159))</f>
        <v>0</v>
      </c>
      <c r="I159" s="3">
        <f>-IF(RTD("tos.rtd",,I$83,"."&amp;$B$134&amp;$H$82&amp;"P"&amp;$A159)="N/A",0,RTD("tos.rtd",,I$83,"."&amp;$B$134&amp;$H$82&amp;"P"&amp;$A159))</f>
        <v>-6</v>
      </c>
      <c r="J159" s="48">
        <f>IF(RTD("tos.rtd",,J$2,"."&amp;$C$134&amp;$J$134&amp;"C"&amp;$A159)="N/A",0,RTD("tos.rtd",,J$2,"."&amp;$C$134&amp;$J$134&amp;"C"&amp;$A159))</f>
        <v>3</v>
      </c>
      <c r="K159" s="3">
        <f>-IF(RTD("tos.rtd",,K$2,"."&amp;$C$134&amp;$J$134&amp;"P"&amp;$A159)="N/A",0,RTD("tos.rtd",,K$2,"."&amp;$C$134&amp;$J$134&amp;"P"&amp;$A159))</f>
        <v>-19</v>
      </c>
      <c r="L159" s="48">
        <f>IF(RTD("tos.rtd",,L$2,"."&amp;$D$134&amp;$L$134&amp;"C"&amp;$A159)="N/A",0,RTD("tos.rtd",,L$2,"."&amp;$D$134&amp;$L$134&amp;"C"&amp;$A159))</f>
        <v>27</v>
      </c>
      <c r="M159" s="3">
        <f>-IF(RTD("tos.rtd",,M$2,"."&amp;$D$134&amp;$L$134&amp;"P"&amp;$A159)="N/A",0,RTD("tos.rtd",,M$2,"."&amp;$D$134&amp;$L$134&amp;"P"&amp;$A159))</f>
        <v>-15</v>
      </c>
      <c r="N159" s="3">
        <f t="shared" si="65"/>
        <v>-10</v>
      </c>
      <c r="O159" s="7">
        <f t="shared" si="55"/>
        <v>25050</v>
      </c>
      <c r="P159" s="48">
        <f>IF(RTD("tos.rtd",,P$43,"."&amp;$B$134&amp;$H$82&amp;"C"&amp;$A159)="N/A",0,RTD("tos.rtd",,P$43,"."&amp;$B$134&amp;$H$82&amp;"C"&amp;$A159))</f>
        <v>86</v>
      </c>
      <c r="Q159" s="3">
        <f>-IF(RTD("tos.rtd",,Q$43,"."&amp;$B$134&amp;$H$82&amp;"P"&amp;$A159)="N/A",0,RTD("tos.rtd",,Q$43,"."&amp;$B$134&amp;$H$82&amp;"P"&amp;$A159))</f>
        <v>-15</v>
      </c>
      <c r="R159" s="48">
        <f>IF(RTD("tos.rtd",,R$2,"."&amp;$C$134&amp;$J$82&amp;"C"&amp;$A159)="N/A",0,RTD("tos.rtd",,R$2,"."&amp;$C$134&amp;$J$82&amp;"C"&amp;$A159))</f>
        <v>51</v>
      </c>
      <c r="S159" s="3">
        <f>-IF(RTD("tos.rtd",,S$2,"."&amp;$C$134&amp;$J$82&amp;"P"&amp;$A159)="N/A",0,RTD("tos.rtd",,S$2,"."&amp;$C$134&amp;$J$82&amp;"P"&amp;$A159))</f>
        <v>0</v>
      </c>
      <c r="T159" s="48">
        <f>IF(RTD("tos.rtd",,T$2,"."&amp;$D$134&amp;$L$82&amp;"C"&amp;$A159)="N/A",0,RTD("tos.rtd",,T$2,"."&amp;$D$134&amp;$L$82&amp;"C"&amp;$A159))</f>
        <v>3</v>
      </c>
      <c r="U159" s="3">
        <f>-IF(RTD("tos.rtd",,U$2,"."&amp;$D$134&amp;$L$82&amp;"P"&amp;$A159)="N/A",0,RTD("tos.rtd",,U$2,"."&amp;$D$134&amp;$L$82&amp;"P"&amp;$A159))</f>
        <v>0</v>
      </c>
      <c r="V159" s="3">
        <f ca="1">+Hoja2!Y160</f>
        <v>78</v>
      </c>
      <c r="W159" s="3">
        <f t="shared" ca="1" si="56"/>
        <v>203</v>
      </c>
    </row>
    <row r="160" spans="1:23" ht="11.1" customHeight="1" thickBot="1" x14ac:dyDescent="0.25">
      <c r="A160" s="2">
        <f t="shared" si="57"/>
        <v>25025</v>
      </c>
      <c r="B160" s="3">
        <f t="shared" si="52"/>
        <v>0</v>
      </c>
      <c r="C160" s="3">
        <f t="shared" si="53"/>
        <v>4</v>
      </c>
      <c r="D160" s="3">
        <f t="shared" si="54"/>
        <v>5</v>
      </c>
      <c r="E160" s="3">
        <f t="shared" si="61"/>
        <v>9</v>
      </c>
      <c r="F160" s="4">
        <f t="shared" si="64"/>
        <v>25191.710118050385</v>
      </c>
      <c r="H160" s="48">
        <f>IF(RTD("tos.rtd",,H$83,"."&amp;$B$134&amp;$H$82&amp;"C"&amp;$A160)="N/A",0,RTD("tos.rtd",,H$83,"."&amp;$B$134&amp;$H$82&amp;"C"&amp;$A160))</f>
        <v>0</v>
      </c>
      <c r="I160" s="3">
        <f>-IF(RTD("tos.rtd",,I$83,"."&amp;$B$134&amp;$H$82&amp;"P"&amp;$A160)="N/A",0,RTD("tos.rtd",,I$83,"."&amp;$B$134&amp;$H$82&amp;"P"&amp;$A160))</f>
        <v>0</v>
      </c>
      <c r="J160" s="48">
        <f>IF(RTD("tos.rtd",,J$2,"."&amp;$C$134&amp;$J$134&amp;"C"&amp;$A160)="N/A",0,RTD("tos.rtd",,J$2,"."&amp;$C$134&amp;$J$134&amp;"C"&amp;$A160))</f>
        <v>8</v>
      </c>
      <c r="K160" s="3">
        <f>-IF(RTD("tos.rtd",,K$2,"."&amp;$C$134&amp;$J$134&amp;"P"&amp;$A160)="N/A",0,RTD("tos.rtd",,K$2,"."&amp;$C$134&amp;$J$134&amp;"P"&amp;$A160))</f>
        <v>-4</v>
      </c>
      <c r="L160" s="48">
        <f>IF(RTD("tos.rtd",,L$2,"."&amp;$D$134&amp;$L$134&amp;"C"&amp;$A160)="N/A",0,RTD("tos.rtd",,L$2,"."&amp;$D$134&amp;$L$134&amp;"C"&amp;$A160))</f>
        <v>12</v>
      </c>
      <c r="M160" s="3">
        <f>-IF(RTD("tos.rtd",,M$2,"."&amp;$D$134&amp;$L$134&amp;"P"&amp;$A160)="N/A",0,RTD("tos.rtd",,M$2,"."&amp;$D$134&amp;$L$134&amp;"P"&amp;$A160))</f>
        <v>-7</v>
      </c>
      <c r="N160" s="3">
        <f t="shared" si="65"/>
        <v>9</v>
      </c>
      <c r="O160" s="7">
        <f t="shared" si="55"/>
        <v>25025</v>
      </c>
      <c r="P160" s="48">
        <f>IF(RTD("tos.rtd",,P$43,"."&amp;$B$134&amp;$H$82&amp;"C"&amp;$A160)="N/A",0,RTD("tos.rtd",,P$43,"."&amp;$B$134&amp;$H$82&amp;"C"&amp;$A160))</f>
        <v>0</v>
      </c>
      <c r="Q160" s="3">
        <f>-IF(RTD("tos.rtd",,Q$43,"."&amp;$B$134&amp;$H$82&amp;"P"&amp;$A160)="N/A",0,RTD("tos.rtd",,Q$43,"."&amp;$B$134&amp;$H$82&amp;"P"&amp;$A160))</f>
        <v>0</v>
      </c>
      <c r="R160" s="48">
        <f>IF(RTD("tos.rtd",,R$2,"."&amp;$C$134&amp;$J$82&amp;"C"&amp;$A160)="N/A",0,RTD("tos.rtd",,R$2,"."&amp;$C$134&amp;$J$82&amp;"C"&amp;$A160))</f>
        <v>1</v>
      </c>
      <c r="S160" s="3">
        <f>-IF(RTD("tos.rtd",,S$2,"."&amp;$C$134&amp;$J$82&amp;"P"&amp;$A160)="N/A",0,RTD("tos.rtd",,S$2,"."&amp;$C$134&amp;$J$82&amp;"P"&amp;$A160))</f>
        <v>-3</v>
      </c>
      <c r="T160" s="48">
        <f>IF(RTD("tos.rtd",,T$2,"."&amp;$D$134&amp;$L$82&amp;"C"&amp;$A160)="N/A",0,RTD("tos.rtd",,T$2,"."&amp;$D$134&amp;$L$82&amp;"C"&amp;$A160))</f>
        <v>7</v>
      </c>
      <c r="U160" s="3">
        <f>-IF(RTD("tos.rtd",,U$2,"."&amp;$D$134&amp;$L$82&amp;"P"&amp;$A160)="N/A",0,RTD("tos.rtd",,U$2,"."&amp;$D$134&amp;$L$82&amp;"P"&amp;$A160))</f>
        <v>0</v>
      </c>
      <c r="V160" s="3">
        <f ca="1">+Hoja2!Y161</f>
        <v>2</v>
      </c>
      <c r="W160" s="3">
        <f t="shared" ca="1" si="56"/>
        <v>7</v>
      </c>
    </row>
    <row r="161" spans="1:23" ht="11.1" customHeight="1" thickBot="1" x14ac:dyDescent="0.25">
      <c r="A161" s="2">
        <f t="shared" si="57"/>
        <v>25000</v>
      </c>
      <c r="B161" s="3">
        <f t="shared" si="52"/>
        <v>-218</v>
      </c>
      <c r="C161" s="3">
        <f t="shared" si="53"/>
        <v>-41</v>
      </c>
      <c r="D161" s="3">
        <f t="shared" si="54"/>
        <v>22</v>
      </c>
      <c r="E161" s="3">
        <f t="shared" si="61"/>
        <v>-237</v>
      </c>
      <c r="F161" s="4">
        <f t="shared" si="64"/>
        <v>25166.543574475909</v>
      </c>
      <c r="H161" s="48">
        <f>IF(RTD("tos.rtd",,H$83,"."&amp;$B$134&amp;$H$82&amp;"C"&amp;$A161)="N/A",0,RTD("tos.rtd",,H$83,"."&amp;$B$134&amp;$H$82&amp;"C"&amp;$A161))</f>
        <v>2</v>
      </c>
      <c r="I161" s="3">
        <f>-IF(RTD("tos.rtd",,I$83,"."&amp;$B$134&amp;$H$82&amp;"P"&amp;$A161)="N/A",0,RTD("tos.rtd",,I$83,"."&amp;$B$134&amp;$H$82&amp;"P"&amp;$A161))</f>
        <v>-220</v>
      </c>
      <c r="J161" s="48">
        <f>IF(RTD("tos.rtd",,J$2,"."&amp;$C$134&amp;$J$134&amp;"C"&amp;$A161)="N/A",0,RTD("tos.rtd",,J$2,"."&amp;$C$134&amp;$J$134&amp;"C"&amp;$A161))</f>
        <v>82</v>
      </c>
      <c r="K161" s="3">
        <f>-IF(RTD("tos.rtd",,K$2,"."&amp;$C$134&amp;$J$134&amp;"P"&amp;$A161)="N/A",0,RTD("tos.rtd",,K$2,"."&amp;$C$134&amp;$J$134&amp;"P"&amp;$A161))</f>
        <v>-123</v>
      </c>
      <c r="L161" s="48">
        <f>IF(RTD("tos.rtd",,L$2,"."&amp;$D$134&amp;$L$134&amp;"C"&amp;$A161)="N/A",0,RTD("tos.rtd",,L$2,"."&amp;$D$134&amp;$L$134&amp;"C"&amp;$A161))</f>
        <v>139</v>
      </c>
      <c r="M161" s="3">
        <f>-IF(RTD("tos.rtd",,M$2,"."&amp;$D$134&amp;$L$134&amp;"P"&amp;$A161)="N/A",0,RTD("tos.rtd",,M$2,"."&amp;$D$134&amp;$L$134&amp;"P"&amp;$A161))</f>
        <v>-117</v>
      </c>
      <c r="N161" s="3">
        <f t="shared" si="65"/>
        <v>-237</v>
      </c>
      <c r="O161" s="7">
        <f t="shared" si="55"/>
        <v>25000</v>
      </c>
      <c r="P161" s="48">
        <f>IF(RTD("tos.rtd",,P$43,"."&amp;$B$134&amp;$H$82&amp;"C"&amp;$A161)="N/A",0,RTD("tos.rtd",,P$43,"."&amp;$B$134&amp;$H$82&amp;"C"&amp;$A161))</f>
        <v>232</v>
      </c>
      <c r="Q161" s="3">
        <f>-IF(RTD("tos.rtd",,Q$43,"."&amp;$B$134&amp;$H$82&amp;"P"&amp;$A161)="N/A",0,RTD("tos.rtd",,Q$43,"."&amp;$B$134&amp;$H$82&amp;"P"&amp;$A161))</f>
        <v>-380</v>
      </c>
      <c r="R161" s="48">
        <f>IF(RTD("tos.rtd",,R$2,"."&amp;$C$134&amp;$J$82&amp;"C"&amp;$A161)="N/A",0,RTD("tos.rtd",,R$2,"."&amp;$C$134&amp;$J$82&amp;"C"&amp;$A161))</f>
        <v>15</v>
      </c>
      <c r="S161" s="3">
        <f>-IF(RTD("tos.rtd",,S$2,"."&amp;$C$134&amp;$J$82&amp;"P"&amp;$A161)="N/A",0,RTD("tos.rtd",,S$2,"."&amp;$C$134&amp;$J$82&amp;"P"&amp;$A161))</f>
        <v>-39</v>
      </c>
      <c r="T161" s="48">
        <f>IF(RTD("tos.rtd",,T$2,"."&amp;$D$134&amp;$L$82&amp;"C"&amp;$A161)="N/A",0,RTD("tos.rtd",,T$2,"."&amp;$D$134&amp;$L$82&amp;"C"&amp;$A161))</f>
        <v>1</v>
      </c>
      <c r="U161" s="3">
        <f>-IF(RTD("tos.rtd",,U$2,"."&amp;$D$134&amp;$L$82&amp;"P"&amp;$A161)="N/A",0,RTD("tos.rtd",,U$2,"."&amp;$D$134&amp;$L$82&amp;"P"&amp;$A161))</f>
        <v>-46</v>
      </c>
      <c r="V161" s="3">
        <f ca="1">+Hoja2!Y162</f>
        <v>317</v>
      </c>
      <c r="W161" s="3">
        <f t="shared" ca="1" si="56"/>
        <v>100</v>
      </c>
    </row>
    <row r="162" spans="1:23" ht="11.1" customHeight="1" thickBot="1" x14ac:dyDescent="0.25">
      <c r="A162" s="2">
        <f t="shared" si="57"/>
        <v>24975</v>
      </c>
      <c r="B162" s="3">
        <f t="shared" si="52"/>
        <v>0</v>
      </c>
      <c r="C162" s="3">
        <f t="shared" si="53"/>
        <v>2</v>
      </c>
      <c r="D162" s="3">
        <f t="shared" si="54"/>
        <v>-6</v>
      </c>
      <c r="E162" s="3">
        <f t="shared" si="61"/>
        <v>-4</v>
      </c>
      <c r="F162" s="4">
        <f t="shared" si="64"/>
        <v>25141.377030901433</v>
      </c>
      <c r="H162" s="48">
        <f>IF(RTD("tos.rtd",,H$83,"."&amp;$B$134&amp;$H$82&amp;"C"&amp;$A162)="N/A",0,RTD("tos.rtd",,H$83,"."&amp;$B$134&amp;$H$82&amp;"C"&amp;$A162))</f>
        <v>0</v>
      </c>
      <c r="I162" s="3">
        <f>-IF(RTD("tos.rtd",,I$83,"."&amp;$B$134&amp;$H$82&amp;"P"&amp;$A162)="N/A",0,RTD("tos.rtd",,I$83,"."&amp;$B$134&amp;$H$82&amp;"P"&amp;$A162))</f>
        <v>0</v>
      </c>
      <c r="J162" s="48">
        <f>IF(RTD("tos.rtd",,J$2,"."&amp;$C$134&amp;$J$134&amp;"C"&amp;$A162)="N/A",0,RTD("tos.rtd",,J$2,"."&amp;$C$134&amp;$J$134&amp;"C"&amp;$A162))</f>
        <v>4</v>
      </c>
      <c r="K162" s="3">
        <f>-IF(RTD("tos.rtd",,K$2,"."&amp;$C$134&amp;$J$134&amp;"P"&amp;$A162)="N/A",0,RTD("tos.rtd",,K$2,"."&amp;$C$134&amp;$J$134&amp;"P"&amp;$A162))</f>
        <v>-2</v>
      </c>
      <c r="L162" s="48">
        <f>IF(RTD("tos.rtd",,L$2,"."&amp;$D$134&amp;$L$134&amp;"C"&amp;$A162)="N/A",0,RTD("tos.rtd",,L$2,"."&amp;$D$134&amp;$L$134&amp;"C"&amp;$A162))</f>
        <v>5</v>
      </c>
      <c r="M162" s="3">
        <f>-IF(RTD("tos.rtd",,M$2,"."&amp;$D$134&amp;$L$134&amp;"P"&amp;$A162)="N/A",0,RTD("tos.rtd",,M$2,"."&amp;$D$134&amp;$L$134&amp;"P"&amp;$A162))</f>
        <v>-11</v>
      </c>
      <c r="N162" s="3">
        <f t="shared" si="65"/>
        <v>-4</v>
      </c>
      <c r="O162" s="7">
        <f t="shared" si="55"/>
        <v>24975</v>
      </c>
      <c r="P162" s="48">
        <f>IF(RTD("tos.rtd",,P$43,"."&amp;$B$134&amp;$H$82&amp;"C"&amp;$A162)="N/A",0,RTD("tos.rtd",,P$43,"."&amp;$B$134&amp;$H$82&amp;"C"&amp;$A162))</f>
        <v>0</v>
      </c>
      <c r="Q162" s="3">
        <f>-IF(RTD("tos.rtd",,Q$43,"."&amp;$B$134&amp;$H$82&amp;"P"&amp;$A162)="N/A",0,RTD("tos.rtd",,Q$43,"."&amp;$B$134&amp;$H$82&amp;"P"&amp;$A162))</f>
        <v>0</v>
      </c>
      <c r="R162" s="48">
        <f>IF(RTD("tos.rtd",,R$2,"."&amp;$C$134&amp;$J$82&amp;"C"&amp;$A162)="N/A",0,RTD("tos.rtd",,R$2,"."&amp;$C$134&amp;$J$82&amp;"C"&amp;$A162))</f>
        <v>7</v>
      </c>
      <c r="S162" s="3">
        <f>-IF(RTD("tos.rtd",,S$2,"."&amp;$C$134&amp;$J$82&amp;"P"&amp;$A162)="N/A",0,RTD("tos.rtd",,S$2,"."&amp;$C$134&amp;$J$82&amp;"P"&amp;$A162))</f>
        <v>-23</v>
      </c>
      <c r="T162" s="48">
        <f>IF(RTD("tos.rtd",,T$2,"."&amp;$D$134&amp;$L$82&amp;"C"&amp;$A162)="N/A",0,RTD("tos.rtd",,T$2,"."&amp;$D$134&amp;$L$82&amp;"C"&amp;$A162))</f>
        <v>2</v>
      </c>
      <c r="U162" s="3">
        <f>-IF(RTD("tos.rtd",,U$2,"."&amp;$D$134&amp;$L$82&amp;"P"&amp;$A162)="N/A",0,RTD("tos.rtd",,U$2,"."&amp;$D$134&amp;$L$82&amp;"P"&amp;$A162))</f>
        <v>-2</v>
      </c>
      <c r="V162" s="3">
        <f ca="1">+Hoja2!Y163</f>
        <v>-1</v>
      </c>
      <c r="W162" s="3">
        <f t="shared" ca="1" si="56"/>
        <v>-17</v>
      </c>
    </row>
    <row r="163" spans="1:23" ht="11.1" customHeight="1" thickBot="1" x14ac:dyDescent="0.25">
      <c r="A163" s="2">
        <f t="shared" si="57"/>
        <v>24950</v>
      </c>
      <c r="B163" s="8">
        <f t="shared" si="52"/>
        <v>-7</v>
      </c>
      <c r="C163" s="8">
        <f t="shared" si="53"/>
        <v>-9</v>
      </c>
      <c r="D163" s="8">
        <f t="shared" si="54"/>
        <v>-18</v>
      </c>
      <c r="E163" s="8">
        <f t="shared" si="61"/>
        <v>-34</v>
      </c>
      <c r="F163" s="9">
        <f t="shared" si="64"/>
        <v>25116.210487326956</v>
      </c>
      <c r="G163" s="10"/>
      <c r="H163" s="48">
        <f>IF(RTD("tos.rtd",,H$83,"."&amp;$B$134&amp;$H$82&amp;"C"&amp;$A163)="N/A",0,RTD("tos.rtd",,H$83,"."&amp;$B$134&amp;$H$82&amp;"C"&amp;$A163))</f>
        <v>0</v>
      </c>
      <c r="I163" s="3">
        <f>-IF(RTD("tos.rtd",,I$83,"."&amp;$B$134&amp;$H$82&amp;"P"&amp;$A163)="N/A",0,RTD("tos.rtd",,I$83,"."&amp;$B$134&amp;$H$82&amp;"P"&amp;$A163))</f>
        <v>-7</v>
      </c>
      <c r="J163" s="48">
        <f>IF(RTD("tos.rtd",,J$2,"."&amp;$C$134&amp;$J$134&amp;"C"&amp;$A163)="N/A",0,RTD("tos.rtd",,J$2,"."&amp;$C$134&amp;$J$134&amp;"C"&amp;$A163))</f>
        <v>2</v>
      </c>
      <c r="K163" s="3">
        <f>-IF(RTD("tos.rtd",,K$2,"."&amp;$C$134&amp;$J$134&amp;"P"&amp;$A163)="N/A",0,RTD("tos.rtd",,K$2,"."&amp;$C$134&amp;$J$134&amp;"P"&amp;$A163))</f>
        <v>-11</v>
      </c>
      <c r="L163" s="48">
        <f>IF(RTD("tos.rtd",,L$2,"."&amp;$D$134&amp;$L$134&amp;"C"&amp;$A163)="N/A",0,RTD("tos.rtd",,L$2,"."&amp;$D$134&amp;$L$134&amp;"C"&amp;$A163))</f>
        <v>35</v>
      </c>
      <c r="M163" s="3">
        <f>-IF(RTD("tos.rtd",,M$2,"."&amp;$D$134&amp;$L$134&amp;"P"&amp;$A163)="N/A",0,RTD("tos.rtd",,M$2,"."&amp;$D$134&amp;$L$134&amp;"P"&amp;$A163))</f>
        <v>-53</v>
      </c>
      <c r="N163" s="8">
        <f t="shared" si="65"/>
        <v>-34</v>
      </c>
      <c r="O163" s="7">
        <f t="shared" si="55"/>
        <v>24950</v>
      </c>
      <c r="P163" s="48">
        <f>IF(RTD("tos.rtd",,P$43,"."&amp;$B$134&amp;$H$82&amp;"C"&amp;$A163)="N/A",0,RTD("tos.rtd",,P$43,"."&amp;$B$134&amp;$H$82&amp;"C"&amp;$A163))</f>
        <v>37</v>
      </c>
      <c r="Q163" s="3">
        <f>-IF(RTD("tos.rtd",,Q$43,"."&amp;$B$134&amp;$H$82&amp;"P"&amp;$A163)="N/A",0,RTD("tos.rtd",,Q$43,"."&amp;$B$134&amp;$H$82&amp;"P"&amp;$A163))</f>
        <v>-38</v>
      </c>
      <c r="R163" s="48">
        <f>IF(RTD("tos.rtd",,R$2,"."&amp;$C$134&amp;$J$82&amp;"C"&amp;$A163)="N/A",0,RTD("tos.rtd",,R$2,"."&amp;$C$134&amp;$J$82&amp;"C"&amp;$A163))</f>
        <v>8</v>
      </c>
      <c r="S163" s="3">
        <f>-IF(RTD("tos.rtd",,S$2,"."&amp;$C$134&amp;$J$82&amp;"P"&amp;$A163)="N/A",0,RTD("tos.rtd",,S$2,"."&amp;$C$134&amp;$J$82&amp;"P"&amp;$A163))</f>
        <v>-36</v>
      </c>
      <c r="T163" s="48">
        <f>IF(RTD("tos.rtd",,T$2,"."&amp;$D$134&amp;$L$82&amp;"C"&amp;$A163)="N/A",0,RTD("tos.rtd",,T$2,"."&amp;$D$134&amp;$L$82&amp;"C"&amp;$A163))</f>
        <v>5</v>
      </c>
      <c r="U163" s="3">
        <f>-IF(RTD("tos.rtd",,U$2,"."&amp;$D$134&amp;$L$82&amp;"P"&amp;$A163)="N/A",0,RTD("tos.rtd",,U$2,"."&amp;$D$134&amp;$L$82&amp;"P"&amp;$A163))</f>
        <v>-25</v>
      </c>
      <c r="V163" s="8">
        <f ca="1">+Hoja2!Y164</f>
        <v>0</v>
      </c>
      <c r="W163" s="8">
        <f t="shared" ca="1" si="56"/>
        <v>-49</v>
      </c>
    </row>
    <row r="164" spans="1:23" ht="11.1" customHeight="1" thickBot="1" x14ac:dyDescent="0.25">
      <c r="A164" s="2">
        <f t="shared" si="57"/>
        <v>24925</v>
      </c>
      <c r="B164" s="3">
        <f t="shared" si="52"/>
        <v>0</v>
      </c>
      <c r="C164" s="3">
        <f t="shared" si="53"/>
        <v>-3</v>
      </c>
      <c r="D164" s="3">
        <f t="shared" si="54"/>
        <v>2</v>
      </c>
      <c r="E164" s="3">
        <f t="shared" si="61"/>
        <v>-1</v>
      </c>
      <c r="F164" s="12">
        <f t="shared" si="64"/>
        <v>25091.04394375248</v>
      </c>
      <c r="H164" s="48">
        <f>IF(RTD("tos.rtd",,H$83,"."&amp;$B$134&amp;$H$82&amp;"C"&amp;$A164)="N/A",0,RTD("tos.rtd",,H$83,"."&amp;$B$134&amp;$H$82&amp;"C"&amp;$A164))</f>
        <v>0</v>
      </c>
      <c r="I164" s="3">
        <f>-IF(RTD("tos.rtd",,I$83,"."&amp;$B$134&amp;$H$82&amp;"P"&amp;$A164)="N/A",0,RTD("tos.rtd",,I$83,"."&amp;$B$134&amp;$H$82&amp;"P"&amp;$A164))</f>
        <v>0</v>
      </c>
      <c r="J164" s="48">
        <f>IF(RTD("tos.rtd",,J$2,"."&amp;$C$134&amp;$J$134&amp;"C"&amp;$A164)="N/A",0,RTD("tos.rtd",,J$2,"."&amp;$C$134&amp;$J$134&amp;"C"&amp;$A164))</f>
        <v>0</v>
      </c>
      <c r="K164" s="3">
        <f>-IF(RTD("tos.rtd",,K$2,"."&amp;$C$134&amp;$J$134&amp;"P"&amp;$A164)="N/A",0,RTD("tos.rtd",,K$2,"."&amp;$C$134&amp;$J$134&amp;"P"&amp;$A164))</f>
        <v>-3</v>
      </c>
      <c r="L164" s="48">
        <f>IF(RTD("tos.rtd",,L$2,"."&amp;$D$134&amp;$L$134&amp;"C"&amp;$A164)="N/A",0,RTD("tos.rtd",,L$2,"."&amp;$D$134&amp;$L$134&amp;"C"&amp;$A164))</f>
        <v>5</v>
      </c>
      <c r="M164" s="3">
        <f>-IF(RTD("tos.rtd",,M$2,"."&amp;$D$134&amp;$L$134&amp;"P"&amp;$A164)="N/A",0,RTD("tos.rtd",,M$2,"."&amp;$D$134&amp;$L$134&amp;"P"&amp;$A164))</f>
        <v>-3</v>
      </c>
      <c r="N164" s="3">
        <f t="shared" si="65"/>
        <v>-1</v>
      </c>
      <c r="O164" s="7">
        <f t="shared" si="55"/>
        <v>24925</v>
      </c>
      <c r="P164" s="48">
        <f>IF(RTD("tos.rtd",,P$43,"."&amp;$B$134&amp;$H$82&amp;"C"&amp;$A164)="N/A",0,RTD("tos.rtd",,P$43,"."&amp;$B$134&amp;$H$82&amp;"C"&amp;$A164))</f>
        <v>0</v>
      </c>
      <c r="Q164" s="3">
        <f>-IF(RTD("tos.rtd",,Q$43,"."&amp;$B$134&amp;$H$82&amp;"P"&amp;$A164)="N/A",0,RTD("tos.rtd",,Q$43,"."&amp;$B$134&amp;$H$82&amp;"P"&amp;$A164))</f>
        <v>0</v>
      </c>
      <c r="R164" s="48">
        <f>IF(RTD("tos.rtd",,R$2,"."&amp;$C$134&amp;$J$82&amp;"C"&amp;$A164)="N/A",0,RTD("tos.rtd",,R$2,"."&amp;$C$134&amp;$J$82&amp;"C"&amp;$A164))</f>
        <v>1</v>
      </c>
      <c r="S164" s="3">
        <f>-IF(RTD("tos.rtd",,S$2,"."&amp;$C$134&amp;$J$82&amp;"P"&amp;$A164)="N/A",0,RTD("tos.rtd",,S$2,"."&amp;$C$134&amp;$J$82&amp;"P"&amp;$A164))</f>
        <v>-27</v>
      </c>
      <c r="T164" s="48">
        <f>IF(RTD("tos.rtd",,T$2,"."&amp;$D$134&amp;$L$82&amp;"C"&amp;$A164)="N/A",0,RTD("tos.rtd",,T$2,"."&amp;$D$134&amp;$L$82&amp;"C"&amp;$A164))</f>
        <v>7</v>
      </c>
      <c r="U164" s="3">
        <f>-IF(RTD("tos.rtd",,U$2,"."&amp;$D$134&amp;$L$82&amp;"P"&amp;$A164)="N/A",0,RTD("tos.rtd",,U$2,"."&amp;$D$134&amp;$L$82&amp;"P"&amp;$A164))</f>
        <v>-1</v>
      </c>
      <c r="V164" s="3">
        <f ca="1">+Hoja2!Y165</f>
        <v>-1</v>
      </c>
      <c r="W164" s="3">
        <f t="shared" ca="1" si="56"/>
        <v>-21</v>
      </c>
    </row>
    <row r="165" spans="1:23" ht="11.1" customHeight="1" thickBot="1" x14ac:dyDescent="0.25">
      <c r="A165" s="2">
        <f t="shared" si="57"/>
        <v>24900</v>
      </c>
      <c r="B165" s="3">
        <f t="shared" si="52"/>
        <v>-43</v>
      </c>
      <c r="C165" s="3">
        <f t="shared" si="53"/>
        <v>-200</v>
      </c>
      <c r="D165" s="3">
        <f t="shared" si="54"/>
        <v>-4</v>
      </c>
      <c r="E165" s="3">
        <f t="shared" si="61"/>
        <v>-247</v>
      </c>
      <c r="F165" s="4">
        <f t="shared" si="64"/>
        <v>25065.877400178004</v>
      </c>
      <c r="H165" s="48">
        <f>IF(RTD("tos.rtd",,H$83,"."&amp;$B$134&amp;$H$82&amp;"C"&amp;$A165)="N/A",0,RTD("tos.rtd",,H$83,"."&amp;$B$134&amp;$H$82&amp;"C"&amp;$A165))</f>
        <v>3</v>
      </c>
      <c r="I165" s="3">
        <f>-IF(RTD("tos.rtd",,I$83,"."&amp;$B$134&amp;$H$82&amp;"P"&amp;$A165)="N/A",0,RTD("tos.rtd",,I$83,"."&amp;$B$134&amp;$H$82&amp;"P"&amp;$A165))</f>
        <v>-46</v>
      </c>
      <c r="J165" s="48">
        <f>IF(RTD("tos.rtd",,J$2,"."&amp;$C$134&amp;$J$134&amp;"C"&amp;$A165)="N/A",0,RTD("tos.rtd",,J$2,"."&amp;$C$134&amp;$J$134&amp;"C"&amp;$A165))</f>
        <v>8</v>
      </c>
      <c r="K165" s="3">
        <f>-IF(RTD("tos.rtd",,K$2,"."&amp;$C$134&amp;$J$134&amp;"P"&amp;$A165)="N/A",0,RTD("tos.rtd",,K$2,"."&amp;$C$134&amp;$J$134&amp;"P"&amp;$A165))</f>
        <v>-208</v>
      </c>
      <c r="L165" s="48">
        <f>IF(RTD("tos.rtd",,L$2,"."&amp;$D$134&amp;$L$134&amp;"C"&amp;$A165)="N/A",0,RTD("tos.rtd",,L$2,"."&amp;$D$134&amp;$L$134&amp;"C"&amp;$A165))</f>
        <v>29</v>
      </c>
      <c r="M165" s="3">
        <f>-IF(RTD("tos.rtd",,M$2,"."&amp;$D$134&amp;$L$134&amp;"P"&amp;$A165)="N/A",0,RTD("tos.rtd",,M$2,"."&amp;$D$134&amp;$L$134&amp;"P"&amp;$A165))</f>
        <v>-33</v>
      </c>
      <c r="N165" s="3">
        <f t="shared" si="65"/>
        <v>-247</v>
      </c>
      <c r="O165" s="7">
        <f t="shared" si="55"/>
        <v>24900</v>
      </c>
      <c r="P165" s="48">
        <f>IF(RTD("tos.rtd",,P$43,"."&amp;$B$134&amp;$H$82&amp;"C"&amp;$A165)="N/A",0,RTD("tos.rtd",,P$43,"."&amp;$B$134&amp;$H$82&amp;"C"&amp;$A165))</f>
        <v>53</v>
      </c>
      <c r="Q165" s="3">
        <f>-IF(RTD("tos.rtd",,Q$43,"."&amp;$B$134&amp;$H$82&amp;"P"&amp;$A165)="N/A",0,RTD("tos.rtd",,Q$43,"."&amp;$B$134&amp;$H$82&amp;"P"&amp;$A165))</f>
        <v>-226</v>
      </c>
      <c r="R165" s="48">
        <f>IF(RTD("tos.rtd",,R$2,"."&amp;$C$134&amp;$J$82&amp;"C"&amp;$A165)="N/A",0,RTD("tos.rtd",,R$2,"."&amp;$C$134&amp;$J$82&amp;"C"&amp;$A165))</f>
        <v>23</v>
      </c>
      <c r="S165" s="3">
        <f>-IF(RTD("tos.rtd",,S$2,"."&amp;$C$134&amp;$J$82&amp;"P"&amp;$A165)="N/A",0,RTD("tos.rtd",,S$2,"."&amp;$C$134&amp;$J$82&amp;"P"&amp;$A165))</f>
        <v>-83</v>
      </c>
      <c r="T165" s="48">
        <f>IF(RTD("tos.rtd",,T$2,"."&amp;$D$134&amp;$L$82&amp;"C"&amp;$A165)="N/A",0,RTD("tos.rtd",,T$2,"."&amp;$D$134&amp;$L$82&amp;"C"&amp;$A165))</f>
        <v>4</v>
      </c>
      <c r="U165" s="3">
        <f>-IF(RTD("tos.rtd",,U$2,"."&amp;$D$134&amp;$L$82&amp;"P"&amp;$A165)="N/A",0,RTD("tos.rtd",,U$2,"."&amp;$D$134&amp;$L$82&amp;"P"&amp;$A165))</f>
        <v>-10</v>
      </c>
      <c r="V165" s="3">
        <f ca="1">+Hoja2!Y166</f>
        <v>-208</v>
      </c>
      <c r="W165" s="3">
        <f t="shared" ca="1" si="56"/>
        <v>-447</v>
      </c>
    </row>
    <row r="166" spans="1:23" ht="11.1" customHeight="1" thickBot="1" x14ac:dyDescent="0.25">
      <c r="A166" s="2">
        <f t="shared" si="57"/>
        <v>24875</v>
      </c>
      <c r="B166" s="3">
        <f t="shared" si="52"/>
        <v>0</v>
      </c>
      <c r="C166" s="3">
        <f t="shared" si="53"/>
        <v>-5</v>
      </c>
      <c r="D166" s="3">
        <f t="shared" si="54"/>
        <v>6</v>
      </c>
      <c r="E166" s="3">
        <f t="shared" si="61"/>
        <v>1</v>
      </c>
      <c r="F166" s="4">
        <f t="shared" si="64"/>
        <v>25040.710856603528</v>
      </c>
      <c r="H166" s="48">
        <f>IF(RTD("tos.rtd",,H$83,"."&amp;$B$134&amp;$H$82&amp;"C"&amp;$A166)="N/A",0,RTD("tos.rtd",,H$83,"."&amp;$B$134&amp;$H$82&amp;"C"&amp;$A166))</f>
        <v>0</v>
      </c>
      <c r="I166" s="3">
        <f>-IF(RTD("tos.rtd",,I$83,"."&amp;$B$134&amp;$H$82&amp;"P"&amp;$A166)="N/A",0,RTD("tos.rtd",,I$83,"."&amp;$B$134&amp;$H$82&amp;"P"&amp;$A166))</f>
        <v>0</v>
      </c>
      <c r="J166" s="48">
        <f>IF(RTD("tos.rtd",,J$2,"."&amp;$C$134&amp;$J$134&amp;"C"&amp;$A166)="N/A",0,RTD("tos.rtd",,J$2,"."&amp;$C$134&amp;$J$134&amp;"C"&amp;$A166))</f>
        <v>10</v>
      </c>
      <c r="K166" s="3">
        <f>-IF(RTD("tos.rtd",,K$2,"."&amp;$C$134&amp;$J$134&amp;"P"&amp;$A166)="N/A",0,RTD("tos.rtd",,K$2,"."&amp;$C$134&amp;$J$134&amp;"P"&amp;$A166))</f>
        <v>-15</v>
      </c>
      <c r="L166" s="48">
        <f>IF(RTD("tos.rtd",,L$2,"."&amp;$D$134&amp;$L$134&amp;"C"&amp;$A166)="N/A",0,RTD("tos.rtd",,L$2,"."&amp;$D$134&amp;$L$134&amp;"C"&amp;$A166))</f>
        <v>59</v>
      </c>
      <c r="M166" s="3">
        <f>-IF(RTD("tos.rtd",,M$2,"."&amp;$D$134&amp;$L$134&amp;"P"&amp;$A166)="N/A",0,RTD("tos.rtd",,M$2,"."&amp;$D$134&amp;$L$134&amp;"P"&amp;$A166))</f>
        <v>-53</v>
      </c>
      <c r="N166" s="3">
        <f t="shared" si="65"/>
        <v>1</v>
      </c>
      <c r="O166" s="7">
        <f t="shared" si="55"/>
        <v>24875</v>
      </c>
      <c r="P166" s="48">
        <f>IF(RTD("tos.rtd",,P$43,"."&amp;$B$134&amp;$H$82&amp;"C"&amp;$A166)="N/A",0,RTD("tos.rtd",,P$43,"."&amp;$B$134&amp;$H$82&amp;"C"&amp;$A166))</f>
        <v>0</v>
      </c>
      <c r="Q166" s="3">
        <f>-IF(RTD("tos.rtd",,Q$43,"."&amp;$B$134&amp;$H$82&amp;"P"&amp;$A166)="N/A",0,RTD("tos.rtd",,Q$43,"."&amp;$B$134&amp;$H$82&amp;"P"&amp;$A166))</f>
        <v>0</v>
      </c>
      <c r="R166" s="48">
        <f>IF(RTD("tos.rtd",,R$2,"."&amp;$C$134&amp;$J$82&amp;"C"&amp;$A166)="N/A",0,RTD("tos.rtd",,R$2,"."&amp;$C$134&amp;$J$82&amp;"C"&amp;$A166))</f>
        <v>1</v>
      </c>
      <c r="S166" s="3">
        <f>-IF(RTD("tos.rtd",,S$2,"."&amp;$C$134&amp;$J$82&amp;"P"&amp;$A166)="N/A",0,RTD("tos.rtd",,S$2,"."&amp;$C$134&amp;$J$82&amp;"P"&amp;$A166))</f>
        <v>-26</v>
      </c>
      <c r="T166" s="48">
        <f>IF(RTD("tos.rtd",,T$2,"."&amp;$D$134&amp;$L$82&amp;"C"&amp;$A166)="N/A",0,RTD("tos.rtd",,T$2,"."&amp;$D$134&amp;$L$82&amp;"C"&amp;$A166))</f>
        <v>0</v>
      </c>
      <c r="U166" s="3">
        <f>-IF(RTD("tos.rtd",,U$2,"."&amp;$D$134&amp;$L$82&amp;"P"&amp;$A166)="N/A",0,RTD("tos.rtd",,U$2,"."&amp;$D$134&amp;$L$82&amp;"P"&amp;$A166))</f>
        <v>-9</v>
      </c>
      <c r="V166" s="3">
        <f ca="1">+Hoja2!Y167</f>
        <v>-1</v>
      </c>
      <c r="W166" s="3">
        <f t="shared" ca="1" si="56"/>
        <v>-35</v>
      </c>
    </row>
    <row r="167" spans="1:23" ht="11.1" customHeight="1" thickBot="1" x14ac:dyDescent="0.25">
      <c r="A167" s="2">
        <f t="shared" si="57"/>
        <v>24850</v>
      </c>
      <c r="B167" s="3">
        <f t="shared" si="52"/>
        <v>-30</v>
      </c>
      <c r="C167" s="3">
        <f t="shared" si="53"/>
        <v>-17</v>
      </c>
      <c r="D167" s="3">
        <f t="shared" si="54"/>
        <v>7</v>
      </c>
      <c r="E167" s="3">
        <f t="shared" ref="E167:E181" si="66">SUM(B167:D167)</f>
        <v>-40</v>
      </c>
      <c r="F167" s="4">
        <f t="shared" ref="F167:F181" si="67">+$F$136/$A$136*A167</f>
        <v>25015.544313029051</v>
      </c>
      <c r="H167" s="48">
        <f>IF(RTD("tos.rtd",,H$83,"."&amp;$B$134&amp;$H$82&amp;"C"&amp;$A167)="N/A",0,RTD("tos.rtd",,H$83,"."&amp;$B$134&amp;$H$82&amp;"C"&amp;$A167))</f>
        <v>0</v>
      </c>
      <c r="I167" s="3">
        <f>-IF(RTD("tos.rtd",,I$83,"."&amp;$B$134&amp;$H$82&amp;"P"&amp;$A167)="N/A",0,RTD("tos.rtd",,I$83,"."&amp;$B$134&amp;$H$82&amp;"P"&amp;$A167))</f>
        <v>-30</v>
      </c>
      <c r="J167" s="48">
        <f>IF(RTD("tos.rtd",,J$2,"."&amp;$C$134&amp;$J$134&amp;"C"&amp;$A167)="N/A",0,RTD("tos.rtd",,J$2,"."&amp;$C$134&amp;$J$134&amp;"C"&amp;$A167))</f>
        <v>11</v>
      </c>
      <c r="K167" s="3">
        <f>-IF(RTD("tos.rtd",,K$2,"."&amp;$C$134&amp;$J$134&amp;"P"&amp;$A167)="N/A",0,RTD("tos.rtd",,K$2,"."&amp;$C$134&amp;$J$134&amp;"P"&amp;$A167))</f>
        <v>-28</v>
      </c>
      <c r="L167" s="48">
        <f>IF(RTD("tos.rtd",,L$2,"."&amp;$D$134&amp;$L$134&amp;"C"&amp;$A167)="N/A",0,RTD("tos.rtd",,L$2,"."&amp;$D$134&amp;$L$134&amp;"C"&amp;$A167))</f>
        <v>17</v>
      </c>
      <c r="M167" s="3">
        <f>-IF(RTD("tos.rtd",,M$2,"."&amp;$D$134&amp;$L$134&amp;"P"&amp;$A167)="N/A",0,RTD("tos.rtd",,M$2,"."&amp;$D$134&amp;$L$134&amp;"P"&amp;$A167))</f>
        <v>-10</v>
      </c>
      <c r="N167" s="3">
        <f t="shared" ref="N167:N181" si="68">SUM(H167:M167)</f>
        <v>-40</v>
      </c>
      <c r="O167" s="7">
        <f t="shared" si="55"/>
        <v>24850</v>
      </c>
      <c r="P167" s="48">
        <f>IF(RTD("tos.rtd",,P$43,"."&amp;$B$134&amp;$H$82&amp;"C"&amp;$A167)="N/A",0,RTD("tos.rtd",,P$43,"."&amp;$B$134&amp;$H$82&amp;"C"&amp;$A167))</f>
        <v>22</v>
      </c>
      <c r="Q167" s="3">
        <f>-IF(RTD("tos.rtd",,Q$43,"."&amp;$B$134&amp;$H$82&amp;"P"&amp;$A167)="N/A",0,RTD("tos.rtd",,Q$43,"."&amp;$B$134&amp;$H$82&amp;"P"&amp;$A167))</f>
        <v>-123</v>
      </c>
      <c r="R167" s="48">
        <f>IF(RTD("tos.rtd",,R$2,"."&amp;$C$134&amp;$J$82&amp;"C"&amp;$A167)="N/A",0,RTD("tos.rtd",,R$2,"."&amp;$C$134&amp;$J$82&amp;"C"&amp;$A167))</f>
        <v>26</v>
      </c>
      <c r="S167" s="3">
        <f>-IF(RTD("tos.rtd",,S$2,"."&amp;$C$134&amp;$J$82&amp;"P"&amp;$A167)="N/A",0,RTD("tos.rtd",,S$2,"."&amp;$C$134&amp;$J$82&amp;"P"&amp;$A167))</f>
        <v>-15</v>
      </c>
      <c r="T167" s="48">
        <f>IF(RTD("tos.rtd",,T$2,"."&amp;$D$134&amp;$L$82&amp;"C"&amp;$A167)="N/A",0,RTD("tos.rtd",,T$2,"."&amp;$D$134&amp;$L$82&amp;"C"&amp;$A167))</f>
        <v>0</v>
      </c>
      <c r="U167" s="3">
        <f>-IF(RTD("tos.rtd",,U$2,"."&amp;$D$134&amp;$L$82&amp;"P"&amp;$A167)="N/A",0,RTD("tos.rtd",,U$2,"."&amp;$D$134&amp;$L$82&amp;"P"&amp;$A167))</f>
        <v>0</v>
      </c>
      <c r="V167" s="3">
        <f ca="1">+Hoja2!Y168</f>
        <v>-110</v>
      </c>
      <c r="W167" s="3">
        <f t="shared" ca="1" si="56"/>
        <v>-200</v>
      </c>
    </row>
    <row r="168" spans="1:23" ht="11.1" customHeight="1" thickBot="1" x14ac:dyDescent="0.25">
      <c r="A168" s="2">
        <f t="shared" si="57"/>
        <v>24825</v>
      </c>
      <c r="B168" s="3">
        <f t="shared" si="52"/>
        <v>0</v>
      </c>
      <c r="C168" s="3">
        <f t="shared" si="53"/>
        <v>-1</v>
      </c>
      <c r="D168" s="3">
        <f t="shared" si="54"/>
        <v>-2</v>
      </c>
      <c r="E168" s="3">
        <f t="shared" ref="E168:E175" si="69">SUM(B168:D168)</f>
        <v>-3</v>
      </c>
      <c r="F168" s="4">
        <f t="shared" ref="F168:F175" si="70">+$F$136/$A$136*A168</f>
        <v>24990.377769454575</v>
      </c>
      <c r="H168" s="48">
        <f>IF(RTD("tos.rtd",,H$83,"."&amp;$B$134&amp;$H$82&amp;"C"&amp;$A168)="N/A",0,RTD("tos.rtd",,H$83,"."&amp;$B$134&amp;$H$82&amp;"C"&amp;$A168))</f>
        <v>0</v>
      </c>
      <c r="I168" s="3">
        <f>-IF(RTD("tos.rtd",,I$83,"."&amp;$B$134&amp;$H$82&amp;"P"&amp;$A168)="N/A",0,RTD("tos.rtd",,I$83,"."&amp;$B$134&amp;$H$82&amp;"P"&amp;$A168))</f>
        <v>0</v>
      </c>
      <c r="J168" s="48">
        <f>IF(RTD("tos.rtd",,J$2,"."&amp;$C$134&amp;$J$134&amp;"C"&amp;$A168)="N/A",0,RTD("tos.rtd",,J$2,"."&amp;$C$134&amp;$J$134&amp;"C"&amp;$A168))</f>
        <v>2</v>
      </c>
      <c r="K168" s="3">
        <f>-IF(RTD("tos.rtd",,K$2,"."&amp;$C$134&amp;$J$134&amp;"P"&amp;$A168)="N/A",0,RTD("tos.rtd",,K$2,"."&amp;$C$134&amp;$J$134&amp;"P"&amp;$A168))</f>
        <v>-3</v>
      </c>
      <c r="L168" s="48">
        <f>IF(RTD("tos.rtd",,L$2,"."&amp;$D$134&amp;$L$134&amp;"C"&amp;$A168)="N/A",0,RTD("tos.rtd",,L$2,"."&amp;$D$134&amp;$L$134&amp;"C"&amp;$A168))</f>
        <v>4</v>
      </c>
      <c r="M168" s="3">
        <f>-IF(RTD("tos.rtd",,M$2,"."&amp;$D$134&amp;$L$134&amp;"P"&amp;$A168)="N/A",0,RTD("tos.rtd",,M$2,"."&amp;$D$134&amp;$L$134&amp;"P"&amp;$A168))</f>
        <v>-6</v>
      </c>
      <c r="N168" s="3">
        <f t="shared" ref="N168:N175" si="71">SUM(H168:M168)</f>
        <v>-3</v>
      </c>
      <c r="O168" s="7">
        <f t="shared" si="55"/>
        <v>24825</v>
      </c>
      <c r="P168" s="48">
        <f>IF(RTD("tos.rtd",,P$43,"."&amp;$B$134&amp;$H$82&amp;"C"&amp;$A168)="N/A",0,RTD("tos.rtd",,P$43,"."&amp;$B$134&amp;$H$82&amp;"C"&amp;$A168))</f>
        <v>0</v>
      </c>
      <c r="Q168" s="3">
        <f>-IF(RTD("tos.rtd",,Q$43,"."&amp;$B$134&amp;$H$82&amp;"P"&amp;$A168)="N/A",0,RTD("tos.rtd",,Q$43,"."&amp;$B$134&amp;$H$82&amp;"P"&amp;$A168))</f>
        <v>0</v>
      </c>
      <c r="R168" s="48">
        <f>IF(RTD("tos.rtd",,R$2,"."&amp;$C$134&amp;$J$82&amp;"C"&amp;$A168)="N/A",0,RTD("tos.rtd",,R$2,"."&amp;$C$134&amp;$J$82&amp;"C"&amp;$A168))</f>
        <v>3</v>
      </c>
      <c r="S168" s="3">
        <f>-IF(RTD("tos.rtd",,S$2,"."&amp;$C$134&amp;$J$82&amp;"P"&amp;$A168)="N/A",0,RTD("tos.rtd",,S$2,"."&amp;$C$134&amp;$J$82&amp;"P"&amp;$A168))</f>
        <v>-4</v>
      </c>
      <c r="T168" s="48">
        <f>IF(RTD("tos.rtd",,T$2,"."&amp;$D$134&amp;$L$82&amp;"C"&amp;$A168)="N/A",0,RTD("tos.rtd",,T$2,"."&amp;$D$134&amp;$L$82&amp;"C"&amp;$A168))</f>
        <v>1</v>
      </c>
      <c r="U168" s="3">
        <f>-IF(RTD("tos.rtd",,U$2,"."&amp;$D$134&amp;$L$82&amp;"P"&amp;$A168)="N/A",0,RTD("tos.rtd",,U$2,"."&amp;$D$134&amp;$L$82&amp;"P"&amp;$A168))</f>
        <v>-1</v>
      </c>
      <c r="V168" s="3">
        <f ca="1">+Hoja2!Y169</f>
        <v>-2</v>
      </c>
      <c r="W168" s="3">
        <f t="shared" ca="1" si="56"/>
        <v>-3</v>
      </c>
    </row>
    <row r="169" spans="1:23" ht="11.1" customHeight="1" thickBot="1" x14ac:dyDescent="0.25">
      <c r="A169" s="2">
        <f t="shared" si="57"/>
        <v>24800</v>
      </c>
      <c r="B169" s="3">
        <f t="shared" ref="B169:B189" si="72">+IF($A$1="ABS",H169-I169,H169+I169)</f>
        <v>-26</v>
      </c>
      <c r="C169" s="3">
        <f t="shared" ref="C169:C189" si="73">+IF($A$1="ABS",J169-K169,J169+K169)</f>
        <v>-25</v>
      </c>
      <c r="D169" s="3">
        <f t="shared" ref="D169:D189" si="74">+IF($A$1="ABS",L169-M169,L169+M169)</f>
        <v>1</v>
      </c>
      <c r="E169" s="3">
        <f t="shared" si="69"/>
        <v>-50</v>
      </c>
      <c r="F169" s="4">
        <f t="shared" si="70"/>
        <v>24965.211225880103</v>
      </c>
      <c r="H169" s="48">
        <f>IF(RTD("tos.rtd",,H$83,"."&amp;$B$134&amp;$H$82&amp;"C"&amp;$A169)="N/A",0,RTD("tos.rtd",,H$83,"."&amp;$B$134&amp;$H$82&amp;"C"&amp;$A169))</f>
        <v>5</v>
      </c>
      <c r="I169" s="3">
        <f>-IF(RTD("tos.rtd",,I$83,"."&amp;$B$134&amp;$H$82&amp;"P"&amp;$A169)="N/A",0,RTD("tos.rtd",,I$83,"."&amp;$B$134&amp;$H$82&amp;"P"&amp;$A169))</f>
        <v>-31</v>
      </c>
      <c r="J169" s="48">
        <f>IF(RTD("tos.rtd",,J$2,"."&amp;$C$134&amp;$J$134&amp;"C"&amp;$A169)="N/A",0,RTD("tos.rtd",,J$2,"."&amp;$C$134&amp;$J$134&amp;"C"&amp;$A169))</f>
        <v>3</v>
      </c>
      <c r="K169" s="3">
        <f>-IF(RTD("tos.rtd",,K$2,"."&amp;$C$134&amp;$J$134&amp;"P"&amp;$A169)="N/A",0,RTD("tos.rtd",,K$2,"."&amp;$C$134&amp;$J$134&amp;"P"&amp;$A169))</f>
        <v>-28</v>
      </c>
      <c r="L169" s="48">
        <f>IF(RTD("tos.rtd",,L$2,"."&amp;$D$134&amp;$L$134&amp;"C"&amp;$A169)="N/A",0,RTD("tos.rtd",,L$2,"."&amp;$D$134&amp;$L$134&amp;"C"&amp;$A169))</f>
        <v>91</v>
      </c>
      <c r="M169" s="3">
        <f>-IF(RTD("tos.rtd",,M$2,"."&amp;$D$134&amp;$L$134&amp;"P"&amp;$A169)="N/A",0,RTD("tos.rtd",,M$2,"."&amp;$D$134&amp;$L$134&amp;"P"&amp;$A169))</f>
        <v>-90</v>
      </c>
      <c r="N169" s="3">
        <f t="shared" si="71"/>
        <v>-50</v>
      </c>
      <c r="O169" s="7">
        <f t="shared" ref="O169:O189" si="75">+A169</f>
        <v>24800</v>
      </c>
      <c r="P169" s="48">
        <f>IF(RTD("tos.rtd",,P$43,"."&amp;$B$134&amp;$H$82&amp;"C"&amp;$A169)="N/A",0,RTD("tos.rtd",,P$43,"."&amp;$B$134&amp;$H$82&amp;"C"&amp;$A169))</f>
        <v>185</v>
      </c>
      <c r="Q169" s="3">
        <f>-IF(RTD("tos.rtd",,Q$43,"."&amp;$B$134&amp;$H$82&amp;"P"&amp;$A169)="N/A",0,RTD("tos.rtd",,Q$43,"."&amp;$B$134&amp;$H$82&amp;"P"&amp;$A169))</f>
        <v>-212</v>
      </c>
      <c r="R169" s="48">
        <f>IF(RTD("tos.rtd",,R$2,"."&amp;$C$134&amp;$J$82&amp;"C"&amp;$A169)="N/A",0,RTD("tos.rtd",,R$2,"."&amp;$C$134&amp;$J$82&amp;"C"&amp;$A169))</f>
        <v>8</v>
      </c>
      <c r="S169" s="3">
        <f>-IF(RTD("tos.rtd",,S$2,"."&amp;$C$134&amp;$J$82&amp;"P"&amp;$A169)="N/A",0,RTD("tos.rtd",,S$2,"."&amp;$C$134&amp;$J$82&amp;"P"&amp;$A169))</f>
        <v>-15</v>
      </c>
      <c r="T169" s="48">
        <f>IF(RTD("tos.rtd",,T$2,"."&amp;$D$134&amp;$L$82&amp;"C"&amp;$A169)="N/A",0,RTD("tos.rtd",,T$2,"."&amp;$D$134&amp;$L$82&amp;"C"&amp;$A169))</f>
        <v>9</v>
      </c>
      <c r="U169" s="3">
        <f>-IF(RTD("tos.rtd",,U$2,"."&amp;$D$134&amp;$L$82&amp;"P"&amp;$A169)="N/A",0,RTD("tos.rtd",,U$2,"."&amp;$D$134&amp;$L$82&amp;"P"&amp;$A169))</f>
        <v>-6</v>
      </c>
      <c r="V169" s="3">
        <f ca="1">+Hoja2!Y170</f>
        <v>-116</v>
      </c>
      <c r="W169" s="3">
        <f t="shared" ca="1" si="56"/>
        <v>-147</v>
      </c>
    </row>
    <row r="170" spans="1:23" ht="11.1" customHeight="1" thickBot="1" x14ac:dyDescent="0.25">
      <c r="A170" s="2">
        <f t="shared" si="57"/>
        <v>24775</v>
      </c>
      <c r="B170" s="3">
        <f t="shared" si="72"/>
        <v>0</v>
      </c>
      <c r="C170" s="3">
        <f t="shared" si="73"/>
        <v>-3</v>
      </c>
      <c r="D170" s="3">
        <f t="shared" si="74"/>
        <v>-2</v>
      </c>
      <c r="E170" s="3">
        <f t="shared" si="69"/>
        <v>-5</v>
      </c>
      <c r="F170" s="4">
        <f t="shared" si="70"/>
        <v>24940.044682305626</v>
      </c>
      <c r="H170" s="48">
        <f>IF(RTD("tos.rtd",,H$83,"."&amp;$B$134&amp;$H$82&amp;"C"&amp;$A170)="N/A",0,RTD("tos.rtd",,H$83,"."&amp;$B$134&amp;$H$82&amp;"C"&amp;$A170))</f>
        <v>0</v>
      </c>
      <c r="I170" s="3">
        <f>-IF(RTD("tos.rtd",,I$83,"."&amp;$B$134&amp;$H$82&amp;"P"&amp;$A170)="N/A",0,RTD("tos.rtd",,I$83,"."&amp;$B$134&amp;$H$82&amp;"P"&amp;$A170))</f>
        <v>0</v>
      </c>
      <c r="J170" s="48">
        <f>IF(RTD("tos.rtd",,J$2,"."&amp;$C$134&amp;$J$134&amp;"C"&amp;$A170)="N/A",0,RTD("tos.rtd",,J$2,"."&amp;$C$134&amp;$J$134&amp;"C"&amp;$A170))</f>
        <v>0</v>
      </c>
      <c r="K170" s="3">
        <f>-IF(RTD("tos.rtd",,K$2,"."&amp;$C$134&amp;$J$134&amp;"P"&amp;$A170)="N/A",0,RTD("tos.rtd",,K$2,"."&amp;$C$134&amp;$J$134&amp;"P"&amp;$A170))</f>
        <v>-3</v>
      </c>
      <c r="L170" s="48">
        <f>IF(RTD("tos.rtd",,L$2,"."&amp;$D$134&amp;$L$134&amp;"C"&amp;$A170)="N/A",0,RTD("tos.rtd",,L$2,"."&amp;$D$134&amp;$L$134&amp;"C"&amp;$A170))</f>
        <v>4</v>
      </c>
      <c r="M170" s="3">
        <f>-IF(RTD("tos.rtd",,M$2,"."&amp;$D$134&amp;$L$134&amp;"P"&amp;$A170)="N/A",0,RTD("tos.rtd",,M$2,"."&amp;$D$134&amp;$L$134&amp;"P"&amp;$A170))</f>
        <v>-6</v>
      </c>
      <c r="N170" s="3">
        <f t="shared" si="71"/>
        <v>-5</v>
      </c>
      <c r="O170" s="7">
        <f t="shared" si="75"/>
        <v>24775</v>
      </c>
      <c r="P170" s="48">
        <f>IF(RTD("tos.rtd",,P$43,"."&amp;$B$134&amp;$H$82&amp;"C"&amp;$A170)="N/A",0,RTD("tos.rtd",,P$43,"."&amp;$B$134&amp;$H$82&amp;"C"&amp;$A170))</f>
        <v>0</v>
      </c>
      <c r="Q170" s="3">
        <f>-IF(RTD("tos.rtd",,Q$43,"."&amp;$B$134&amp;$H$82&amp;"P"&amp;$A170)="N/A",0,RTD("tos.rtd",,Q$43,"."&amp;$B$134&amp;$H$82&amp;"P"&amp;$A170))</f>
        <v>0</v>
      </c>
      <c r="R170" s="48">
        <f>IF(RTD("tos.rtd",,R$2,"."&amp;$C$134&amp;$J$82&amp;"C"&amp;$A170)="N/A",0,RTD("tos.rtd",,R$2,"."&amp;$C$134&amp;$J$82&amp;"C"&amp;$A170))</f>
        <v>2</v>
      </c>
      <c r="S170" s="3">
        <f>-IF(RTD("tos.rtd",,S$2,"."&amp;$C$134&amp;$J$82&amp;"P"&amp;$A170)="N/A",0,RTD("tos.rtd",,S$2,"."&amp;$C$134&amp;$J$82&amp;"P"&amp;$A170))</f>
        <v>-8</v>
      </c>
      <c r="T170" s="48">
        <f>IF(RTD("tos.rtd",,T$2,"."&amp;$D$134&amp;$L$82&amp;"C"&amp;$A170)="N/A",0,RTD("tos.rtd",,T$2,"."&amp;$D$134&amp;$L$82&amp;"C"&amp;$A170))</f>
        <v>3</v>
      </c>
      <c r="U170" s="3">
        <f>-IF(RTD("tos.rtd",,U$2,"."&amp;$D$134&amp;$L$82&amp;"P"&amp;$A170)="N/A",0,RTD("tos.rtd",,U$2,"."&amp;$D$134&amp;$L$82&amp;"P"&amp;$A170))</f>
        <v>-13</v>
      </c>
      <c r="V170" s="3">
        <f ca="1">+Hoja2!Y171</f>
        <v>-2</v>
      </c>
      <c r="W170" s="3">
        <f t="shared" ca="1" si="56"/>
        <v>-18</v>
      </c>
    </row>
    <row r="171" spans="1:23" ht="11.1" customHeight="1" thickBot="1" x14ac:dyDescent="0.25">
      <c r="A171" s="2">
        <f t="shared" si="57"/>
        <v>24750</v>
      </c>
      <c r="B171" s="3">
        <f t="shared" si="72"/>
        <v>-5</v>
      </c>
      <c r="C171" s="3">
        <f t="shared" si="73"/>
        <v>-60</v>
      </c>
      <c r="D171" s="3">
        <f t="shared" si="74"/>
        <v>494</v>
      </c>
      <c r="E171" s="3">
        <f t="shared" si="69"/>
        <v>429</v>
      </c>
      <c r="F171" s="4">
        <f t="shared" si="70"/>
        <v>24914.87813873115</v>
      </c>
      <c r="H171" s="48">
        <f>IF(RTD("tos.rtd",,H$83,"."&amp;$B$134&amp;$H$82&amp;"C"&amp;$A171)="N/A",0,RTD("tos.rtd",,H$83,"."&amp;$B$134&amp;$H$82&amp;"C"&amp;$A171))</f>
        <v>0</v>
      </c>
      <c r="I171" s="3">
        <f>-IF(RTD("tos.rtd",,I$83,"."&amp;$B$134&amp;$H$82&amp;"P"&amp;$A171)="N/A",0,RTD("tos.rtd",,I$83,"."&amp;$B$134&amp;$H$82&amp;"P"&amp;$A171))</f>
        <v>-5</v>
      </c>
      <c r="J171" s="48">
        <f>IF(RTD("tos.rtd",,J$2,"."&amp;$C$134&amp;$J$134&amp;"C"&amp;$A171)="N/A",0,RTD("tos.rtd",,J$2,"."&amp;$C$134&amp;$J$134&amp;"C"&amp;$A171))</f>
        <v>2</v>
      </c>
      <c r="K171" s="3">
        <f>-IF(RTD("tos.rtd",,K$2,"."&amp;$C$134&amp;$J$134&amp;"P"&amp;$A171)="N/A",0,RTD("tos.rtd",,K$2,"."&amp;$C$134&amp;$J$134&amp;"P"&amp;$A171))</f>
        <v>-62</v>
      </c>
      <c r="L171" s="48">
        <f>IF(RTD("tos.rtd",,L$2,"."&amp;$D$134&amp;$L$134&amp;"C"&amp;$A171)="N/A",0,RTD("tos.rtd",,L$2,"."&amp;$D$134&amp;$L$134&amp;"C"&amp;$A171))</f>
        <v>574</v>
      </c>
      <c r="M171" s="3">
        <f>-IF(RTD("tos.rtd",,M$2,"."&amp;$D$134&amp;$L$134&amp;"P"&amp;$A171)="N/A",0,RTD("tos.rtd",,M$2,"."&amp;$D$134&amp;$L$134&amp;"P"&amp;$A171))</f>
        <v>-80</v>
      </c>
      <c r="N171" s="3">
        <f t="shared" si="71"/>
        <v>429</v>
      </c>
      <c r="O171" s="7">
        <f t="shared" si="75"/>
        <v>24750</v>
      </c>
      <c r="P171" s="48">
        <f>IF(RTD("tos.rtd",,P$43,"."&amp;$B$134&amp;$H$82&amp;"C"&amp;$A171)="N/A",0,RTD("tos.rtd",,P$43,"."&amp;$B$134&amp;$H$82&amp;"C"&amp;$A171))</f>
        <v>61</v>
      </c>
      <c r="Q171" s="3">
        <f>-IF(RTD("tos.rtd",,Q$43,"."&amp;$B$134&amp;$H$82&amp;"P"&amp;$A171)="N/A",0,RTD("tos.rtd",,Q$43,"."&amp;$B$134&amp;$H$82&amp;"P"&amp;$A171))</f>
        <v>-100</v>
      </c>
      <c r="R171" s="48">
        <f>IF(RTD("tos.rtd",,R$2,"."&amp;$C$134&amp;$J$82&amp;"C"&amp;$A171)="N/A",0,RTD("tos.rtd",,R$2,"."&amp;$C$134&amp;$J$82&amp;"C"&amp;$A171))</f>
        <v>9</v>
      </c>
      <c r="S171" s="3">
        <f>-IF(RTD("tos.rtd",,S$2,"."&amp;$C$134&amp;$J$82&amp;"P"&amp;$A171)="N/A",0,RTD("tos.rtd",,S$2,"."&amp;$C$134&amp;$J$82&amp;"P"&amp;$A171))</f>
        <v>-12</v>
      </c>
      <c r="T171" s="48">
        <f>IF(RTD("tos.rtd",,T$2,"."&amp;$D$134&amp;$L$82&amp;"C"&amp;$A171)="N/A",0,RTD("tos.rtd",,T$2,"."&amp;$D$134&amp;$L$82&amp;"C"&amp;$A171))</f>
        <v>0</v>
      </c>
      <c r="U171" s="3">
        <f>-IF(RTD("tos.rtd",,U$2,"."&amp;$D$134&amp;$L$82&amp;"P"&amp;$A171)="N/A",0,RTD("tos.rtd",,U$2,"."&amp;$D$134&amp;$L$82&amp;"P"&amp;$A171))</f>
        <v>-8</v>
      </c>
      <c r="V171" s="3">
        <f ca="1">+Hoja2!Y172</f>
        <v>-69</v>
      </c>
      <c r="W171" s="3">
        <f t="shared" ca="1" si="56"/>
        <v>-119</v>
      </c>
    </row>
    <row r="172" spans="1:23" ht="11.1" customHeight="1" thickBot="1" x14ac:dyDescent="0.25">
      <c r="A172" s="2">
        <f t="shared" si="57"/>
        <v>24725</v>
      </c>
      <c r="B172" s="3">
        <f t="shared" si="72"/>
        <v>0</v>
      </c>
      <c r="C172" s="3">
        <f t="shared" si="73"/>
        <v>-7</v>
      </c>
      <c r="D172" s="3">
        <f t="shared" si="74"/>
        <v>-7</v>
      </c>
      <c r="E172" s="3">
        <f t="shared" si="69"/>
        <v>-14</v>
      </c>
      <c r="F172" s="4">
        <f t="shared" si="70"/>
        <v>24889.711595156674</v>
      </c>
      <c r="H172" s="48">
        <f>IF(RTD("tos.rtd",,H$83,"."&amp;$B$134&amp;$H$82&amp;"C"&amp;$A172)="N/A",0,RTD("tos.rtd",,H$83,"."&amp;$B$134&amp;$H$82&amp;"C"&amp;$A172))</f>
        <v>0</v>
      </c>
      <c r="I172" s="3">
        <f>-IF(RTD("tos.rtd",,I$83,"."&amp;$B$134&amp;$H$82&amp;"P"&amp;$A172)="N/A",0,RTD("tos.rtd",,I$83,"."&amp;$B$134&amp;$H$82&amp;"P"&amp;$A172))</f>
        <v>0</v>
      </c>
      <c r="J172" s="48">
        <f>IF(RTD("tos.rtd",,J$2,"."&amp;$C$134&amp;$J$134&amp;"C"&amp;$A172)="N/A",0,RTD("tos.rtd",,J$2,"."&amp;$C$134&amp;$J$134&amp;"C"&amp;$A172))</f>
        <v>1</v>
      </c>
      <c r="K172" s="3">
        <f>-IF(RTD("tos.rtd",,K$2,"."&amp;$C$134&amp;$J$134&amp;"P"&amp;$A172)="N/A",0,RTD("tos.rtd",,K$2,"."&amp;$C$134&amp;$J$134&amp;"P"&amp;$A172))</f>
        <v>-8</v>
      </c>
      <c r="L172" s="48">
        <f>IF(RTD("tos.rtd",,L$2,"."&amp;$D$134&amp;$L$134&amp;"C"&amp;$A172)="N/A",0,RTD("tos.rtd",,L$2,"."&amp;$D$134&amp;$L$134&amp;"C"&amp;$A172))</f>
        <v>8</v>
      </c>
      <c r="M172" s="3">
        <f>-IF(RTD("tos.rtd",,M$2,"."&amp;$D$134&amp;$L$134&amp;"P"&amp;$A172)="N/A",0,RTD("tos.rtd",,M$2,"."&amp;$D$134&amp;$L$134&amp;"P"&amp;$A172))</f>
        <v>-15</v>
      </c>
      <c r="N172" s="3">
        <f t="shared" si="71"/>
        <v>-14</v>
      </c>
      <c r="O172" s="7">
        <f t="shared" si="75"/>
        <v>24725</v>
      </c>
      <c r="P172" s="48">
        <f>IF(RTD("tos.rtd",,P$43,"."&amp;$B$134&amp;$H$82&amp;"C"&amp;$A172)="N/A",0,RTD("tos.rtd",,P$43,"."&amp;$B$134&amp;$H$82&amp;"C"&amp;$A172))</f>
        <v>0</v>
      </c>
      <c r="Q172" s="3">
        <f>-IF(RTD("tos.rtd",,Q$43,"."&amp;$B$134&amp;$H$82&amp;"P"&amp;$A172)="N/A",0,RTD("tos.rtd",,Q$43,"."&amp;$B$134&amp;$H$82&amp;"P"&amp;$A172))</f>
        <v>0</v>
      </c>
      <c r="R172" s="48">
        <f>IF(RTD("tos.rtd",,R$2,"."&amp;$C$134&amp;$J$82&amp;"C"&amp;$A172)="N/A",0,RTD("tos.rtd",,R$2,"."&amp;$C$134&amp;$J$82&amp;"C"&amp;$A172))</f>
        <v>2</v>
      </c>
      <c r="S172" s="3">
        <f>-IF(RTD("tos.rtd",,S$2,"."&amp;$C$134&amp;$J$82&amp;"P"&amp;$A172)="N/A",0,RTD("tos.rtd",,S$2,"."&amp;$C$134&amp;$J$82&amp;"P"&amp;$A172))</f>
        <v>-6</v>
      </c>
      <c r="T172" s="48">
        <f>IF(RTD("tos.rtd",,T$2,"."&amp;$D$134&amp;$L$82&amp;"C"&amp;$A172)="N/A",0,RTD("tos.rtd",,T$2,"."&amp;$D$134&amp;$L$82&amp;"C"&amp;$A172))</f>
        <v>0</v>
      </c>
      <c r="U172" s="3">
        <f>-IF(RTD("tos.rtd",,U$2,"."&amp;$D$134&amp;$L$82&amp;"P"&amp;$A172)="N/A",0,RTD("tos.rtd",,U$2,"."&amp;$D$134&amp;$L$82&amp;"P"&amp;$A172))</f>
        <v>-1</v>
      </c>
      <c r="V172" s="3">
        <f ca="1">+Hoja2!Y173</f>
        <v>-2</v>
      </c>
      <c r="W172" s="3">
        <f t="shared" ca="1" si="56"/>
        <v>-7</v>
      </c>
    </row>
    <row r="173" spans="1:23" ht="11.1" customHeight="1" thickBot="1" x14ac:dyDescent="0.25">
      <c r="A173" s="2">
        <f t="shared" si="57"/>
        <v>24700</v>
      </c>
      <c r="B173" s="3">
        <f t="shared" si="72"/>
        <v>-40</v>
      </c>
      <c r="C173" s="3">
        <f t="shared" si="73"/>
        <v>-150</v>
      </c>
      <c r="D173" s="3">
        <f t="shared" si="74"/>
        <v>37</v>
      </c>
      <c r="E173" s="3">
        <f t="shared" si="69"/>
        <v>-153</v>
      </c>
      <c r="F173" s="4">
        <f t="shared" si="70"/>
        <v>24864.545051582198</v>
      </c>
      <c r="H173" s="48">
        <f>IF(RTD("tos.rtd",,H$83,"."&amp;$B$134&amp;$H$82&amp;"C"&amp;$A173)="N/A",0,RTD("tos.rtd",,H$83,"."&amp;$B$134&amp;$H$82&amp;"C"&amp;$A173))</f>
        <v>1</v>
      </c>
      <c r="I173" s="3">
        <f>-IF(RTD("tos.rtd",,I$83,"."&amp;$B$134&amp;$H$82&amp;"P"&amp;$A173)="N/A",0,RTD("tos.rtd",,I$83,"."&amp;$B$134&amp;$H$82&amp;"P"&amp;$A173))</f>
        <v>-41</v>
      </c>
      <c r="J173" s="48">
        <f>IF(RTD("tos.rtd",,J$2,"."&amp;$C$134&amp;$J$134&amp;"C"&amp;$A173)="N/A",0,RTD("tos.rtd",,J$2,"."&amp;$C$134&amp;$J$134&amp;"C"&amp;$A173))</f>
        <v>82</v>
      </c>
      <c r="K173" s="3">
        <f>-IF(RTD("tos.rtd",,K$2,"."&amp;$C$134&amp;$J$134&amp;"P"&amp;$A173)="N/A",0,RTD("tos.rtd",,K$2,"."&amp;$C$134&amp;$J$134&amp;"P"&amp;$A173))</f>
        <v>-232</v>
      </c>
      <c r="L173" s="48">
        <f>IF(RTD("tos.rtd",,L$2,"."&amp;$D$134&amp;$L$134&amp;"C"&amp;$A173)="N/A",0,RTD("tos.rtd",,L$2,"."&amp;$D$134&amp;$L$134&amp;"C"&amp;$A173))</f>
        <v>96</v>
      </c>
      <c r="M173" s="3">
        <f>-IF(RTD("tos.rtd",,M$2,"."&amp;$D$134&amp;$L$134&amp;"P"&amp;$A173)="N/A",0,RTD("tos.rtd",,M$2,"."&amp;$D$134&amp;$L$134&amp;"P"&amp;$A173))</f>
        <v>-59</v>
      </c>
      <c r="N173" s="3">
        <f t="shared" si="71"/>
        <v>-153</v>
      </c>
      <c r="O173" s="7">
        <f t="shared" si="75"/>
        <v>24700</v>
      </c>
      <c r="P173" s="48">
        <f>IF(RTD("tos.rtd",,P$43,"."&amp;$B$134&amp;$H$82&amp;"C"&amp;$A173)="N/A",0,RTD("tos.rtd",,P$43,"."&amp;$B$134&amp;$H$82&amp;"C"&amp;$A173))</f>
        <v>88</v>
      </c>
      <c r="Q173" s="3">
        <f>-IF(RTD("tos.rtd",,Q$43,"."&amp;$B$134&amp;$H$82&amp;"P"&amp;$A173)="N/A",0,RTD("tos.rtd",,Q$43,"."&amp;$B$134&amp;$H$82&amp;"P"&amp;$A173))</f>
        <v>-98</v>
      </c>
      <c r="R173" s="48">
        <f>IF(RTD("tos.rtd",,R$2,"."&amp;$C$134&amp;$J$82&amp;"C"&amp;$A173)="N/A",0,RTD("tos.rtd",,R$2,"."&amp;$C$134&amp;$J$82&amp;"C"&amp;$A173))</f>
        <v>3</v>
      </c>
      <c r="S173" s="3">
        <f>-IF(RTD("tos.rtd",,S$2,"."&amp;$C$134&amp;$J$82&amp;"P"&amp;$A173)="N/A",0,RTD("tos.rtd",,S$2,"."&amp;$C$134&amp;$J$82&amp;"P"&amp;$A173))</f>
        <v>-21</v>
      </c>
      <c r="T173" s="48">
        <f>IF(RTD("tos.rtd",,T$2,"."&amp;$D$134&amp;$L$82&amp;"C"&amp;$A173)="N/A",0,RTD("tos.rtd",,T$2,"."&amp;$D$134&amp;$L$82&amp;"C"&amp;$A173))</f>
        <v>1</v>
      </c>
      <c r="U173" s="3">
        <f>-IF(RTD("tos.rtd",,U$2,"."&amp;$D$134&amp;$L$82&amp;"P"&amp;$A173)="N/A",0,RTD("tos.rtd",,U$2,"."&amp;$D$134&amp;$L$82&amp;"P"&amp;$A173))</f>
        <v>-4</v>
      </c>
      <c r="V173" s="3">
        <f ca="1">+Hoja2!Y174</f>
        <v>-47</v>
      </c>
      <c r="W173" s="3">
        <f t="shared" ca="1" si="56"/>
        <v>-78</v>
      </c>
    </row>
    <row r="174" spans="1:23" ht="11.1" customHeight="1" thickBot="1" x14ac:dyDescent="0.25">
      <c r="A174" s="2">
        <f t="shared" si="57"/>
        <v>24675</v>
      </c>
      <c r="B174" s="3">
        <f t="shared" si="72"/>
        <v>0</v>
      </c>
      <c r="C174" s="3">
        <f t="shared" si="73"/>
        <v>0</v>
      </c>
      <c r="D174" s="3">
        <f t="shared" si="74"/>
        <v>-90</v>
      </c>
      <c r="E174" s="3">
        <f t="shared" si="69"/>
        <v>-90</v>
      </c>
      <c r="F174" s="4">
        <f t="shared" si="70"/>
        <v>24839.378508007721</v>
      </c>
      <c r="H174" s="48">
        <f>IF(RTD("tos.rtd",,H$83,"."&amp;$B$134&amp;$H$82&amp;"C"&amp;$A174)="N/A",0,RTD("tos.rtd",,H$83,"."&amp;$B$134&amp;$H$82&amp;"C"&amp;$A174))</f>
        <v>0</v>
      </c>
      <c r="I174" s="3">
        <f>-IF(RTD("tos.rtd",,I$83,"."&amp;$B$134&amp;$H$82&amp;"P"&amp;$A174)="N/A",0,RTD("tos.rtd",,I$83,"."&amp;$B$134&amp;$H$82&amp;"P"&amp;$A174))</f>
        <v>0</v>
      </c>
      <c r="J174" s="48">
        <f>IF(RTD("tos.rtd",,J$2,"."&amp;$C$134&amp;$J$134&amp;"C"&amp;$A174)="N/A",0,RTD("tos.rtd",,J$2,"."&amp;$C$134&amp;$J$134&amp;"C"&amp;$A174))</f>
        <v>4</v>
      </c>
      <c r="K174" s="3">
        <f>-IF(RTD("tos.rtd",,K$2,"."&amp;$C$134&amp;$J$134&amp;"P"&amp;$A174)="N/A",0,RTD("tos.rtd",,K$2,"."&amp;$C$134&amp;$J$134&amp;"P"&amp;$A174))</f>
        <v>-4</v>
      </c>
      <c r="L174" s="48">
        <f>IF(RTD("tos.rtd",,L$2,"."&amp;$D$134&amp;$L$134&amp;"C"&amp;$A174)="N/A",0,RTD("tos.rtd",,L$2,"."&amp;$D$134&amp;$L$134&amp;"C"&amp;$A174))</f>
        <v>5</v>
      </c>
      <c r="M174" s="3">
        <f>-IF(RTD("tos.rtd",,M$2,"."&amp;$D$134&amp;$L$134&amp;"P"&amp;$A174)="N/A",0,RTD("tos.rtd",,M$2,"."&amp;$D$134&amp;$L$134&amp;"P"&amp;$A174))</f>
        <v>-95</v>
      </c>
      <c r="N174" s="3">
        <f t="shared" si="71"/>
        <v>-90</v>
      </c>
      <c r="O174" s="7">
        <f t="shared" si="75"/>
        <v>24675</v>
      </c>
      <c r="P174" s="48">
        <f>IF(RTD("tos.rtd",,P$43,"."&amp;$B$134&amp;$H$82&amp;"C"&amp;$A174)="N/A",0,RTD("tos.rtd",,P$43,"."&amp;$B$134&amp;$H$82&amp;"C"&amp;$A174))</f>
        <v>0</v>
      </c>
      <c r="Q174" s="3">
        <f>-IF(RTD("tos.rtd",,Q$43,"."&amp;$B$134&amp;$H$82&amp;"P"&amp;$A174)="N/A",0,RTD("tos.rtd",,Q$43,"."&amp;$B$134&amp;$H$82&amp;"P"&amp;$A174))</f>
        <v>0</v>
      </c>
      <c r="R174" s="48">
        <f>IF(RTD("tos.rtd",,R$2,"."&amp;$C$134&amp;$J$82&amp;"C"&amp;$A174)="N/A",0,RTD("tos.rtd",,R$2,"."&amp;$C$134&amp;$J$82&amp;"C"&amp;$A174))</f>
        <v>4</v>
      </c>
      <c r="S174" s="3">
        <f>-IF(RTD("tos.rtd",,S$2,"."&amp;$C$134&amp;$J$82&amp;"P"&amp;$A174)="N/A",0,RTD("tos.rtd",,S$2,"."&amp;$C$134&amp;$J$82&amp;"P"&amp;$A174))</f>
        <v>-1</v>
      </c>
      <c r="T174" s="48">
        <f>IF(RTD("tos.rtd",,T$2,"."&amp;$D$134&amp;$L$82&amp;"C"&amp;$A174)="N/A",0,RTD("tos.rtd",,T$2,"."&amp;$D$134&amp;$L$82&amp;"C"&amp;$A174))</f>
        <v>15</v>
      </c>
      <c r="U174" s="3">
        <f>-IF(RTD("tos.rtd",,U$2,"."&amp;$D$134&amp;$L$82&amp;"P"&amp;$A174)="N/A",0,RTD("tos.rtd",,U$2,"."&amp;$D$134&amp;$L$82&amp;"P"&amp;$A174))</f>
        <v>-3</v>
      </c>
      <c r="V174" s="3">
        <f ca="1">+Hoja2!Y175</f>
        <v>0</v>
      </c>
      <c r="W174" s="3">
        <f t="shared" ca="1" si="56"/>
        <v>15</v>
      </c>
    </row>
    <row r="175" spans="1:23" ht="11.1" customHeight="1" thickBot="1" x14ac:dyDescent="0.25">
      <c r="A175" s="2">
        <f t="shared" si="57"/>
        <v>24650</v>
      </c>
      <c r="B175" s="3">
        <f t="shared" si="72"/>
        <v>-1</v>
      </c>
      <c r="C175" s="3">
        <f t="shared" si="73"/>
        <v>-3</v>
      </c>
      <c r="D175" s="3">
        <f t="shared" si="74"/>
        <v>-11</v>
      </c>
      <c r="E175" s="3">
        <f t="shared" si="69"/>
        <v>-15</v>
      </c>
      <c r="F175" s="4">
        <f t="shared" si="70"/>
        <v>24814.211964433245</v>
      </c>
      <c r="H175" s="48">
        <f>IF(RTD("tos.rtd",,H$83,"."&amp;$B$134&amp;$H$82&amp;"C"&amp;$A175)="N/A",0,RTD("tos.rtd",,H$83,"."&amp;$B$134&amp;$H$82&amp;"C"&amp;$A175))</f>
        <v>0</v>
      </c>
      <c r="I175" s="3">
        <f>-IF(RTD("tos.rtd",,I$83,"."&amp;$B$134&amp;$H$82&amp;"P"&amp;$A175)="N/A",0,RTD("tos.rtd",,I$83,"."&amp;$B$134&amp;$H$82&amp;"P"&amp;$A175))</f>
        <v>-1</v>
      </c>
      <c r="J175" s="48">
        <f>IF(RTD("tos.rtd",,J$2,"."&amp;$C$134&amp;$J$134&amp;"C"&amp;$A175)="N/A",0,RTD("tos.rtd",,J$2,"."&amp;$C$134&amp;$J$134&amp;"C"&amp;$A175))</f>
        <v>2</v>
      </c>
      <c r="K175" s="3">
        <f>-IF(RTD("tos.rtd",,K$2,"."&amp;$C$134&amp;$J$134&amp;"P"&amp;$A175)="N/A",0,RTD("tos.rtd",,K$2,"."&amp;$C$134&amp;$J$134&amp;"P"&amp;$A175))</f>
        <v>-5</v>
      </c>
      <c r="L175" s="48">
        <f>IF(RTD("tos.rtd",,L$2,"."&amp;$D$134&amp;$L$134&amp;"C"&amp;$A175)="N/A",0,RTD("tos.rtd",,L$2,"."&amp;$D$134&amp;$L$134&amp;"C"&amp;$A175))</f>
        <v>7</v>
      </c>
      <c r="M175" s="3">
        <f>-IF(RTD("tos.rtd",,M$2,"."&amp;$D$134&amp;$L$134&amp;"P"&amp;$A175)="N/A",0,RTD("tos.rtd",,M$2,"."&amp;$D$134&amp;$L$134&amp;"P"&amp;$A175))</f>
        <v>-18</v>
      </c>
      <c r="N175" s="3">
        <f t="shared" si="71"/>
        <v>-15</v>
      </c>
      <c r="O175" s="7">
        <f t="shared" si="75"/>
        <v>24650</v>
      </c>
      <c r="P175" s="48">
        <f>IF(RTD("tos.rtd",,P$43,"."&amp;$B$134&amp;$H$82&amp;"C"&amp;$A175)="N/A",0,RTD("tos.rtd",,P$43,"."&amp;$B$134&amp;$H$82&amp;"C"&amp;$A175))</f>
        <v>28</v>
      </c>
      <c r="Q175" s="3">
        <f>-IF(RTD("tos.rtd",,Q$43,"."&amp;$B$134&amp;$H$82&amp;"P"&amp;$A175)="N/A",0,RTD("tos.rtd",,Q$43,"."&amp;$B$134&amp;$H$82&amp;"P"&amp;$A175))</f>
        <v>-26</v>
      </c>
      <c r="R175" s="48">
        <f>IF(RTD("tos.rtd",,R$2,"."&amp;$C$134&amp;$J$82&amp;"C"&amp;$A175)="N/A",0,RTD("tos.rtd",,R$2,"."&amp;$C$134&amp;$J$82&amp;"C"&amp;$A175))</f>
        <v>1</v>
      </c>
      <c r="S175" s="3">
        <f>-IF(RTD("tos.rtd",,S$2,"."&amp;$C$134&amp;$J$82&amp;"P"&amp;$A175)="N/A",0,RTD("tos.rtd",,S$2,"."&amp;$C$134&amp;$J$82&amp;"P"&amp;$A175))</f>
        <v>-17</v>
      </c>
      <c r="T175" s="48">
        <f>IF(RTD("tos.rtd",,T$2,"."&amp;$D$134&amp;$L$82&amp;"C"&amp;$A175)="N/A",0,RTD("tos.rtd",,T$2,"."&amp;$D$134&amp;$L$82&amp;"C"&amp;$A175))</f>
        <v>0</v>
      </c>
      <c r="U175" s="3">
        <f>-IF(RTD("tos.rtd",,U$2,"."&amp;$D$134&amp;$L$82&amp;"P"&amp;$A175)="N/A",0,RTD("tos.rtd",,U$2,"."&amp;$D$134&amp;$L$82&amp;"P"&amp;$A175))</f>
        <v>-3</v>
      </c>
      <c r="V175" s="3">
        <f ca="1">+Hoja2!Y176</f>
        <v>-5</v>
      </c>
      <c r="W175" s="3">
        <f t="shared" ca="1" si="56"/>
        <v>-22</v>
      </c>
    </row>
    <row r="176" spans="1:23" ht="11.1" customHeight="1" thickBot="1" x14ac:dyDescent="0.25">
      <c r="A176" s="2">
        <f t="shared" si="57"/>
        <v>24625</v>
      </c>
      <c r="B176" s="3">
        <f t="shared" si="72"/>
        <v>0</v>
      </c>
      <c r="C176" s="3">
        <f t="shared" si="73"/>
        <v>-66</v>
      </c>
      <c r="D176" s="3">
        <f t="shared" si="74"/>
        <v>-9</v>
      </c>
      <c r="E176" s="3">
        <f t="shared" si="66"/>
        <v>-75</v>
      </c>
      <c r="F176" s="4">
        <f t="shared" si="67"/>
        <v>24789.045420858769</v>
      </c>
      <c r="H176" s="48">
        <f>IF(RTD("tos.rtd",,H$83,"."&amp;$B$134&amp;$H$82&amp;"C"&amp;$A176)="N/A",0,RTD("tos.rtd",,H$83,"."&amp;$B$134&amp;$H$82&amp;"C"&amp;$A176))</f>
        <v>0</v>
      </c>
      <c r="I176" s="3">
        <f>-IF(RTD("tos.rtd",,I$83,"."&amp;$B$134&amp;$H$82&amp;"P"&amp;$A176)="N/A",0,RTD("tos.rtd",,I$83,"."&amp;$B$134&amp;$H$82&amp;"P"&amp;$A176))</f>
        <v>0</v>
      </c>
      <c r="J176" s="48">
        <f>IF(RTD("tos.rtd",,J$2,"."&amp;$C$134&amp;$J$134&amp;"C"&amp;$A176)="N/A",0,RTD("tos.rtd",,J$2,"."&amp;$C$134&amp;$J$134&amp;"C"&amp;$A176))</f>
        <v>2</v>
      </c>
      <c r="K176" s="3">
        <f>-IF(RTD("tos.rtd",,K$2,"."&amp;$C$134&amp;$J$134&amp;"P"&amp;$A176)="N/A",0,RTD("tos.rtd",,K$2,"."&amp;$C$134&amp;$J$134&amp;"P"&amp;$A176))</f>
        <v>-68</v>
      </c>
      <c r="L176" s="48">
        <f>IF(RTD("tos.rtd",,L$2,"."&amp;$D$134&amp;$L$134&amp;"C"&amp;$A176)="N/A",0,RTD("tos.rtd",,L$2,"."&amp;$D$134&amp;$L$134&amp;"C"&amp;$A176))</f>
        <v>5</v>
      </c>
      <c r="M176" s="3">
        <f>-IF(RTD("tos.rtd",,M$2,"."&amp;$D$134&amp;$L$134&amp;"P"&amp;$A176)="N/A",0,RTD("tos.rtd",,M$2,"."&amp;$D$134&amp;$L$134&amp;"P"&amp;$A176))</f>
        <v>-14</v>
      </c>
      <c r="N176" s="3">
        <f t="shared" si="68"/>
        <v>-75</v>
      </c>
      <c r="O176" s="7">
        <f t="shared" si="75"/>
        <v>24625</v>
      </c>
      <c r="P176" s="48">
        <f>IF(RTD("tos.rtd",,P$43,"."&amp;$B$134&amp;$H$82&amp;"C"&amp;$A176)="N/A",0,RTD("tos.rtd",,P$43,"."&amp;$B$134&amp;$H$82&amp;"C"&amp;$A176))</f>
        <v>0</v>
      </c>
      <c r="Q176" s="3">
        <f>-IF(RTD("tos.rtd",,Q$43,"."&amp;$B$134&amp;$H$82&amp;"P"&amp;$A176)="N/A",0,RTD("tos.rtd",,Q$43,"."&amp;$B$134&amp;$H$82&amp;"P"&amp;$A176))</f>
        <v>0</v>
      </c>
      <c r="R176" s="48">
        <f>IF(RTD("tos.rtd",,R$2,"."&amp;$C$134&amp;$J$82&amp;"C"&amp;$A176)="N/A",0,RTD("tos.rtd",,R$2,"."&amp;$C$134&amp;$J$82&amp;"C"&amp;$A176))</f>
        <v>1</v>
      </c>
      <c r="S176" s="3">
        <f>-IF(RTD("tos.rtd",,S$2,"."&amp;$C$134&amp;$J$82&amp;"P"&amp;$A176)="N/A",0,RTD("tos.rtd",,S$2,"."&amp;$C$134&amp;$J$82&amp;"P"&amp;$A176))</f>
        <v>-10</v>
      </c>
      <c r="T176" s="48">
        <f>IF(RTD("tos.rtd",,T$2,"."&amp;$D$134&amp;$L$82&amp;"C"&amp;$A176)="N/A",0,RTD("tos.rtd",,T$2,"."&amp;$D$134&amp;$L$82&amp;"C"&amp;$A176))</f>
        <v>0</v>
      </c>
      <c r="U176" s="3">
        <f>-IF(RTD("tos.rtd",,U$2,"."&amp;$D$134&amp;$L$82&amp;"P"&amp;$A176)="N/A",0,RTD("tos.rtd",,U$2,"."&amp;$D$134&amp;$L$82&amp;"P"&amp;$A176))</f>
        <v>-5</v>
      </c>
      <c r="V176" s="3">
        <f ca="1">+Hoja2!Y177</f>
        <v>26</v>
      </c>
      <c r="W176" s="3">
        <f t="shared" ca="1" si="56"/>
        <v>12</v>
      </c>
    </row>
    <row r="177" spans="1:23" ht="11.1" customHeight="1" thickBot="1" x14ac:dyDescent="0.25">
      <c r="A177" s="2">
        <f t="shared" si="57"/>
        <v>24600</v>
      </c>
      <c r="B177" s="3">
        <f t="shared" si="72"/>
        <v>-16</v>
      </c>
      <c r="C177" s="3">
        <f t="shared" si="73"/>
        <v>-10</v>
      </c>
      <c r="D177" s="3">
        <f t="shared" si="74"/>
        <v>4081</v>
      </c>
      <c r="E177" s="3">
        <f t="shared" si="66"/>
        <v>4055</v>
      </c>
      <c r="F177" s="4">
        <f t="shared" si="67"/>
        <v>24763.878877284293</v>
      </c>
      <c r="H177" s="48">
        <f>IF(RTD("tos.rtd",,H$83,"."&amp;$B$134&amp;$H$82&amp;"C"&amp;$A177)="N/A",0,RTD("tos.rtd",,H$83,"."&amp;$B$134&amp;$H$82&amp;"C"&amp;$A177))</f>
        <v>1</v>
      </c>
      <c r="I177" s="3">
        <f>-IF(RTD("tos.rtd",,I$83,"."&amp;$B$134&amp;$H$82&amp;"P"&amp;$A177)="N/A",0,RTD("tos.rtd",,I$83,"."&amp;$B$134&amp;$H$82&amp;"P"&amp;$A177))</f>
        <v>-17</v>
      </c>
      <c r="J177" s="48">
        <f>IF(RTD("tos.rtd",,J$2,"."&amp;$C$134&amp;$J$134&amp;"C"&amp;$A177)="N/A",0,RTD("tos.rtd",,J$2,"."&amp;$C$134&amp;$J$134&amp;"C"&amp;$A177))</f>
        <v>5</v>
      </c>
      <c r="K177" s="3">
        <f>-IF(RTD("tos.rtd",,K$2,"."&amp;$C$134&amp;$J$134&amp;"P"&amp;$A177)="N/A",0,RTD("tos.rtd",,K$2,"."&amp;$C$134&amp;$J$134&amp;"P"&amp;$A177))</f>
        <v>-15</v>
      </c>
      <c r="L177" s="48">
        <f>IF(RTD("tos.rtd",,L$2,"."&amp;$D$134&amp;$L$134&amp;"C"&amp;$A177)="N/A",0,RTD("tos.rtd",,L$2,"."&amp;$D$134&amp;$L$134&amp;"C"&amp;$A177))</f>
        <v>4136</v>
      </c>
      <c r="M177" s="3">
        <f>-IF(RTD("tos.rtd",,M$2,"."&amp;$D$134&amp;$L$134&amp;"P"&amp;$A177)="N/A",0,RTD("tos.rtd",,M$2,"."&amp;$D$134&amp;$L$134&amp;"P"&amp;$A177))</f>
        <v>-55</v>
      </c>
      <c r="N177" s="3">
        <f t="shared" si="68"/>
        <v>4055</v>
      </c>
      <c r="O177" s="7">
        <f t="shared" si="75"/>
        <v>24600</v>
      </c>
      <c r="P177" s="48">
        <f>IF(RTD("tos.rtd",,P$43,"."&amp;$B$134&amp;$H$82&amp;"C"&amp;$A177)="N/A",0,RTD("tos.rtd",,P$43,"."&amp;$B$134&amp;$H$82&amp;"C"&amp;$A177))</f>
        <v>21</v>
      </c>
      <c r="Q177" s="3">
        <f>-IF(RTD("tos.rtd",,Q$43,"."&amp;$B$134&amp;$H$82&amp;"P"&amp;$A177)="N/A",0,RTD("tos.rtd",,Q$43,"."&amp;$B$134&amp;$H$82&amp;"P"&amp;$A177))</f>
        <v>-262</v>
      </c>
      <c r="R177" s="48">
        <f>IF(RTD("tos.rtd",,R$2,"."&amp;$C$134&amp;$J$82&amp;"C"&amp;$A177)="N/A",0,RTD("tos.rtd",,R$2,"."&amp;$C$134&amp;$J$82&amp;"C"&amp;$A177))</f>
        <v>10</v>
      </c>
      <c r="S177" s="3">
        <f>-IF(RTD("tos.rtd",,S$2,"."&amp;$C$134&amp;$J$82&amp;"P"&amp;$A177)="N/A",0,RTD("tos.rtd",,S$2,"."&amp;$C$134&amp;$J$82&amp;"P"&amp;$A177))</f>
        <v>-17</v>
      </c>
      <c r="T177" s="48">
        <f>IF(RTD("tos.rtd",,T$2,"."&amp;$D$134&amp;$L$82&amp;"C"&amp;$A177)="N/A",0,RTD("tos.rtd",,T$2,"."&amp;$D$134&amp;$L$82&amp;"C"&amp;$A177))</f>
        <v>12</v>
      </c>
      <c r="U177" s="3">
        <f>-IF(RTD("tos.rtd",,U$2,"."&amp;$D$134&amp;$L$82&amp;"P"&amp;$A177)="N/A",0,RTD("tos.rtd",,U$2,"."&amp;$D$134&amp;$L$82&amp;"P"&amp;$A177))</f>
        <v>-7</v>
      </c>
      <c r="V177" s="3">
        <f ca="1">+Hoja2!Y178</f>
        <v>-341</v>
      </c>
      <c r="W177" s="3">
        <f t="shared" ca="1" si="56"/>
        <v>-584</v>
      </c>
    </row>
    <row r="178" spans="1:23" ht="11.1" customHeight="1" thickBot="1" x14ac:dyDescent="0.25">
      <c r="A178" s="2">
        <f t="shared" si="57"/>
        <v>24575</v>
      </c>
      <c r="B178" s="3">
        <f t="shared" si="72"/>
        <v>0</v>
      </c>
      <c r="C178" s="3">
        <f t="shared" si="73"/>
        <v>-8</v>
      </c>
      <c r="D178" s="3">
        <f t="shared" si="74"/>
        <v>-2</v>
      </c>
      <c r="E178" s="3">
        <f t="shared" si="66"/>
        <v>-10</v>
      </c>
      <c r="F178" s="4">
        <f t="shared" si="67"/>
        <v>24738.712333709816</v>
      </c>
      <c r="H178" s="48">
        <f>IF(RTD("tos.rtd",,H$83,"."&amp;$B$134&amp;$H$82&amp;"C"&amp;$A178)="N/A",0,RTD("tos.rtd",,H$83,"."&amp;$B$134&amp;$H$82&amp;"C"&amp;$A178))</f>
        <v>0</v>
      </c>
      <c r="I178" s="3">
        <f>-IF(RTD("tos.rtd",,I$83,"."&amp;$B$134&amp;$H$82&amp;"P"&amp;$A178)="N/A",0,RTD("tos.rtd",,I$83,"."&amp;$B$134&amp;$H$82&amp;"P"&amp;$A178))</f>
        <v>0</v>
      </c>
      <c r="J178" s="48">
        <f>IF(RTD("tos.rtd",,J$2,"."&amp;$C$134&amp;$J$134&amp;"C"&amp;$A178)="N/A",0,RTD("tos.rtd",,J$2,"."&amp;$C$134&amp;$J$134&amp;"C"&amp;$A178))</f>
        <v>0</v>
      </c>
      <c r="K178" s="3">
        <f>-IF(RTD("tos.rtd",,K$2,"."&amp;$C$134&amp;$J$134&amp;"P"&amp;$A178)="N/A",0,RTD("tos.rtd",,K$2,"."&amp;$C$134&amp;$J$134&amp;"P"&amp;$A178))</f>
        <v>-8</v>
      </c>
      <c r="L178" s="48">
        <f>IF(RTD("tos.rtd",,L$2,"."&amp;$D$134&amp;$L$134&amp;"C"&amp;$A178)="N/A",0,RTD("tos.rtd",,L$2,"."&amp;$D$134&amp;$L$134&amp;"C"&amp;$A178))</f>
        <v>2</v>
      </c>
      <c r="M178" s="3">
        <f>-IF(RTD("tos.rtd",,M$2,"."&amp;$D$134&amp;$L$134&amp;"P"&amp;$A178)="N/A",0,RTD("tos.rtd",,M$2,"."&amp;$D$134&amp;$L$134&amp;"P"&amp;$A178))</f>
        <v>-4</v>
      </c>
      <c r="N178" s="3">
        <f t="shared" si="68"/>
        <v>-10</v>
      </c>
      <c r="O178" s="7">
        <f t="shared" si="75"/>
        <v>24575</v>
      </c>
      <c r="P178" s="48">
        <f>IF(RTD("tos.rtd",,P$43,"."&amp;$B$134&amp;$H$82&amp;"C"&amp;$A178)="N/A",0,RTD("tos.rtd",,P$43,"."&amp;$B$134&amp;$H$82&amp;"C"&amp;$A178))</f>
        <v>0</v>
      </c>
      <c r="Q178" s="3">
        <f>-IF(RTD("tos.rtd",,Q$43,"."&amp;$B$134&amp;$H$82&amp;"P"&amp;$A178)="N/A",0,RTD("tos.rtd",,Q$43,"."&amp;$B$134&amp;$H$82&amp;"P"&amp;$A178))</f>
        <v>0</v>
      </c>
      <c r="R178" s="48">
        <f>IF(RTD("tos.rtd",,R$2,"."&amp;$C$134&amp;$J$82&amp;"C"&amp;$A178)="N/A",0,RTD("tos.rtd",,R$2,"."&amp;$C$134&amp;$J$82&amp;"C"&amp;$A178))</f>
        <v>0</v>
      </c>
      <c r="S178" s="3">
        <f>-IF(RTD("tos.rtd",,S$2,"."&amp;$C$134&amp;$J$82&amp;"P"&amp;$A178)="N/A",0,RTD("tos.rtd",,S$2,"."&amp;$C$134&amp;$J$82&amp;"P"&amp;$A178))</f>
        <v>-2</v>
      </c>
      <c r="T178" s="48">
        <f>IF(RTD("tos.rtd",,T$2,"."&amp;$D$134&amp;$L$82&amp;"C"&amp;$A178)="N/A",0,RTD("tos.rtd",,T$2,"."&amp;$D$134&amp;$L$82&amp;"C"&amp;$A178))</f>
        <v>0</v>
      </c>
      <c r="U178" s="3">
        <f>-IF(RTD("tos.rtd",,U$2,"."&amp;$D$134&amp;$L$82&amp;"P"&amp;$A178)="N/A",0,RTD("tos.rtd",,U$2,"."&amp;$D$134&amp;$L$82&amp;"P"&amp;$A178))</f>
        <v>-7</v>
      </c>
      <c r="V178" s="3">
        <f ca="1">+Hoja2!Y179</f>
        <v>24</v>
      </c>
      <c r="W178" s="3">
        <f t="shared" ca="1" si="56"/>
        <v>15</v>
      </c>
    </row>
    <row r="179" spans="1:23" ht="11.1" customHeight="1" thickBot="1" x14ac:dyDescent="0.25">
      <c r="A179" s="2">
        <f t="shared" si="57"/>
        <v>24550</v>
      </c>
      <c r="B179" s="3">
        <f t="shared" si="72"/>
        <v>-2</v>
      </c>
      <c r="C179" s="3">
        <f t="shared" si="73"/>
        <v>-15</v>
      </c>
      <c r="D179" s="3">
        <f t="shared" si="74"/>
        <v>-7</v>
      </c>
      <c r="E179" s="3">
        <f t="shared" si="66"/>
        <v>-24</v>
      </c>
      <c r="F179" s="4">
        <f t="shared" si="67"/>
        <v>24713.54579013534</v>
      </c>
      <c r="H179" s="48">
        <f>IF(RTD("tos.rtd",,H$83,"."&amp;$B$134&amp;$H$82&amp;"C"&amp;$A179)="N/A",0,RTD("tos.rtd",,H$83,"."&amp;$B$134&amp;$H$82&amp;"C"&amp;$A179))</f>
        <v>0</v>
      </c>
      <c r="I179" s="3">
        <f>-IF(RTD("tos.rtd",,I$83,"."&amp;$B$134&amp;$H$82&amp;"P"&amp;$A179)="N/A",0,RTD("tos.rtd",,I$83,"."&amp;$B$134&amp;$H$82&amp;"P"&amp;$A179))</f>
        <v>-2</v>
      </c>
      <c r="J179" s="48">
        <f>IF(RTD("tos.rtd",,J$2,"."&amp;$C$134&amp;$J$134&amp;"C"&amp;$A179)="N/A",0,RTD("tos.rtd",,J$2,"."&amp;$C$134&amp;$J$134&amp;"C"&amp;$A179))</f>
        <v>1</v>
      </c>
      <c r="K179" s="3">
        <f>-IF(RTD("tos.rtd",,K$2,"."&amp;$C$134&amp;$J$134&amp;"P"&amp;$A179)="N/A",0,RTD("tos.rtd",,K$2,"."&amp;$C$134&amp;$J$134&amp;"P"&amp;$A179))</f>
        <v>-16</v>
      </c>
      <c r="L179" s="48">
        <f>IF(RTD("tos.rtd",,L$2,"."&amp;$D$134&amp;$L$134&amp;"C"&amp;$A179)="N/A",0,RTD("tos.rtd",,L$2,"."&amp;$D$134&amp;$L$134&amp;"C"&amp;$A179))</f>
        <v>11</v>
      </c>
      <c r="M179" s="3">
        <f>-IF(RTD("tos.rtd",,M$2,"."&amp;$D$134&amp;$L$134&amp;"P"&amp;$A179)="N/A",0,RTD("tos.rtd",,M$2,"."&amp;$D$134&amp;$L$134&amp;"P"&amp;$A179))</f>
        <v>-18</v>
      </c>
      <c r="N179" s="3">
        <f t="shared" si="68"/>
        <v>-24</v>
      </c>
      <c r="O179" s="7">
        <f t="shared" si="75"/>
        <v>24550</v>
      </c>
      <c r="P179" s="48">
        <f>IF(RTD("tos.rtd",,P$43,"."&amp;$B$134&amp;$H$82&amp;"C"&amp;$A179)="N/A",0,RTD("tos.rtd",,P$43,"."&amp;$B$134&amp;$H$82&amp;"C"&amp;$A179))</f>
        <v>8</v>
      </c>
      <c r="Q179" s="3">
        <f>-IF(RTD("tos.rtd",,Q$43,"."&amp;$B$134&amp;$H$82&amp;"P"&amp;$A179)="N/A",0,RTD("tos.rtd",,Q$43,"."&amp;$B$134&amp;$H$82&amp;"P"&amp;$A179))</f>
        <v>-47</v>
      </c>
      <c r="R179" s="48">
        <f>IF(RTD("tos.rtd",,R$2,"."&amp;$C$134&amp;$J$82&amp;"C"&amp;$A179)="N/A",0,RTD("tos.rtd",,R$2,"."&amp;$C$134&amp;$J$82&amp;"C"&amp;$A179))</f>
        <v>2</v>
      </c>
      <c r="S179" s="3">
        <f>-IF(RTD("tos.rtd",,S$2,"."&amp;$C$134&amp;$J$82&amp;"P"&amp;$A179)="N/A",0,RTD("tos.rtd",,S$2,"."&amp;$C$134&amp;$J$82&amp;"P"&amp;$A179))</f>
        <v>-17</v>
      </c>
      <c r="T179" s="48">
        <f>IF(RTD("tos.rtd",,T$2,"."&amp;$D$134&amp;$L$82&amp;"C"&amp;$A179)="N/A",0,RTD("tos.rtd",,T$2,"."&amp;$D$134&amp;$L$82&amp;"C"&amp;$A179))</f>
        <v>0</v>
      </c>
      <c r="U179" s="3">
        <f>-IF(RTD("tos.rtd",,U$2,"."&amp;$D$134&amp;$L$82&amp;"P"&amp;$A179)="N/A",0,RTD("tos.rtd",,U$2,"."&amp;$D$134&amp;$L$82&amp;"P"&amp;$A179))</f>
        <v>-5</v>
      </c>
      <c r="V179" s="3">
        <f ca="1">+Hoja2!Y180</f>
        <v>-44</v>
      </c>
      <c r="W179" s="3">
        <f t="shared" ca="1" si="56"/>
        <v>-103</v>
      </c>
    </row>
    <row r="180" spans="1:23" ht="11.1" customHeight="1" thickBot="1" x14ac:dyDescent="0.25">
      <c r="A180" s="2">
        <f t="shared" si="57"/>
        <v>24525</v>
      </c>
      <c r="B180" s="3">
        <f t="shared" si="72"/>
        <v>0</v>
      </c>
      <c r="C180" s="3">
        <f t="shared" si="73"/>
        <v>-9</v>
      </c>
      <c r="D180" s="3">
        <f t="shared" si="74"/>
        <v>-12</v>
      </c>
      <c r="E180" s="3">
        <f t="shared" si="66"/>
        <v>-21</v>
      </c>
      <c r="F180" s="4">
        <f t="shared" si="67"/>
        <v>24688.379246560868</v>
      </c>
      <c r="H180" s="48">
        <f>IF(RTD("tos.rtd",,H$83,"."&amp;$B$134&amp;$H$82&amp;"C"&amp;$A180)="N/A",0,RTD("tos.rtd",,H$83,"."&amp;$B$134&amp;$H$82&amp;"C"&amp;$A180))</f>
        <v>0</v>
      </c>
      <c r="I180" s="3">
        <f>-IF(RTD("tos.rtd",,I$83,"."&amp;$B$134&amp;$H$82&amp;"P"&amp;$A180)="N/A",0,RTD("tos.rtd",,I$83,"."&amp;$B$134&amp;$H$82&amp;"P"&amp;$A180))</f>
        <v>0</v>
      </c>
      <c r="J180" s="48">
        <f>IF(RTD("tos.rtd",,J$2,"."&amp;$C$134&amp;$J$134&amp;"C"&amp;$A180)="N/A",0,RTD("tos.rtd",,J$2,"."&amp;$C$134&amp;$J$134&amp;"C"&amp;$A180))</f>
        <v>1</v>
      </c>
      <c r="K180" s="3">
        <f>-IF(RTD("tos.rtd",,K$2,"."&amp;$C$134&amp;$J$134&amp;"P"&amp;$A180)="N/A",0,RTD("tos.rtd",,K$2,"."&amp;$C$134&amp;$J$134&amp;"P"&amp;$A180))</f>
        <v>-10</v>
      </c>
      <c r="L180" s="48">
        <f>IF(RTD("tos.rtd",,L$2,"."&amp;$D$134&amp;$L$134&amp;"C"&amp;$A180)="N/A",0,RTD("tos.rtd",,L$2,"."&amp;$D$134&amp;$L$134&amp;"C"&amp;$A180))</f>
        <v>7</v>
      </c>
      <c r="M180" s="3">
        <f>-IF(RTD("tos.rtd",,M$2,"."&amp;$D$134&amp;$L$134&amp;"P"&amp;$A180)="N/A",0,RTD("tos.rtd",,M$2,"."&amp;$D$134&amp;$L$134&amp;"P"&amp;$A180))</f>
        <v>-19</v>
      </c>
      <c r="N180" s="3">
        <f t="shared" si="68"/>
        <v>-21</v>
      </c>
      <c r="O180" s="7">
        <f t="shared" si="75"/>
        <v>24525</v>
      </c>
      <c r="P180" s="48">
        <f>IF(RTD("tos.rtd",,P$43,"."&amp;$B$134&amp;$H$82&amp;"C"&amp;$A180)="N/A",0,RTD("tos.rtd",,P$43,"."&amp;$B$134&amp;$H$82&amp;"C"&amp;$A180))</f>
        <v>0</v>
      </c>
      <c r="Q180" s="3">
        <f>-IF(RTD("tos.rtd",,Q$43,"."&amp;$B$134&amp;$H$82&amp;"P"&amp;$A180)="N/A",0,RTD("tos.rtd",,Q$43,"."&amp;$B$134&amp;$H$82&amp;"P"&amp;$A180))</f>
        <v>0</v>
      </c>
      <c r="R180" s="48">
        <f>IF(RTD("tos.rtd",,R$2,"."&amp;$C$134&amp;$J$82&amp;"C"&amp;$A180)="N/A",0,RTD("tos.rtd",,R$2,"."&amp;$C$134&amp;$J$82&amp;"C"&amp;$A180))</f>
        <v>0</v>
      </c>
      <c r="S180" s="3">
        <f>-IF(RTD("tos.rtd",,S$2,"."&amp;$C$134&amp;$J$82&amp;"P"&amp;$A180)="N/A",0,RTD("tos.rtd",,S$2,"."&amp;$C$134&amp;$J$82&amp;"P"&amp;$A180))</f>
        <v>-3</v>
      </c>
      <c r="T180" s="48">
        <f>IF(RTD("tos.rtd",,T$2,"."&amp;$D$134&amp;$L$82&amp;"C"&amp;$A180)="N/A",0,RTD("tos.rtd",,T$2,"."&amp;$D$134&amp;$L$82&amp;"C"&amp;$A180))</f>
        <v>0</v>
      </c>
      <c r="U180" s="3">
        <f>-IF(RTD("tos.rtd",,U$2,"."&amp;$D$134&amp;$L$82&amp;"P"&amp;$A180)="N/A",0,RTD("tos.rtd",,U$2,"."&amp;$D$134&amp;$L$82&amp;"P"&amp;$A180))</f>
        <v>-6</v>
      </c>
      <c r="V180" s="3">
        <f ca="1">+Hoja2!Y181</f>
        <v>-2</v>
      </c>
      <c r="W180" s="3">
        <f t="shared" ca="1" si="56"/>
        <v>-11</v>
      </c>
    </row>
    <row r="181" spans="1:23" ht="11.1" customHeight="1" thickBot="1" x14ac:dyDescent="0.25">
      <c r="A181" s="2">
        <f t="shared" si="57"/>
        <v>24500</v>
      </c>
      <c r="B181" s="3">
        <f t="shared" si="72"/>
        <v>-20</v>
      </c>
      <c r="C181" s="3">
        <f t="shared" si="73"/>
        <v>-23</v>
      </c>
      <c r="D181" s="3">
        <f t="shared" si="74"/>
        <v>-53</v>
      </c>
      <c r="E181" s="3">
        <f t="shared" si="66"/>
        <v>-96</v>
      </c>
      <c r="F181" s="4">
        <f t="shared" si="67"/>
        <v>24663.212702986391</v>
      </c>
      <c r="H181" s="48">
        <f>IF(RTD("tos.rtd",,H$83,"."&amp;$B$134&amp;$H$82&amp;"C"&amp;$A181)="N/A",0,RTD("tos.rtd",,H$83,"."&amp;$B$134&amp;$H$82&amp;"C"&amp;$A181))</f>
        <v>2</v>
      </c>
      <c r="I181" s="3">
        <f>-IF(RTD("tos.rtd",,I$83,"."&amp;$B$134&amp;$H$82&amp;"P"&amp;$A181)="N/A",0,RTD("tos.rtd",,I$83,"."&amp;$B$134&amp;$H$82&amp;"P"&amp;$A181))</f>
        <v>-22</v>
      </c>
      <c r="J181" s="48">
        <f>IF(RTD("tos.rtd",,J$2,"."&amp;$C$134&amp;$J$134&amp;"C"&amp;$A181)="N/A",0,RTD("tos.rtd",,J$2,"."&amp;$C$134&amp;$J$134&amp;"C"&amp;$A181))</f>
        <v>60</v>
      </c>
      <c r="K181" s="3">
        <f>-IF(RTD("tos.rtd",,K$2,"."&amp;$C$134&amp;$J$134&amp;"P"&amp;$A181)="N/A",0,RTD("tos.rtd",,K$2,"."&amp;$C$134&amp;$J$134&amp;"P"&amp;$A181))</f>
        <v>-83</v>
      </c>
      <c r="L181" s="48">
        <f>IF(RTD("tos.rtd",,L$2,"."&amp;$D$134&amp;$L$134&amp;"C"&amp;$A181)="N/A",0,RTD("tos.rtd",,L$2,"."&amp;$D$134&amp;$L$134&amp;"C"&amp;$A181))</f>
        <v>62</v>
      </c>
      <c r="M181" s="3">
        <f>-IF(RTD("tos.rtd",,M$2,"."&amp;$D$134&amp;$L$134&amp;"P"&amp;$A181)="N/A",0,RTD("tos.rtd",,M$2,"."&amp;$D$134&amp;$L$134&amp;"P"&amp;$A181))</f>
        <v>-115</v>
      </c>
      <c r="N181" s="3">
        <f t="shared" si="68"/>
        <v>-96</v>
      </c>
      <c r="O181" s="7">
        <f t="shared" si="75"/>
        <v>24500</v>
      </c>
      <c r="P181" s="48">
        <f>IF(RTD("tos.rtd",,P$43,"."&amp;$B$134&amp;$H$82&amp;"C"&amp;$A181)="N/A",0,RTD("tos.rtd",,P$43,"."&amp;$B$134&amp;$H$82&amp;"C"&amp;$A181))</f>
        <v>8</v>
      </c>
      <c r="Q181" s="3">
        <f>-IF(RTD("tos.rtd",,Q$43,"."&amp;$B$134&amp;$H$82&amp;"P"&amp;$A181)="N/A",0,RTD("tos.rtd",,Q$43,"."&amp;$B$134&amp;$H$82&amp;"P"&amp;$A181))</f>
        <v>-79</v>
      </c>
      <c r="R181" s="48">
        <f>IF(RTD("tos.rtd",,R$2,"."&amp;$C$134&amp;$J$82&amp;"C"&amp;$A181)="N/A",0,RTD("tos.rtd",,R$2,"."&amp;$C$134&amp;$J$82&amp;"C"&amp;$A181))</f>
        <v>6</v>
      </c>
      <c r="S181" s="3">
        <f>-IF(RTD("tos.rtd",,S$2,"."&amp;$C$134&amp;$J$82&amp;"P"&amp;$A181)="N/A",0,RTD("tos.rtd",,S$2,"."&amp;$C$134&amp;$J$82&amp;"P"&amp;$A181))</f>
        <v>-27</v>
      </c>
      <c r="T181" s="48">
        <f>IF(RTD("tos.rtd",,T$2,"."&amp;$D$134&amp;$L$82&amp;"C"&amp;$A181)="N/A",0,RTD("tos.rtd",,T$2,"."&amp;$D$134&amp;$L$82&amp;"C"&amp;$A181))</f>
        <v>0</v>
      </c>
      <c r="U181" s="3">
        <f>-IF(RTD("tos.rtd",,U$2,"."&amp;$D$134&amp;$L$82&amp;"P"&amp;$A181)="N/A",0,RTD("tos.rtd",,U$2,"."&amp;$D$134&amp;$L$82&amp;"P"&amp;$A181))</f>
        <v>-83</v>
      </c>
      <c r="V181" s="3">
        <f ca="1">+Hoja2!Y182</f>
        <v>-116</v>
      </c>
      <c r="W181" s="3">
        <f t="shared" ca="1" si="56"/>
        <v>-291</v>
      </c>
    </row>
    <row r="182" spans="1:23" ht="11.1" customHeight="1" thickBot="1" x14ac:dyDescent="0.25">
      <c r="A182" s="2">
        <f t="shared" si="57"/>
        <v>24475</v>
      </c>
      <c r="B182" s="3">
        <f t="shared" si="72"/>
        <v>0</v>
      </c>
      <c r="C182" s="3">
        <f t="shared" si="73"/>
        <v>-12</v>
      </c>
      <c r="D182" s="3">
        <f t="shared" si="74"/>
        <v>-4</v>
      </c>
      <c r="E182" s="3">
        <f t="shared" ref="E182:E189" si="76">SUM(B182:D182)</f>
        <v>-16</v>
      </c>
      <c r="F182" s="4">
        <f t="shared" si="64"/>
        <v>24638.046159411915</v>
      </c>
      <c r="H182" s="48">
        <f>IF(RTD("tos.rtd",,H$83,"."&amp;$B$134&amp;$H$82&amp;"C"&amp;$A182)="N/A",0,RTD("tos.rtd",,H$83,"."&amp;$B$134&amp;$H$82&amp;"C"&amp;$A182))</f>
        <v>0</v>
      </c>
      <c r="I182" s="3">
        <f>-IF(RTD("tos.rtd",,I$83,"."&amp;$B$134&amp;$H$82&amp;"P"&amp;$A182)="N/A",0,RTD("tos.rtd",,I$83,"."&amp;$B$134&amp;$H$82&amp;"P"&amp;$A182))</f>
        <v>0</v>
      </c>
      <c r="J182" s="48">
        <f>IF(RTD("tos.rtd",,J$2,"."&amp;$C$134&amp;$J$134&amp;"C"&amp;$A182)="N/A",0,RTD("tos.rtd",,J$2,"."&amp;$C$134&amp;$J$134&amp;"C"&amp;$A182))</f>
        <v>0</v>
      </c>
      <c r="K182" s="3">
        <f>-IF(RTD("tos.rtd",,K$2,"."&amp;$C$134&amp;$J$134&amp;"P"&amp;$A182)="N/A",0,RTD("tos.rtd",,K$2,"."&amp;$C$134&amp;$J$134&amp;"P"&amp;$A182))</f>
        <v>-12</v>
      </c>
      <c r="L182" s="48">
        <f>IF(RTD("tos.rtd",,L$2,"."&amp;$D$134&amp;$L$134&amp;"C"&amp;$A182)="N/A",0,RTD("tos.rtd",,L$2,"."&amp;$D$134&amp;$L$134&amp;"C"&amp;$A182))</f>
        <v>4</v>
      </c>
      <c r="M182" s="3">
        <f>-IF(RTD("tos.rtd",,M$2,"."&amp;$D$134&amp;$L$134&amp;"P"&amp;$A182)="N/A",0,RTD("tos.rtd",,M$2,"."&amp;$D$134&amp;$L$134&amp;"P"&amp;$A182))</f>
        <v>-8</v>
      </c>
      <c r="N182" s="3">
        <f t="shared" si="65"/>
        <v>-16</v>
      </c>
      <c r="O182" s="7">
        <f t="shared" si="75"/>
        <v>24475</v>
      </c>
      <c r="P182" s="48">
        <f>IF(RTD("tos.rtd",,P$43,"."&amp;$B$134&amp;$H$82&amp;"C"&amp;$A182)="N/A",0,RTD("tos.rtd",,P$43,"."&amp;$B$134&amp;$H$82&amp;"C"&amp;$A182))</f>
        <v>0</v>
      </c>
      <c r="Q182" s="3">
        <f>-IF(RTD("tos.rtd",,Q$43,"."&amp;$B$134&amp;$H$82&amp;"P"&amp;$A182)="N/A",0,RTD("tos.rtd",,Q$43,"."&amp;$B$134&amp;$H$82&amp;"P"&amp;$A182))</f>
        <v>0</v>
      </c>
      <c r="R182" s="48">
        <f>IF(RTD("tos.rtd",,R$2,"."&amp;$C$134&amp;$J$82&amp;"C"&amp;$A182)="N/A",0,RTD("tos.rtd",,R$2,"."&amp;$C$134&amp;$J$82&amp;"C"&amp;$A182))</f>
        <v>0</v>
      </c>
      <c r="S182" s="3">
        <f>-IF(RTD("tos.rtd",,S$2,"."&amp;$C$134&amp;$J$82&amp;"P"&amp;$A182)="N/A",0,RTD("tos.rtd",,S$2,"."&amp;$C$134&amp;$J$82&amp;"P"&amp;$A182))</f>
        <v>-5</v>
      </c>
      <c r="T182" s="48">
        <f>IF(RTD("tos.rtd",,T$2,"."&amp;$D$134&amp;$L$82&amp;"C"&amp;$A182)="N/A",0,RTD("tos.rtd",,T$2,"."&amp;$D$134&amp;$L$82&amp;"C"&amp;$A182))</f>
        <v>0</v>
      </c>
      <c r="U182" s="3">
        <f>-IF(RTD("tos.rtd",,U$2,"."&amp;$D$134&amp;$L$82&amp;"P"&amp;$A182)="N/A",0,RTD("tos.rtd",,U$2,"."&amp;$D$134&amp;$L$82&amp;"P"&amp;$A182))</f>
        <v>-6</v>
      </c>
      <c r="V182" s="3">
        <f ca="1">+Hoja2!Y183</f>
        <v>0</v>
      </c>
      <c r="W182" s="3">
        <f t="shared" ca="1" si="56"/>
        <v>-11</v>
      </c>
    </row>
    <row r="183" spans="1:23" ht="11.1" customHeight="1" thickBot="1" x14ac:dyDescent="0.25">
      <c r="A183" s="2">
        <f t="shared" si="57"/>
        <v>24450</v>
      </c>
      <c r="B183" s="3">
        <f t="shared" si="72"/>
        <v>-3</v>
      </c>
      <c r="C183" s="3">
        <f t="shared" si="73"/>
        <v>-217</v>
      </c>
      <c r="D183" s="3">
        <f t="shared" si="74"/>
        <v>-10</v>
      </c>
      <c r="E183" s="3">
        <f t="shared" si="76"/>
        <v>-230</v>
      </c>
      <c r="F183" s="4">
        <f t="shared" si="64"/>
        <v>24612.879615837439</v>
      </c>
      <c r="H183" s="48">
        <f>IF(RTD("tos.rtd",,H$83,"."&amp;$B$134&amp;$H$82&amp;"C"&amp;$A183)="N/A",0,RTD("tos.rtd",,H$83,"."&amp;$B$134&amp;$H$82&amp;"C"&amp;$A183))</f>
        <v>0</v>
      </c>
      <c r="I183" s="3">
        <f>-IF(RTD("tos.rtd",,I$83,"."&amp;$B$134&amp;$H$82&amp;"P"&amp;$A183)="N/A",0,RTD("tos.rtd",,I$83,"."&amp;$B$134&amp;$H$82&amp;"P"&amp;$A183))</f>
        <v>-3</v>
      </c>
      <c r="J183" s="48">
        <f>IF(RTD("tos.rtd",,J$2,"."&amp;$C$134&amp;$J$134&amp;"C"&amp;$A183)="N/A",0,RTD("tos.rtd",,J$2,"."&amp;$C$134&amp;$J$134&amp;"C"&amp;$A183))</f>
        <v>0</v>
      </c>
      <c r="K183" s="3">
        <f>-IF(RTD("tos.rtd",,K$2,"."&amp;$C$134&amp;$J$134&amp;"P"&amp;$A183)="N/A",0,RTD("tos.rtd",,K$2,"."&amp;$C$134&amp;$J$134&amp;"P"&amp;$A183))</f>
        <v>-217</v>
      </c>
      <c r="L183" s="48">
        <f>IF(RTD("tos.rtd",,L$2,"."&amp;$D$134&amp;$L$134&amp;"C"&amp;$A183)="N/A",0,RTD("tos.rtd",,L$2,"."&amp;$D$134&amp;$L$134&amp;"C"&amp;$A183))</f>
        <v>1</v>
      </c>
      <c r="M183" s="3">
        <f>-IF(RTD("tos.rtd",,M$2,"."&amp;$D$134&amp;$L$134&amp;"P"&amp;$A183)="N/A",0,RTD("tos.rtd",,M$2,"."&amp;$D$134&amp;$L$134&amp;"P"&amp;$A183))</f>
        <v>-11</v>
      </c>
      <c r="N183" s="3">
        <f t="shared" si="65"/>
        <v>-230</v>
      </c>
      <c r="O183" s="7">
        <f t="shared" si="75"/>
        <v>24450</v>
      </c>
      <c r="P183" s="48">
        <f>IF(RTD("tos.rtd",,P$43,"."&amp;$B$134&amp;$H$82&amp;"C"&amp;$A183)="N/A",0,RTD("tos.rtd",,P$43,"."&amp;$B$134&amp;$H$82&amp;"C"&amp;$A183))</f>
        <v>0</v>
      </c>
      <c r="Q183" s="3">
        <f>-IF(RTD("tos.rtd",,Q$43,"."&amp;$B$134&amp;$H$82&amp;"P"&amp;$A183)="N/A",0,RTD("tos.rtd",,Q$43,"."&amp;$B$134&amp;$H$82&amp;"P"&amp;$A183))</f>
        <v>-16</v>
      </c>
      <c r="R183" s="48">
        <f>IF(RTD("tos.rtd",,R$2,"."&amp;$C$134&amp;$J$82&amp;"C"&amp;$A183)="N/A",0,RTD("tos.rtd",,R$2,"."&amp;$C$134&amp;$J$82&amp;"C"&amp;$A183))</f>
        <v>0</v>
      </c>
      <c r="S183" s="3">
        <f>-IF(RTD("tos.rtd",,S$2,"."&amp;$C$134&amp;$J$82&amp;"P"&amp;$A183)="N/A",0,RTD("tos.rtd",,S$2,"."&amp;$C$134&amp;$J$82&amp;"P"&amp;$A183))</f>
        <v>-218</v>
      </c>
      <c r="T183" s="48">
        <f>IF(RTD("tos.rtd",,T$2,"."&amp;$D$134&amp;$L$82&amp;"C"&amp;$A183)="N/A",0,RTD("tos.rtd",,T$2,"."&amp;$D$134&amp;$L$82&amp;"C"&amp;$A183))</f>
        <v>0</v>
      </c>
      <c r="U183" s="3">
        <f>-IF(RTD("tos.rtd",,U$2,"."&amp;$D$134&amp;$L$82&amp;"P"&amp;$A183)="N/A",0,RTD("tos.rtd",,U$2,"."&amp;$D$134&amp;$L$82&amp;"P"&amp;$A183))</f>
        <v>-26</v>
      </c>
      <c r="V183" s="3">
        <f ca="1">+Hoja2!Y184</f>
        <v>-16</v>
      </c>
      <c r="W183" s="3">
        <f t="shared" ca="1" si="56"/>
        <v>-276</v>
      </c>
    </row>
    <row r="184" spans="1:23" ht="11.1" customHeight="1" thickBot="1" x14ac:dyDescent="0.25">
      <c r="A184" s="2">
        <f t="shared" si="57"/>
        <v>24425</v>
      </c>
      <c r="B184" s="3">
        <f t="shared" si="72"/>
        <v>0</v>
      </c>
      <c r="C184" s="3">
        <f t="shared" si="73"/>
        <v>-4</v>
      </c>
      <c r="D184" s="3">
        <f t="shared" si="74"/>
        <v>-6</v>
      </c>
      <c r="E184" s="3">
        <f t="shared" si="76"/>
        <v>-10</v>
      </c>
      <c r="F184" s="4">
        <f t="shared" si="64"/>
        <v>24587.713072262963</v>
      </c>
      <c r="H184" s="48">
        <f>IF(RTD("tos.rtd",,H$83,"."&amp;$B$134&amp;$H$82&amp;"C"&amp;$A184)="N/A",0,RTD("tos.rtd",,H$83,"."&amp;$B$134&amp;$H$82&amp;"C"&amp;$A184))</f>
        <v>0</v>
      </c>
      <c r="I184" s="3">
        <f>-IF(RTD("tos.rtd",,I$83,"."&amp;$B$134&amp;$H$82&amp;"P"&amp;$A184)="N/A",0,RTD("tos.rtd",,I$83,"."&amp;$B$134&amp;$H$82&amp;"P"&amp;$A184))</f>
        <v>0</v>
      </c>
      <c r="J184" s="48">
        <f>IF(RTD("tos.rtd",,J$2,"."&amp;$C$134&amp;$J$134&amp;"C"&amp;$A184)="N/A",0,RTD("tos.rtd",,J$2,"."&amp;$C$134&amp;$J$134&amp;"C"&amp;$A184))</f>
        <v>0</v>
      </c>
      <c r="K184" s="3">
        <f>-IF(RTD("tos.rtd",,K$2,"."&amp;$C$134&amp;$J$134&amp;"P"&amp;$A184)="N/A",0,RTD("tos.rtd",,K$2,"."&amp;$C$134&amp;$J$134&amp;"P"&amp;$A184))</f>
        <v>-4</v>
      </c>
      <c r="L184" s="48">
        <f>IF(RTD("tos.rtd",,L$2,"."&amp;$D$134&amp;$L$134&amp;"C"&amp;$A184)="N/A",0,RTD("tos.rtd",,L$2,"."&amp;$D$134&amp;$L$134&amp;"C"&amp;$A184))</f>
        <v>2</v>
      </c>
      <c r="M184" s="3">
        <f>-IF(RTD("tos.rtd",,M$2,"."&amp;$D$134&amp;$L$134&amp;"P"&amp;$A184)="N/A",0,RTD("tos.rtd",,M$2,"."&amp;$D$134&amp;$L$134&amp;"P"&amp;$A184))</f>
        <v>-8</v>
      </c>
      <c r="N184" s="3">
        <f t="shared" si="65"/>
        <v>-10</v>
      </c>
      <c r="O184" s="7">
        <f t="shared" si="75"/>
        <v>24425</v>
      </c>
      <c r="P184" s="48">
        <f>IF(RTD("tos.rtd",,P$43,"."&amp;$B$134&amp;$H$82&amp;"C"&amp;$A184)="N/A",0,RTD("tos.rtd",,P$43,"."&amp;$B$134&amp;$H$82&amp;"C"&amp;$A184))</f>
        <v>0</v>
      </c>
      <c r="Q184" s="3">
        <f>-IF(RTD("tos.rtd",,Q$43,"."&amp;$B$134&amp;$H$82&amp;"P"&amp;$A184)="N/A",0,RTD("tos.rtd",,Q$43,"."&amp;$B$134&amp;$H$82&amp;"P"&amp;$A184))</f>
        <v>0</v>
      </c>
      <c r="R184" s="48">
        <f>IF(RTD("tos.rtd",,R$2,"."&amp;$C$134&amp;$J$82&amp;"C"&amp;$A184)="N/A",0,RTD("tos.rtd",,R$2,"."&amp;$C$134&amp;$J$82&amp;"C"&amp;$A184))</f>
        <v>0</v>
      </c>
      <c r="S184" s="3">
        <f>-IF(RTD("tos.rtd",,S$2,"."&amp;$C$134&amp;$J$82&amp;"P"&amp;$A184)="N/A",0,RTD("tos.rtd",,S$2,"."&amp;$C$134&amp;$J$82&amp;"P"&amp;$A184))</f>
        <v>-10</v>
      </c>
      <c r="T184" s="48">
        <f>IF(RTD("tos.rtd",,T$2,"."&amp;$D$134&amp;$L$82&amp;"C"&amp;$A184)="N/A",0,RTD("tos.rtd",,T$2,"."&amp;$D$134&amp;$L$82&amp;"C"&amp;$A184))</f>
        <v>0</v>
      </c>
      <c r="U184" s="3">
        <f>-IF(RTD("tos.rtd",,U$2,"."&amp;$D$134&amp;$L$82&amp;"P"&amp;$A184)="N/A",0,RTD("tos.rtd",,U$2,"."&amp;$D$134&amp;$L$82&amp;"P"&amp;$A184))</f>
        <v>-4</v>
      </c>
      <c r="V184" s="3">
        <f ca="1">+Hoja2!Y185</f>
        <v>-31</v>
      </c>
      <c r="W184" s="3">
        <f t="shared" ca="1" si="56"/>
        <v>-45</v>
      </c>
    </row>
    <row r="185" spans="1:23" ht="11.1" customHeight="1" thickBot="1" x14ac:dyDescent="0.25">
      <c r="A185" s="2">
        <f t="shared" si="57"/>
        <v>24400</v>
      </c>
      <c r="B185" s="3">
        <f t="shared" si="72"/>
        <v>-25</v>
      </c>
      <c r="C185" s="3">
        <f t="shared" si="73"/>
        <v>-135</v>
      </c>
      <c r="D185" s="3">
        <f t="shared" si="74"/>
        <v>-27</v>
      </c>
      <c r="E185" s="3">
        <f t="shared" si="76"/>
        <v>-187</v>
      </c>
      <c r="F185" s="4">
        <f t="shared" si="64"/>
        <v>24562.546528688486</v>
      </c>
      <c r="H185" s="48">
        <f>IF(RTD("tos.rtd",,H$83,"."&amp;$B$134&amp;$H$82&amp;"C"&amp;$A185)="N/A",0,RTD("tos.rtd",,H$83,"."&amp;$B$134&amp;$H$82&amp;"C"&amp;$A185))</f>
        <v>0</v>
      </c>
      <c r="I185" s="3">
        <f>-IF(RTD("tos.rtd",,I$83,"."&amp;$B$134&amp;$H$82&amp;"P"&amp;$A185)="N/A",0,RTD("tos.rtd",,I$83,"."&amp;$B$134&amp;$H$82&amp;"P"&amp;$A185))</f>
        <v>-25</v>
      </c>
      <c r="J185" s="48">
        <f>IF(RTD("tos.rtd",,J$2,"."&amp;$C$134&amp;$J$134&amp;"C"&amp;$A185)="N/A",0,RTD("tos.rtd",,J$2,"."&amp;$C$134&amp;$J$134&amp;"C"&amp;$A185))</f>
        <v>0</v>
      </c>
      <c r="K185" s="3">
        <f>-IF(RTD("tos.rtd",,K$2,"."&amp;$C$134&amp;$J$134&amp;"P"&amp;$A185)="N/A",0,RTD("tos.rtd",,K$2,"."&amp;$C$134&amp;$J$134&amp;"P"&amp;$A185))</f>
        <v>-135</v>
      </c>
      <c r="L185" s="48">
        <f>IF(RTD("tos.rtd",,L$2,"."&amp;$D$134&amp;$L$134&amp;"C"&amp;$A185)="N/A",0,RTD("tos.rtd",,L$2,"."&amp;$D$134&amp;$L$134&amp;"C"&amp;$A185))</f>
        <v>7</v>
      </c>
      <c r="M185" s="3">
        <f>-IF(RTD("tos.rtd",,M$2,"."&amp;$D$134&amp;$L$134&amp;"P"&amp;$A185)="N/A",0,RTD("tos.rtd",,M$2,"."&amp;$D$134&amp;$L$134&amp;"P"&amp;$A185))</f>
        <v>-34</v>
      </c>
      <c r="N185" s="3">
        <f t="shared" si="65"/>
        <v>-187</v>
      </c>
      <c r="O185" s="7">
        <f t="shared" si="75"/>
        <v>24400</v>
      </c>
      <c r="P185" s="48">
        <f>IF(RTD("tos.rtd",,P$43,"."&amp;$B$134&amp;$H$82&amp;"C"&amp;$A185)="N/A",0,RTD("tos.rtd",,P$43,"."&amp;$B$134&amp;$H$82&amp;"C"&amp;$A185))</f>
        <v>2</v>
      </c>
      <c r="Q185" s="3">
        <f>-IF(RTD("tos.rtd",,Q$43,"."&amp;$B$134&amp;$H$82&amp;"P"&amp;$A185)="N/A",0,RTD("tos.rtd",,Q$43,"."&amp;$B$134&amp;$H$82&amp;"P"&amp;$A185))</f>
        <v>-152</v>
      </c>
      <c r="R185" s="48">
        <f>IF(RTD("tos.rtd",,R$2,"."&amp;$C$134&amp;$J$82&amp;"C"&amp;$A185)="N/A",0,RTD("tos.rtd",,R$2,"."&amp;$C$134&amp;$J$82&amp;"C"&amp;$A185))</f>
        <v>0</v>
      </c>
      <c r="S185" s="3">
        <f>-IF(RTD("tos.rtd",,S$2,"."&amp;$C$134&amp;$J$82&amp;"P"&amp;$A185)="N/A",0,RTD("tos.rtd",,S$2,"."&amp;$C$134&amp;$J$82&amp;"P"&amp;$A185))</f>
        <v>-42</v>
      </c>
      <c r="T185" s="48">
        <f>IF(RTD("tos.rtd",,T$2,"."&amp;$D$134&amp;$L$82&amp;"C"&amp;$A185)="N/A",0,RTD("tos.rtd",,T$2,"."&amp;$D$134&amp;$L$82&amp;"C"&amp;$A185))</f>
        <v>3</v>
      </c>
      <c r="U185" s="3">
        <f>-IF(RTD("tos.rtd",,U$2,"."&amp;$D$134&amp;$L$82&amp;"P"&amp;$A185)="N/A",0,RTD("tos.rtd",,U$2,"."&amp;$D$134&amp;$L$82&amp;"P"&amp;$A185))</f>
        <v>-17</v>
      </c>
      <c r="V185" s="3">
        <f ca="1">+Hoja2!Y186</f>
        <v>-183</v>
      </c>
      <c r="W185" s="3">
        <f t="shared" ca="1" si="56"/>
        <v>-389</v>
      </c>
    </row>
    <row r="186" spans="1:23" ht="11.1" customHeight="1" thickBot="1" x14ac:dyDescent="0.25">
      <c r="A186" s="2">
        <f t="shared" si="57"/>
        <v>24375</v>
      </c>
      <c r="B186" s="3">
        <f t="shared" si="72"/>
        <v>0</v>
      </c>
      <c r="C186" s="3">
        <f t="shared" si="73"/>
        <v>-3</v>
      </c>
      <c r="D186" s="3">
        <f t="shared" si="74"/>
        <v>2</v>
      </c>
      <c r="E186" s="3">
        <f t="shared" si="76"/>
        <v>-1</v>
      </c>
      <c r="F186" s="4">
        <f t="shared" si="64"/>
        <v>24537.37998511401</v>
      </c>
      <c r="H186" s="48">
        <f>IF(RTD("tos.rtd",,H$83,"."&amp;$B$134&amp;$H$82&amp;"C"&amp;$A186)="N/A",0,RTD("tos.rtd",,H$83,"."&amp;$B$134&amp;$H$82&amp;"C"&amp;$A186))</f>
        <v>0</v>
      </c>
      <c r="I186" s="3">
        <f>-IF(RTD("tos.rtd",,I$83,"."&amp;$B$134&amp;$H$82&amp;"P"&amp;$A186)="N/A",0,RTD("tos.rtd",,I$83,"."&amp;$B$134&amp;$H$82&amp;"P"&amp;$A186))</f>
        <v>0</v>
      </c>
      <c r="J186" s="48">
        <f>IF(RTD("tos.rtd",,J$2,"."&amp;$C$134&amp;$J$134&amp;"C"&amp;$A186)="N/A",0,RTD("tos.rtd",,J$2,"."&amp;$C$134&amp;$J$134&amp;"C"&amp;$A186))</f>
        <v>0</v>
      </c>
      <c r="K186" s="3">
        <f>-IF(RTD("tos.rtd",,K$2,"."&amp;$C$134&amp;$J$134&amp;"P"&amp;$A186)="N/A",0,RTD("tos.rtd",,K$2,"."&amp;$C$134&amp;$J$134&amp;"P"&amp;$A186))</f>
        <v>-3</v>
      </c>
      <c r="L186" s="48">
        <f>IF(RTD("tos.rtd",,L$2,"."&amp;$D$134&amp;$L$134&amp;"C"&amp;$A186)="N/A",0,RTD("tos.rtd",,L$2,"."&amp;$D$134&amp;$L$134&amp;"C"&amp;$A186))</f>
        <v>4</v>
      </c>
      <c r="M186" s="3">
        <f>-IF(RTD("tos.rtd",,M$2,"."&amp;$D$134&amp;$L$134&amp;"P"&amp;$A186)="N/A",0,RTD("tos.rtd",,M$2,"."&amp;$D$134&amp;$L$134&amp;"P"&amp;$A186))</f>
        <v>-2</v>
      </c>
      <c r="N186" s="3">
        <f t="shared" si="65"/>
        <v>-1</v>
      </c>
      <c r="O186" s="7">
        <f t="shared" si="75"/>
        <v>24375</v>
      </c>
      <c r="P186" s="48">
        <f>IF(RTD("tos.rtd",,P$43,"."&amp;$B$134&amp;$H$82&amp;"C"&amp;$A186)="N/A",0,RTD("tos.rtd",,P$43,"."&amp;$B$134&amp;$H$82&amp;"C"&amp;$A186))</f>
        <v>0</v>
      </c>
      <c r="Q186" s="3">
        <f>-IF(RTD("tos.rtd",,Q$43,"."&amp;$B$134&amp;$H$82&amp;"P"&amp;$A186)="N/A",0,RTD("tos.rtd",,Q$43,"."&amp;$B$134&amp;$H$82&amp;"P"&amp;$A186))</f>
        <v>0</v>
      </c>
      <c r="R186" s="48">
        <f>IF(RTD("tos.rtd",,R$2,"."&amp;$C$134&amp;$J$82&amp;"C"&amp;$A186)="N/A",0,RTD("tos.rtd",,R$2,"."&amp;$C$134&amp;$J$82&amp;"C"&amp;$A186))</f>
        <v>0</v>
      </c>
      <c r="S186" s="3">
        <f>-IF(RTD("tos.rtd",,S$2,"."&amp;$C$134&amp;$J$82&amp;"P"&amp;$A186)="N/A",0,RTD("tos.rtd",,S$2,"."&amp;$C$134&amp;$J$82&amp;"P"&amp;$A186))</f>
        <v>-4</v>
      </c>
      <c r="T186" s="48">
        <f>IF(RTD("tos.rtd",,T$2,"."&amp;$D$134&amp;$L$82&amp;"C"&amp;$A186)="N/A",0,RTD("tos.rtd",,T$2,"."&amp;$D$134&amp;$L$82&amp;"C"&amp;$A186))</f>
        <v>1</v>
      </c>
      <c r="U186" s="3">
        <f>-IF(RTD("tos.rtd",,U$2,"."&amp;$D$134&amp;$L$82&amp;"P"&amp;$A186)="N/A",0,RTD("tos.rtd",,U$2,"."&amp;$D$134&amp;$L$82&amp;"P"&amp;$A186))</f>
        <v>-3</v>
      </c>
      <c r="V186" s="3">
        <f ca="1">+Hoja2!Y187</f>
        <v>1</v>
      </c>
      <c r="W186" s="3">
        <f t="shared" ca="1" si="56"/>
        <v>-5</v>
      </c>
    </row>
    <row r="187" spans="1:23" ht="11.1" customHeight="1" thickBot="1" x14ac:dyDescent="0.25">
      <c r="A187" s="2">
        <f t="shared" si="57"/>
        <v>24350</v>
      </c>
      <c r="B187" s="3">
        <f t="shared" si="72"/>
        <v>-2</v>
      </c>
      <c r="C187" s="3">
        <f t="shared" si="73"/>
        <v>-23</v>
      </c>
      <c r="D187" s="3">
        <f t="shared" si="74"/>
        <v>-12</v>
      </c>
      <c r="E187" s="3">
        <f t="shared" si="76"/>
        <v>-37</v>
      </c>
      <c r="F187" s="4">
        <f t="shared" si="64"/>
        <v>24512.213441539534</v>
      </c>
      <c r="H187" s="48">
        <f>IF(RTD("tos.rtd",,H$83,"."&amp;$B$134&amp;$H$82&amp;"C"&amp;$A187)="N/A",0,RTD("tos.rtd",,H$83,"."&amp;$B$134&amp;$H$82&amp;"C"&amp;$A187))</f>
        <v>0</v>
      </c>
      <c r="I187" s="3">
        <f>-IF(RTD("tos.rtd",,I$83,"."&amp;$B$134&amp;$H$82&amp;"P"&amp;$A187)="N/A",0,RTD("tos.rtd",,I$83,"."&amp;$B$134&amp;$H$82&amp;"P"&amp;$A187))</f>
        <v>-2</v>
      </c>
      <c r="J187" s="48">
        <f>IF(RTD("tos.rtd",,J$2,"."&amp;$C$134&amp;$J$134&amp;"C"&amp;$A187)="N/A",0,RTD("tos.rtd",,J$2,"."&amp;$C$134&amp;$J$134&amp;"C"&amp;$A187))</f>
        <v>0</v>
      </c>
      <c r="K187" s="3">
        <f>-IF(RTD("tos.rtd",,K$2,"."&amp;$C$134&amp;$J$134&amp;"P"&amp;$A187)="N/A",0,RTD("tos.rtd",,K$2,"."&amp;$C$134&amp;$J$134&amp;"P"&amp;$A187))</f>
        <v>-23</v>
      </c>
      <c r="L187" s="48">
        <f>IF(RTD("tos.rtd",,L$2,"."&amp;$D$134&amp;$L$134&amp;"C"&amp;$A187)="N/A",0,RTD("tos.rtd",,L$2,"."&amp;$D$134&amp;$L$134&amp;"C"&amp;$A187))</f>
        <v>3</v>
      </c>
      <c r="M187" s="3">
        <f>-IF(RTD("tos.rtd",,M$2,"."&amp;$D$134&amp;$L$134&amp;"P"&amp;$A187)="N/A",0,RTD("tos.rtd",,M$2,"."&amp;$D$134&amp;$L$134&amp;"P"&amp;$A187))</f>
        <v>-15</v>
      </c>
      <c r="N187" s="3">
        <f t="shared" si="65"/>
        <v>-37</v>
      </c>
      <c r="O187" s="7">
        <f t="shared" si="75"/>
        <v>24350</v>
      </c>
      <c r="P187" s="48">
        <f>IF(RTD("tos.rtd",,P$43,"."&amp;$B$134&amp;$H$82&amp;"C"&amp;$A187)="N/A",0,RTD("tos.rtd",,P$43,"."&amp;$B$134&amp;$H$82&amp;"C"&amp;$A187))</f>
        <v>0</v>
      </c>
      <c r="Q187" s="3">
        <f>-IF(RTD("tos.rtd",,Q$43,"."&amp;$B$134&amp;$H$82&amp;"P"&amp;$A187)="N/A",0,RTD("tos.rtd",,Q$43,"."&amp;$B$134&amp;$H$82&amp;"P"&amp;$A187))</f>
        <v>-29</v>
      </c>
      <c r="R187" s="48">
        <f>IF(RTD("tos.rtd",,R$2,"."&amp;$C$134&amp;$J$82&amp;"C"&amp;$A187)="N/A",0,RTD("tos.rtd",,R$2,"."&amp;$C$134&amp;$J$82&amp;"C"&amp;$A187))</f>
        <v>0</v>
      </c>
      <c r="S187" s="3">
        <f>-IF(RTD("tos.rtd",,S$2,"."&amp;$C$134&amp;$J$82&amp;"P"&amp;$A187)="N/A",0,RTD("tos.rtd",,S$2,"."&amp;$C$134&amp;$J$82&amp;"P"&amp;$A187))</f>
        <v>-34</v>
      </c>
      <c r="T187" s="48">
        <f>IF(RTD("tos.rtd",,T$2,"."&amp;$D$134&amp;$L$82&amp;"C"&amp;$A187)="N/A",0,RTD("tos.rtd",,T$2,"."&amp;$D$134&amp;$L$82&amp;"C"&amp;$A187))</f>
        <v>5</v>
      </c>
      <c r="U187" s="3">
        <f>-IF(RTD("tos.rtd",,U$2,"."&amp;$D$134&amp;$L$82&amp;"P"&amp;$A187)="N/A",0,RTD("tos.rtd",,U$2,"."&amp;$D$134&amp;$L$82&amp;"P"&amp;$A187))</f>
        <v>-3</v>
      </c>
      <c r="V187" s="3">
        <f ca="1">+Hoja2!Y188</f>
        <v>-64</v>
      </c>
      <c r="W187" s="3">
        <f t="shared" ca="1" si="56"/>
        <v>-125</v>
      </c>
    </row>
    <row r="188" spans="1:23" ht="11.1" customHeight="1" thickBot="1" x14ac:dyDescent="0.25">
      <c r="A188" s="2">
        <f t="shared" si="57"/>
        <v>24325</v>
      </c>
      <c r="B188" s="3">
        <f t="shared" si="72"/>
        <v>0</v>
      </c>
      <c r="C188" s="3">
        <f t="shared" si="73"/>
        <v>-4</v>
      </c>
      <c r="D188" s="3">
        <f t="shared" si="74"/>
        <v>4</v>
      </c>
      <c r="E188" s="3">
        <f t="shared" si="76"/>
        <v>0</v>
      </c>
      <c r="F188" s="9">
        <f t="shared" si="64"/>
        <v>24487.046897965058</v>
      </c>
      <c r="H188" s="48">
        <f>IF(RTD("tos.rtd",,H$83,"."&amp;$B$134&amp;$H$82&amp;"C"&amp;$A188)="N/A",0,RTD("tos.rtd",,H$83,"."&amp;$B$134&amp;$H$82&amp;"C"&amp;$A188))</f>
        <v>0</v>
      </c>
      <c r="I188" s="3">
        <f>-IF(RTD("tos.rtd",,I$83,"."&amp;$B$134&amp;$H$82&amp;"P"&amp;$A188)="N/A",0,RTD("tos.rtd",,I$83,"."&amp;$B$134&amp;$H$82&amp;"P"&amp;$A188))</f>
        <v>0</v>
      </c>
      <c r="J188" s="48">
        <f>IF(RTD("tos.rtd",,J$2,"."&amp;$C$134&amp;$J$134&amp;"C"&amp;$A188)="N/A",0,RTD("tos.rtd",,J$2,"."&amp;$C$134&amp;$J$134&amp;"C"&amp;$A188))</f>
        <v>0</v>
      </c>
      <c r="K188" s="3">
        <f>-IF(RTD("tos.rtd",,K$2,"."&amp;$C$134&amp;$J$134&amp;"P"&amp;$A188)="N/A",0,RTD("tos.rtd",,K$2,"."&amp;$C$134&amp;$J$134&amp;"P"&amp;$A188))</f>
        <v>-4</v>
      </c>
      <c r="L188" s="48">
        <f>IF(RTD("tos.rtd",,L$2,"."&amp;$D$134&amp;$L$134&amp;"C"&amp;$A188)="N/A",0,RTD("tos.rtd",,L$2,"."&amp;$D$134&amp;$L$134&amp;"C"&amp;$A188))</f>
        <v>11</v>
      </c>
      <c r="M188" s="3">
        <f>-IF(RTD("tos.rtd",,M$2,"."&amp;$D$134&amp;$L$134&amp;"P"&amp;$A188)="N/A",0,RTD("tos.rtd",,M$2,"."&amp;$D$134&amp;$L$134&amp;"P"&amp;$A188))</f>
        <v>-7</v>
      </c>
      <c r="N188" s="3">
        <f t="shared" si="65"/>
        <v>0</v>
      </c>
      <c r="O188" s="7">
        <f t="shared" si="75"/>
        <v>24325</v>
      </c>
      <c r="P188" s="48">
        <f>IF(RTD("tos.rtd",,P$43,"."&amp;$B$134&amp;$H$82&amp;"C"&amp;$A188)="N/A",0,RTD("tos.rtd",,P$43,"."&amp;$B$134&amp;$H$82&amp;"C"&amp;$A188))</f>
        <v>0</v>
      </c>
      <c r="Q188" s="3">
        <f>-IF(RTD("tos.rtd",,Q$43,"."&amp;$B$134&amp;$H$82&amp;"P"&amp;$A188)="N/A",0,RTD("tos.rtd",,Q$43,"."&amp;$B$134&amp;$H$82&amp;"P"&amp;$A188))</f>
        <v>0</v>
      </c>
      <c r="R188" s="48">
        <f>IF(RTD("tos.rtd",,R$2,"."&amp;$C$134&amp;$J$82&amp;"C"&amp;$A188)="N/A",0,RTD("tos.rtd",,R$2,"."&amp;$C$134&amp;$J$82&amp;"C"&amp;$A188))</f>
        <v>0</v>
      </c>
      <c r="S188" s="3">
        <f>-IF(RTD("tos.rtd",,S$2,"."&amp;$C$134&amp;$J$82&amp;"P"&amp;$A188)="N/A",0,RTD("tos.rtd",,S$2,"."&amp;$C$134&amp;$J$82&amp;"P"&amp;$A188))</f>
        <v>-4</v>
      </c>
      <c r="T188" s="48">
        <f>IF(RTD("tos.rtd",,T$2,"."&amp;$D$134&amp;$L$82&amp;"C"&amp;$A188)="N/A",0,RTD("tos.rtd",,T$2,"."&amp;$D$134&amp;$L$82&amp;"C"&amp;$A188))</f>
        <v>0</v>
      </c>
      <c r="U188" s="3">
        <f>-IF(RTD("tos.rtd",,U$2,"."&amp;$D$134&amp;$L$82&amp;"P"&amp;$A188)="N/A",0,RTD("tos.rtd",,U$2,"."&amp;$D$134&amp;$L$82&amp;"P"&amp;$A188))</f>
        <v>-5</v>
      </c>
      <c r="V188" s="3">
        <f ca="1">+Hoja2!Y189</f>
        <v>0</v>
      </c>
      <c r="W188" s="3">
        <f t="shared" ca="1" si="56"/>
        <v>-9</v>
      </c>
    </row>
    <row r="189" spans="1:23" ht="11.1" customHeight="1" thickBot="1" x14ac:dyDescent="0.25">
      <c r="A189" s="2">
        <f t="shared" si="57"/>
        <v>24300</v>
      </c>
      <c r="B189" s="3">
        <f t="shared" si="72"/>
        <v>-13</v>
      </c>
      <c r="C189" s="3">
        <f t="shared" si="73"/>
        <v>-31</v>
      </c>
      <c r="D189" s="3">
        <f t="shared" si="74"/>
        <v>-164</v>
      </c>
      <c r="E189" s="3">
        <f t="shared" si="76"/>
        <v>-208</v>
      </c>
      <c r="F189" s="9">
        <f t="shared" si="64"/>
        <v>24461.880354390581</v>
      </c>
      <c r="H189" s="49">
        <f>IF(RTD("tos.rtd",,H$83,"."&amp;$B$134&amp;$H$82&amp;"C"&amp;$A189)="N/A",0,RTD("tos.rtd",,H$83,"."&amp;$B$134&amp;$H$82&amp;"C"&amp;$A189))</f>
        <v>0</v>
      </c>
      <c r="I189" s="31">
        <f>-IF(RTD("tos.rtd",,I$83,"."&amp;$B$134&amp;$H$82&amp;"P"&amp;$A189)="N/A",0,RTD("tos.rtd",,I$83,"."&amp;$B$134&amp;$H$82&amp;"P"&amp;$A189))</f>
        <v>-13</v>
      </c>
      <c r="J189" s="49">
        <f>IF(RTD("tos.rtd",,J$2,"."&amp;$C$134&amp;$J$134&amp;"C"&amp;$A189)="N/A",0,RTD("tos.rtd",,J$2,"."&amp;$C$134&amp;$J$134&amp;"C"&amp;$A189))</f>
        <v>0</v>
      </c>
      <c r="K189" s="31">
        <f>-IF(RTD("tos.rtd",,K$2,"."&amp;$C$134&amp;$J$134&amp;"P"&amp;$A189)="N/A",0,RTD("tos.rtd",,K$2,"."&amp;$C$134&amp;$J$134&amp;"P"&amp;$A189))</f>
        <v>-31</v>
      </c>
      <c r="L189" s="49">
        <f>IF(RTD("tos.rtd",,L$2,"."&amp;$D$134&amp;$L$134&amp;"C"&amp;$A189)="N/A",0,RTD("tos.rtd",,L$2,"."&amp;$D$134&amp;$L$134&amp;"C"&amp;$A189))</f>
        <v>7</v>
      </c>
      <c r="M189" s="31">
        <f>-IF(RTD("tos.rtd",,M$2,"."&amp;$D$134&amp;$L$134&amp;"P"&amp;$A189)="N/A",0,RTD("tos.rtd",,M$2,"."&amp;$D$134&amp;$L$134&amp;"P"&amp;$A189))</f>
        <v>-171</v>
      </c>
      <c r="N189" s="3">
        <f t="shared" si="65"/>
        <v>-208</v>
      </c>
      <c r="O189" s="7">
        <f t="shared" si="75"/>
        <v>24300</v>
      </c>
      <c r="P189" s="49">
        <f>IF(RTD("tos.rtd",,P$43,"."&amp;$B$134&amp;$H$82&amp;"C"&amp;$A189)="N/A",0,RTD("tos.rtd",,P$43,"."&amp;$B$134&amp;$H$82&amp;"C"&amp;$A189))</f>
        <v>0</v>
      </c>
      <c r="Q189" s="31">
        <f>-IF(RTD("tos.rtd",,Q$43,"."&amp;$B$134&amp;$H$82&amp;"P"&amp;$A189)="N/A",0,RTD("tos.rtd",,Q$43,"."&amp;$B$134&amp;$H$82&amp;"P"&amp;$A189))</f>
        <v>-533</v>
      </c>
      <c r="R189" s="14">
        <f>IF(RTD("tos.rtd",,R$2,"."&amp;$C$134&amp;$J$82&amp;"C"&amp;$A189)="N/A",0,RTD("tos.rtd",,R$2,"."&amp;$C$134&amp;$J$82&amp;"C"&amp;$A189))</f>
        <v>0</v>
      </c>
      <c r="S189" s="14">
        <f>-IF(RTD("tos.rtd",,S$2,"."&amp;$C$134&amp;$J$82&amp;"P"&amp;$A189)="N/A",0,RTD("tos.rtd",,S$2,"."&amp;$C$134&amp;$J$82&amp;"P"&amp;$A189))</f>
        <v>-4</v>
      </c>
      <c r="T189" s="49">
        <f>IF(RTD("tos.rtd",,T$2,"."&amp;$D$134&amp;$L$82&amp;"C"&amp;$A189)="N/A",0,RTD("tos.rtd",,T$2,"."&amp;$D$134&amp;$L$82&amp;"C"&amp;$A189))</f>
        <v>40</v>
      </c>
      <c r="U189" s="31">
        <f>-IF(RTD("tos.rtd",,U$2,"."&amp;$D$134&amp;$L$82&amp;"P"&amp;$A189)="N/A",0,RTD("tos.rtd",,U$2,"."&amp;$D$134&amp;$L$82&amp;"P"&amp;$A189))</f>
        <v>-9</v>
      </c>
      <c r="V189" s="3">
        <f ca="1">+Hoja2!Y190</f>
        <v>-552</v>
      </c>
      <c r="W189" s="3">
        <f t="shared" ca="1" si="56"/>
        <v>-1058</v>
      </c>
    </row>
    <row r="190" spans="1:23" ht="13.5" thickBot="1" x14ac:dyDescent="0.25">
      <c r="A190" s="49"/>
      <c r="C190" s="31"/>
      <c r="D190" s="31"/>
      <c r="E190" s="31"/>
      <c r="F190" s="50"/>
      <c r="W190" s="1">
        <f ca="1">MIN(W137:W189)</f>
        <v>-1058</v>
      </c>
    </row>
  </sheetData>
  <conditionalFormatting sqref="C40">
    <cfRule type="colorScale" priority="2658">
      <colorScale>
        <cfvo type="min"/>
        <cfvo type="max"/>
        <color rgb="FFFCFCFF"/>
        <color rgb="FFF8696B"/>
      </colorScale>
    </cfRule>
  </conditionalFormatting>
  <conditionalFormatting sqref="C41 B42">
    <cfRule type="colorScale" priority="2657">
      <colorScale>
        <cfvo type="min"/>
        <cfvo type="max"/>
        <color rgb="FFFCFCFF"/>
        <color rgb="FFF8696B"/>
      </colorScale>
    </cfRule>
  </conditionalFormatting>
  <conditionalFormatting sqref="A4:A38">
    <cfRule type="expression" dxfId="52" priority="2545">
      <formula>A4&lt;$F$1</formula>
    </cfRule>
  </conditionalFormatting>
  <conditionalFormatting sqref="A85:A130">
    <cfRule type="expression" dxfId="51" priority="2543">
      <formula>A85&lt;$F$82</formula>
    </cfRule>
  </conditionalFormatting>
  <conditionalFormatting sqref="A45:A79">
    <cfRule type="expression" dxfId="50" priority="3145">
      <formula>A45&lt;$F$42</formula>
    </cfRule>
  </conditionalFormatting>
  <conditionalFormatting sqref="B3:E3">
    <cfRule type="colorScale" priority="25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4:E44">
    <cfRule type="colorScale" priority="25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4:E84">
    <cfRule type="colorScale" priority="25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6:E136">
    <cfRule type="colorScale" priority="25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86:A130">
    <cfRule type="expression" dxfId="49" priority="2468">
      <formula>A86&lt;$F$82</formula>
    </cfRule>
  </conditionalFormatting>
  <conditionalFormatting sqref="A111:A130">
    <cfRule type="expression" dxfId="48" priority="2416">
      <formula>A111&lt;$F$82</formula>
    </cfRule>
  </conditionalFormatting>
  <conditionalFormatting sqref="A59">
    <cfRule type="expression" dxfId="47" priority="2159">
      <formula>A59&lt;$F$42</formula>
    </cfRule>
  </conditionalFormatting>
  <conditionalFormatting sqref="A74">
    <cfRule type="expression" dxfId="46" priority="2098">
      <formula>A74&lt;$F$42</formula>
    </cfRule>
  </conditionalFormatting>
  <conditionalFormatting sqref="A93:A98">
    <cfRule type="expression" dxfId="45" priority="868">
      <formula>A93&lt;$F$82</formula>
    </cfRule>
  </conditionalFormatting>
  <conditionalFormatting sqref="A117:A121">
    <cfRule type="expression" dxfId="44" priority="732">
      <formula>A117&lt;$F$82</formula>
    </cfRule>
  </conditionalFormatting>
  <conditionalFormatting sqref="A9:A14">
    <cfRule type="expression" dxfId="43" priority="377">
      <formula>A9&lt;$F$1</formula>
    </cfRule>
  </conditionalFormatting>
  <conditionalFormatting sqref="A23:A38">
    <cfRule type="expression" dxfId="42" priority="327">
      <formula>A23&lt;$F$1</formula>
    </cfRule>
  </conditionalFormatting>
  <conditionalFormatting sqref="A49:A53 A56">
    <cfRule type="expression" dxfId="41" priority="322">
      <formula>A49&lt;$F$42</formula>
    </cfRule>
  </conditionalFormatting>
  <conditionalFormatting sqref="A55">
    <cfRule type="expression" dxfId="40" priority="297">
      <formula>A55&lt;$F$42</formula>
    </cfRule>
  </conditionalFormatting>
  <conditionalFormatting sqref="A55">
    <cfRule type="expression" dxfId="39" priority="296">
      <formula>A55&lt;$F$42</formula>
    </cfRule>
  </conditionalFormatting>
  <conditionalFormatting sqref="A54">
    <cfRule type="expression" dxfId="38" priority="271">
      <formula>A54&lt;$F$42</formula>
    </cfRule>
  </conditionalFormatting>
  <conditionalFormatting sqref="A54">
    <cfRule type="expression" dxfId="37" priority="270">
      <formula>A54&lt;$F$42</formula>
    </cfRule>
  </conditionalFormatting>
  <conditionalFormatting sqref="A65:A69">
    <cfRule type="expression" dxfId="36" priority="245">
      <formula>A65&lt;$F$42</formula>
    </cfRule>
  </conditionalFormatting>
  <conditionalFormatting sqref="H4:H38">
    <cfRule type="colorScale" priority="216">
      <colorScale>
        <cfvo type="min"/>
        <cfvo type="percentile" val="50"/>
        <cfvo type="max"/>
        <color rgb="FFFCFCFF"/>
        <color theme="0"/>
        <color rgb="FF3D9354"/>
      </colorScale>
    </cfRule>
  </conditionalFormatting>
  <conditionalFormatting sqref="I4:I38">
    <cfRule type="colorScale" priority="215">
      <colorScale>
        <cfvo type="min"/>
        <cfvo type="percentile" val="50"/>
        <cfvo type="max"/>
        <color rgb="FFF8696B"/>
        <color theme="0"/>
        <color rgb="FFFCFCFF"/>
      </colorScale>
    </cfRule>
  </conditionalFormatting>
  <conditionalFormatting sqref="H85:H130">
    <cfRule type="colorScale" priority="202">
      <colorScale>
        <cfvo type="min"/>
        <cfvo type="percentile" val="50"/>
        <cfvo type="max"/>
        <color rgb="FFFCFCFF"/>
        <color theme="0"/>
        <color rgb="FF63BE7B"/>
      </colorScale>
    </cfRule>
  </conditionalFormatting>
  <conditionalFormatting sqref="I85:I130">
    <cfRule type="colorScale" priority="201">
      <colorScale>
        <cfvo type="min"/>
        <cfvo type="percentile" val="50"/>
        <cfvo type="max"/>
        <color rgb="FFF8696B"/>
        <color theme="0"/>
        <color rgb="FFFCFCFF"/>
      </colorScale>
    </cfRule>
  </conditionalFormatting>
  <conditionalFormatting sqref="P4:P38">
    <cfRule type="colorScale" priority="188">
      <colorScale>
        <cfvo type="min"/>
        <cfvo type="percentile" val="50"/>
        <cfvo type="max"/>
        <color rgb="FFFCFCFF"/>
        <color theme="0"/>
        <color rgb="FF63BE7B"/>
      </colorScale>
    </cfRule>
  </conditionalFormatting>
  <conditionalFormatting sqref="Q4:Q38">
    <cfRule type="colorScale" priority="187">
      <colorScale>
        <cfvo type="min"/>
        <cfvo type="percentile" val="50"/>
        <cfvo type="max"/>
        <color rgb="FFF8696B"/>
        <color theme="0"/>
        <color rgb="FFFCFCFF"/>
      </colorScale>
    </cfRule>
  </conditionalFormatting>
  <conditionalFormatting sqref="Q132">
    <cfRule type="colorScale" priority="173">
      <colorScale>
        <cfvo type="min"/>
        <cfvo type="max"/>
        <color rgb="FFF8696B"/>
        <color rgb="FFFCFCFF"/>
      </colorScale>
    </cfRule>
  </conditionalFormatting>
  <conditionalFormatting sqref="S132">
    <cfRule type="colorScale" priority="159">
      <colorScale>
        <cfvo type="min"/>
        <cfvo type="max"/>
        <color rgb="FFF8696B"/>
        <color rgb="FFFCFCFF"/>
      </colorScale>
    </cfRule>
  </conditionalFormatting>
  <conditionalFormatting sqref="U132:V132">
    <cfRule type="colorScale" priority="158">
      <colorScale>
        <cfvo type="min"/>
        <cfvo type="max"/>
        <color rgb="FFF8696B"/>
        <color rgb="FFFCFCFF"/>
      </colorScale>
    </cfRule>
  </conditionalFormatting>
  <conditionalFormatting sqref="B137:B189">
    <cfRule type="colorScale" priority="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H137:H189">
    <cfRule type="colorScale" priority="151">
      <colorScale>
        <cfvo type="min"/>
        <cfvo type="percentile" val="50"/>
        <cfvo type="max"/>
        <color rgb="FFFCFCFF"/>
        <color theme="0"/>
        <color rgb="FF63BE7B"/>
      </colorScale>
    </cfRule>
  </conditionalFormatting>
  <conditionalFormatting sqref="I137:I189">
    <cfRule type="colorScale" priority="150">
      <colorScale>
        <cfvo type="min"/>
        <cfvo type="percentile" val="50"/>
        <cfvo type="max"/>
        <color rgb="FFF8696B"/>
        <color theme="0"/>
        <color rgb="FFFCFCFF"/>
      </colorScale>
    </cfRule>
  </conditionalFormatting>
  <conditionalFormatting sqref="P137:P189">
    <cfRule type="colorScale" priority="144">
      <colorScale>
        <cfvo type="min"/>
        <cfvo type="max"/>
        <color rgb="FFFCFCFF"/>
        <color rgb="FF63BE7B"/>
      </colorScale>
    </cfRule>
  </conditionalFormatting>
  <conditionalFormatting sqref="Q137:Q189">
    <cfRule type="colorScale" priority="143">
      <colorScale>
        <cfvo type="min"/>
        <cfvo type="max"/>
        <color rgb="FFF8696B"/>
        <color rgb="FFFCFCFF"/>
      </colorScale>
    </cfRule>
  </conditionalFormatting>
  <conditionalFormatting sqref="R137:R188">
    <cfRule type="colorScale" priority="142">
      <colorScale>
        <cfvo type="min"/>
        <cfvo type="max"/>
        <color rgb="FFFCFCFF"/>
        <color rgb="FF63BE7B"/>
      </colorScale>
    </cfRule>
  </conditionalFormatting>
  <conditionalFormatting sqref="S137:S188">
    <cfRule type="colorScale" priority="141">
      <colorScale>
        <cfvo type="min"/>
        <cfvo type="max"/>
        <color rgb="FFF8696B"/>
        <color rgb="FFFCFCFF"/>
      </colorScale>
    </cfRule>
  </conditionalFormatting>
  <conditionalFormatting sqref="T137:T189">
    <cfRule type="colorScale" priority="140">
      <colorScale>
        <cfvo type="min"/>
        <cfvo type="max"/>
        <color rgb="FFFCFCFF"/>
        <color rgb="FF63BE7B"/>
      </colorScale>
    </cfRule>
  </conditionalFormatting>
  <conditionalFormatting sqref="U137:U189">
    <cfRule type="colorScale" priority="139">
      <colorScale>
        <cfvo type="min"/>
        <cfvo type="max"/>
        <color rgb="FFF8696B"/>
        <color rgb="FFFCFCFF"/>
      </colorScale>
    </cfRule>
  </conditionalFormatting>
  <conditionalFormatting sqref="P85:P130">
    <cfRule type="colorScale" priority="137">
      <colorScale>
        <cfvo type="min"/>
        <cfvo type="percentile" val="50"/>
        <cfvo type="max"/>
        <color rgb="FFFCFCFF"/>
        <color theme="0"/>
        <color rgb="FF63BE7B"/>
      </colorScale>
    </cfRule>
  </conditionalFormatting>
  <conditionalFormatting sqref="Q85:Q130">
    <cfRule type="colorScale" priority="136">
      <colorScale>
        <cfvo type="min"/>
        <cfvo type="percentile" val="50"/>
        <cfvo type="max"/>
        <color rgb="FFF8696B"/>
        <color theme="0"/>
        <color rgb="FFFCFCFF"/>
      </colorScale>
    </cfRule>
  </conditionalFormatting>
  <conditionalFormatting sqref="B85:B130">
    <cfRule type="colorScale" priority="1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45:B79">
    <cfRule type="colorScale" priority="2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J4:J38">
    <cfRule type="colorScale" priority="63">
      <colorScale>
        <cfvo type="min"/>
        <cfvo type="percentile" val="50"/>
        <cfvo type="max"/>
        <color rgb="FFFCFCFF"/>
        <color theme="0"/>
        <color rgb="FF3D9354"/>
      </colorScale>
    </cfRule>
  </conditionalFormatting>
  <conditionalFormatting sqref="K4:K38">
    <cfRule type="colorScale" priority="62">
      <colorScale>
        <cfvo type="min"/>
        <cfvo type="percentile" val="50"/>
        <cfvo type="max"/>
        <color rgb="FFF8696B"/>
        <color theme="0"/>
        <color rgb="FFFCFCFF"/>
      </colorScale>
    </cfRule>
  </conditionalFormatting>
  <conditionalFormatting sqref="L4:L38">
    <cfRule type="colorScale" priority="61">
      <colorScale>
        <cfvo type="min"/>
        <cfvo type="percentile" val="50"/>
        <cfvo type="max"/>
        <color rgb="FFFCFCFF"/>
        <color theme="0"/>
        <color rgb="FF3D9354"/>
      </colorScale>
    </cfRule>
  </conditionalFormatting>
  <conditionalFormatting sqref="M4:M38">
    <cfRule type="colorScale" priority="60">
      <colorScale>
        <cfvo type="min"/>
        <cfvo type="percentile" val="50"/>
        <cfvo type="max"/>
        <color rgb="FFF8696B"/>
        <color theme="0"/>
        <color rgb="FFFCFCFF"/>
      </colorScale>
    </cfRule>
  </conditionalFormatting>
  <conditionalFormatting sqref="N4:N38">
    <cfRule type="colorScale" priority="5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H45:H79">
    <cfRule type="colorScale" priority="58">
      <colorScale>
        <cfvo type="min"/>
        <cfvo type="percentile" val="50"/>
        <cfvo type="max"/>
        <color rgb="FFFCFCFF"/>
        <color theme="0"/>
        <color rgb="FF3D9354"/>
      </colorScale>
    </cfRule>
  </conditionalFormatting>
  <conditionalFormatting sqref="I45:I79">
    <cfRule type="colorScale" priority="57">
      <colorScale>
        <cfvo type="min"/>
        <cfvo type="percentile" val="50"/>
        <cfvo type="max"/>
        <color rgb="FFF8696B"/>
        <color theme="0"/>
        <color rgb="FFFCFCFF"/>
      </colorScale>
    </cfRule>
  </conditionalFormatting>
  <conditionalFormatting sqref="J45:J79">
    <cfRule type="colorScale" priority="56">
      <colorScale>
        <cfvo type="min"/>
        <cfvo type="percentile" val="50"/>
        <cfvo type="max"/>
        <color rgb="FFFCFCFF"/>
        <color theme="0"/>
        <color rgb="FF3D9354"/>
      </colorScale>
    </cfRule>
  </conditionalFormatting>
  <conditionalFormatting sqref="K45:K79">
    <cfRule type="colorScale" priority="55">
      <colorScale>
        <cfvo type="min"/>
        <cfvo type="percentile" val="50"/>
        <cfvo type="max"/>
        <color rgb="FFF8696B"/>
        <color theme="0"/>
        <color rgb="FFFCFCFF"/>
      </colorScale>
    </cfRule>
  </conditionalFormatting>
  <conditionalFormatting sqref="L45:L79">
    <cfRule type="colorScale" priority="54">
      <colorScale>
        <cfvo type="min"/>
        <cfvo type="percentile" val="50"/>
        <cfvo type="max"/>
        <color rgb="FFFCFCFF"/>
        <color theme="0"/>
        <color rgb="FF3D9354"/>
      </colorScale>
    </cfRule>
  </conditionalFormatting>
  <conditionalFormatting sqref="M45:M79">
    <cfRule type="colorScale" priority="53">
      <colorScale>
        <cfvo type="min"/>
        <cfvo type="percentile" val="50"/>
        <cfvo type="max"/>
        <color rgb="FFF8696B"/>
        <color theme="0"/>
        <color rgb="FFFCFCFF"/>
      </colorScale>
    </cfRule>
  </conditionalFormatting>
  <conditionalFormatting sqref="N45:N79">
    <cfRule type="colorScale" priority="5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J85:J130">
    <cfRule type="colorScale" priority="51">
      <colorScale>
        <cfvo type="min"/>
        <cfvo type="percentile" val="50"/>
        <cfvo type="max"/>
        <color rgb="FFFCFCFF"/>
        <color theme="0"/>
        <color rgb="FF63BE7B"/>
      </colorScale>
    </cfRule>
  </conditionalFormatting>
  <conditionalFormatting sqref="K85:K130">
    <cfRule type="colorScale" priority="50">
      <colorScale>
        <cfvo type="min"/>
        <cfvo type="percentile" val="50"/>
        <cfvo type="max"/>
        <color rgb="FFF8696B"/>
        <color theme="0"/>
        <color rgb="FFFCFCFF"/>
      </colorScale>
    </cfRule>
  </conditionalFormatting>
  <conditionalFormatting sqref="L85:L130">
    <cfRule type="colorScale" priority="49">
      <colorScale>
        <cfvo type="min"/>
        <cfvo type="percentile" val="50"/>
        <cfvo type="max"/>
        <color rgb="FFFCFCFF"/>
        <color theme="0"/>
        <color rgb="FF63BE7B"/>
      </colorScale>
    </cfRule>
  </conditionalFormatting>
  <conditionalFormatting sqref="M85:M130">
    <cfRule type="colorScale" priority="48">
      <colorScale>
        <cfvo type="min"/>
        <cfvo type="percentile" val="50"/>
        <cfvo type="max"/>
        <color rgb="FFF8696B"/>
        <color theme="0"/>
        <color rgb="FFFCFCFF"/>
      </colorScale>
    </cfRule>
  </conditionalFormatting>
  <conditionalFormatting sqref="J137:J189">
    <cfRule type="colorScale" priority="47">
      <colorScale>
        <cfvo type="min"/>
        <cfvo type="percentile" val="50"/>
        <cfvo type="max"/>
        <color rgb="FFFCFCFF"/>
        <color theme="0"/>
        <color rgb="FF63BE7B"/>
      </colorScale>
    </cfRule>
  </conditionalFormatting>
  <conditionalFormatting sqref="K137:K189">
    <cfRule type="colorScale" priority="46">
      <colorScale>
        <cfvo type="min"/>
        <cfvo type="percentile" val="50"/>
        <cfvo type="max"/>
        <color rgb="FFF8696B"/>
        <color theme="0"/>
        <color rgb="FFFCFCFF"/>
      </colorScale>
    </cfRule>
  </conditionalFormatting>
  <conditionalFormatting sqref="L137:L189">
    <cfRule type="colorScale" priority="45">
      <colorScale>
        <cfvo type="min"/>
        <cfvo type="percentile" val="50"/>
        <cfvo type="max"/>
        <color rgb="FFFCFCFF"/>
        <color theme="0"/>
        <color rgb="FF63BE7B"/>
      </colorScale>
    </cfRule>
  </conditionalFormatting>
  <conditionalFormatting sqref="M137:M189">
    <cfRule type="colorScale" priority="44">
      <colorScale>
        <cfvo type="min"/>
        <cfvo type="percentile" val="50"/>
        <cfvo type="max"/>
        <color rgb="FFF8696B"/>
        <color theme="0"/>
        <color rgb="FFFCFCFF"/>
      </colorScale>
    </cfRule>
  </conditionalFormatting>
  <conditionalFormatting sqref="R4:R38">
    <cfRule type="colorScale" priority="43">
      <colorScale>
        <cfvo type="min"/>
        <cfvo type="percentile" val="50"/>
        <cfvo type="max"/>
        <color rgb="FFFCFCFF"/>
        <color theme="0"/>
        <color rgb="FF63BE7B"/>
      </colorScale>
    </cfRule>
  </conditionalFormatting>
  <conditionalFormatting sqref="S4:S38">
    <cfRule type="colorScale" priority="42">
      <colorScale>
        <cfvo type="min"/>
        <cfvo type="percentile" val="50"/>
        <cfvo type="max"/>
        <color rgb="FFF8696B"/>
        <color theme="0"/>
        <color rgb="FFFCFCFF"/>
      </colorScale>
    </cfRule>
  </conditionalFormatting>
  <conditionalFormatting sqref="T4:T38">
    <cfRule type="colorScale" priority="41">
      <colorScale>
        <cfvo type="min"/>
        <cfvo type="percentile" val="50"/>
        <cfvo type="max"/>
        <color rgb="FFFCFCFF"/>
        <color theme="0"/>
        <color rgb="FF63BE7B"/>
      </colorScale>
    </cfRule>
  </conditionalFormatting>
  <conditionalFormatting sqref="U4:U38">
    <cfRule type="colorScale" priority="40">
      <colorScale>
        <cfvo type="min"/>
        <cfvo type="percentile" val="50"/>
        <cfvo type="max"/>
        <color rgb="FFF8696B"/>
        <color theme="0"/>
        <color rgb="FFFCFCFF"/>
      </colorScale>
    </cfRule>
  </conditionalFormatting>
  <conditionalFormatting sqref="P45:P79">
    <cfRule type="colorScale" priority="39">
      <colorScale>
        <cfvo type="min"/>
        <cfvo type="percentile" val="50"/>
        <cfvo type="max"/>
        <color rgb="FFFCFCFF"/>
        <color theme="0"/>
        <color rgb="FF63BE7B"/>
      </colorScale>
    </cfRule>
  </conditionalFormatting>
  <conditionalFormatting sqref="Q45:Q79">
    <cfRule type="colorScale" priority="38">
      <colorScale>
        <cfvo type="min"/>
        <cfvo type="percentile" val="50"/>
        <cfvo type="max"/>
        <color rgb="FFF8696B"/>
        <color theme="0"/>
        <color rgb="FFFCFCFF"/>
      </colorScale>
    </cfRule>
  </conditionalFormatting>
  <conditionalFormatting sqref="R45:R79">
    <cfRule type="colorScale" priority="37">
      <colorScale>
        <cfvo type="min"/>
        <cfvo type="percentile" val="50"/>
        <cfvo type="max"/>
        <color rgb="FFFCFCFF"/>
        <color theme="0"/>
        <color rgb="FF63BE7B"/>
      </colorScale>
    </cfRule>
  </conditionalFormatting>
  <conditionalFormatting sqref="S45:S79">
    <cfRule type="colorScale" priority="36">
      <colorScale>
        <cfvo type="min"/>
        <cfvo type="percentile" val="50"/>
        <cfvo type="max"/>
        <color rgb="FFF8696B"/>
        <color theme="0"/>
        <color rgb="FFFCFCFF"/>
      </colorScale>
    </cfRule>
  </conditionalFormatting>
  <conditionalFormatting sqref="T45:T79">
    <cfRule type="colorScale" priority="35">
      <colorScale>
        <cfvo type="min"/>
        <cfvo type="percentile" val="50"/>
        <cfvo type="max"/>
        <color rgb="FFFCFCFF"/>
        <color theme="0"/>
        <color rgb="FF63BE7B"/>
      </colorScale>
    </cfRule>
  </conditionalFormatting>
  <conditionalFormatting sqref="U45:U79">
    <cfRule type="colorScale" priority="34">
      <colorScale>
        <cfvo type="min"/>
        <cfvo type="percentile" val="50"/>
        <cfvo type="max"/>
        <color rgb="FFF8696B"/>
        <color theme="0"/>
        <color rgb="FFFCFCFF"/>
      </colorScale>
    </cfRule>
  </conditionalFormatting>
  <conditionalFormatting sqref="R85:R130">
    <cfRule type="colorScale" priority="33">
      <colorScale>
        <cfvo type="min"/>
        <cfvo type="percentile" val="50"/>
        <cfvo type="max"/>
        <color rgb="FFFCFCFF"/>
        <color theme="0"/>
        <color rgb="FF63BE7B"/>
      </colorScale>
    </cfRule>
  </conditionalFormatting>
  <conditionalFormatting sqref="S85:S130">
    <cfRule type="colorScale" priority="32">
      <colorScale>
        <cfvo type="min"/>
        <cfvo type="percentile" val="50"/>
        <cfvo type="max"/>
        <color rgb="FFF8696B"/>
        <color theme="0"/>
        <color rgb="FFFCFCFF"/>
      </colorScale>
    </cfRule>
  </conditionalFormatting>
  <conditionalFormatting sqref="T85:T130">
    <cfRule type="colorScale" priority="31">
      <colorScale>
        <cfvo type="min"/>
        <cfvo type="percentile" val="50"/>
        <cfvo type="max"/>
        <color rgb="FFFCFCFF"/>
        <color theme="0"/>
        <color rgb="FF63BE7B"/>
      </colorScale>
    </cfRule>
  </conditionalFormatting>
  <conditionalFormatting sqref="U85:U130">
    <cfRule type="colorScale" priority="30">
      <colorScale>
        <cfvo type="min"/>
        <cfvo type="percentile" val="50"/>
        <cfvo type="max"/>
        <color rgb="FFF8696B"/>
        <color theme="0"/>
        <color rgb="FFFCFCFF"/>
      </colorScale>
    </cfRule>
  </conditionalFormatting>
  <conditionalFormatting sqref="G2">
    <cfRule type="dataBar" priority="38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{347D005F-749D-475B-BA2B-8FFD6FAC2F55}</x14:id>
        </ext>
      </extLst>
    </cfRule>
  </conditionalFormatting>
  <conditionalFormatting sqref="G1">
    <cfRule type="dataBar" priority="38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{30BDB15D-9E4E-4582-BD62-69FDF3DCDA63}</x14:id>
        </ext>
      </extLst>
    </cfRule>
  </conditionalFormatting>
  <conditionalFormatting sqref="G43">
    <cfRule type="dataBar" priority="38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{AC35B083-9921-45A7-9C15-640992C07F11}</x14:id>
        </ext>
      </extLst>
    </cfRule>
  </conditionalFormatting>
  <conditionalFormatting sqref="G83">
    <cfRule type="dataBar" priority="38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{0284C3E3-1F73-449D-B3B2-6C12BBC8B769}</x14:id>
        </ext>
      </extLst>
    </cfRule>
  </conditionalFormatting>
  <conditionalFormatting sqref="G135">
    <cfRule type="dataBar" priority="38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{D6C08B44-F03F-46FF-92BB-6D0409D76146}</x14:id>
        </ext>
      </extLst>
    </cfRule>
  </conditionalFormatting>
  <conditionalFormatting sqref="B4:B38">
    <cfRule type="colorScale" priority="2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C45:C79">
    <cfRule type="colorScale" priority="24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D45:D79">
    <cfRule type="colorScale" priority="23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E45:E79">
    <cfRule type="colorScale" priority="22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C4:C38">
    <cfRule type="colorScale" priority="2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:D38">
    <cfRule type="colorScale" priority="2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E4:E38">
    <cfRule type="colorScale" priority="1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V4:V38">
    <cfRule type="colorScale" priority="1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W4:W38">
    <cfRule type="colorScale" priority="1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V45:V79">
    <cfRule type="colorScale" priority="1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W45:W79">
    <cfRule type="colorScale" priority="1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C85:C130">
    <cfRule type="colorScale" priority="1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85:D130">
    <cfRule type="colorScale" priority="1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E85:E130">
    <cfRule type="colorScale" priority="1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N85:N130">
    <cfRule type="colorScale" priority="1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V85:V130">
    <cfRule type="colorScale" priority="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W85:W130">
    <cfRule type="colorScale" priority="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C137:C189">
    <cfRule type="colorScale" priority="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37:D189">
    <cfRule type="colorScale" priority="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E137:E189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N137:N189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V137:V189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W137:W189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dataValidations disablePrompts="1" count="2">
    <dataValidation type="list" allowBlank="1" showInputMessage="1" showErrorMessage="1" sqref="A1" xr:uid="{00000000-0002-0000-0000-000000000000}">
      <formula1>"ABS,NET"</formula1>
    </dataValidation>
    <dataValidation type="list" allowBlank="1" showInputMessage="1" showErrorMessage="1" sqref="E1" xr:uid="{00000000-0002-0000-0000-000001000000}">
      <formula1>"GEX-OI,GEX-VOL,DEX,VOLPRESS,TRUGEX"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7D005F-749D-475B-BA2B-8FFD6FAC2F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G2</xm:sqref>
        </x14:conditionalFormatting>
        <x14:conditionalFormatting xmlns:xm="http://schemas.microsoft.com/office/excel/2006/main">
          <x14:cfRule type="dataBar" id="{30BDB15D-9E4E-4582-BD62-69FDF3DCDA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</xm:sqref>
        </x14:conditionalFormatting>
        <x14:conditionalFormatting xmlns:xm="http://schemas.microsoft.com/office/excel/2006/main">
          <x14:cfRule type="dataBar" id="{AC35B083-9921-45A7-9C15-640992C07F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G43</xm:sqref>
        </x14:conditionalFormatting>
        <x14:conditionalFormatting xmlns:xm="http://schemas.microsoft.com/office/excel/2006/main">
          <x14:cfRule type="dataBar" id="{0284C3E3-1F73-449D-B3B2-6C12BBC8B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G83</xm:sqref>
        </x14:conditionalFormatting>
        <x14:conditionalFormatting xmlns:xm="http://schemas.microsoft.com/office/excel/2006/main">
          <x14:cfRule type="dataBar" id="{D6C08B44-F03F-46FF-92BB-6D0409D761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G135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A190"/>
  <sheetViews>
    <sheetView zoomScale="80" zoomScaleNormal="80" workbookViewId="0">
      <selection activeCell="B4" sqref="B4"/>
    </sheetView>
  </sheetViews>
  <sheetFormatPr baseColWidth="10" defaultColWidth="7.28515625" defaultRowHeight="15" outlineLevelCol="1" x14ac:dyDescent="0.25"/>
  <cols>
    <col min="1" max="1" width="9.140625" style="58" bestFit="1" customWidth="1"/>
    <col min="2" max="2" width="9.85546875" style="58" customWidth="1" outlineLevel="1"/>
    <col min="3" max="3" width="8.42578125" style="58" customWidth="1" outlineLevel="1"/>
    <col min="4" max="10" width="7.7109375" style="58" customWidth="1" outlineLevel="1"/>
    <col min="11" max="11" width="8.42578125" style="58" customWidth="1" outlineLevel="1"/>
    <col min="12" max="24" width="7.7109375" style="58" customWidth="1" outlineLevel="1"/>
    <col min="25" max="25" width="20.42578125" style="58" customWidth="1"/>
    <col min="26" max="16384" width="7.28515625" style="58"/>
  </cols>
  <sheetData>
    <row r="1" spans="1:25" x14ac:dyDescent="0.25">
      <c r="A1" s="57" t="str">
        <f ca="1">TEXT(IF(HOUR(NOW())&gt;=17,NOW()+1,NOW()),"YYMMDD")</f>
        <v>251109</v>
      </c>
      <c r="B1" s="57" t="str">
        <f ca="1">IF(AND(TEXT(B3,"YYMMDD")&gt;$A$1,TEXT(B3,"YYMMDD")&lt;&gt;Hoja1!$C$2,TEXT(B3,"YYMMDD")&lt;&gt;Hoja1!$D$2),TEXT(B3,"YYMMDD"),"")</f>
        <v>251110</v>
      </c>
      <c r="C1" s="57" t="str">
        <f ca="1">IF(AND(TEXT(C3,"YYMMDD")&gt;$A$1,TEXT(C3,"YYMMDD")&lt;&gt;Hoja1!$C$2,TEXT(C3,"YYMMDD")&lt;&gt;Hoja1!$D$2),TEXT(C3,"YYMMDD"),"")</f>
        <v>251111</v>
      </c>
      <c r="D1" s="57" t="str">
        <f ca="1">IF(AND(TEXT(D3,"YYMMDD")&gt;$A$1,TEXT(D3,"YYMMDD")&lt;&gt;Hoja1!$C$2,TEXT(D3,"YYMMDD")&lt;&gt;Hoja1!$D$2),TEXT(D3,"YYMMDD"),"")</f>
        <v>251112</v>
      </c>
      <c r="E1" s="57" t="str">
        <f ca="1">IF(AND(TEXT(E3,"YYMMDD")&gt;$A$1,TEXT(E3,"YYMMDD")&lt;&gt;Hoja1!$C$2,TEXT(E3,"YYMMDD")&lt;&gt;Hoja1!$D$2),TEXT(E3,"YYMMDD"),"")</f>
        <v>251113</v>
      </c>
      <c r="F1" s="57" t="str">
        <f ca="1">IF(AND(TEXT(F3,"YYMMDD")&gt;$A$1,TEXT(F3,"YYMMDD")&lt;&gt;Hoja1!$C$2,TEXT(F3,"YYMMDD")&lt;&gt;Hoja1!$D$2),TEXT(F3,"YYMMDD"),"")</f>
        <v/>
      </c>
      <c r="G1" s="57" t="str">
        <f ca="1">IF(AND(TEXT(G3,"YYMMDD")&gt;$A$1,TEXT(G3,"YYMMDD")&lt;&gt;Hoja1!$C$2,TEXT(G3,"YYMMDD")&lt;&gt;Hoja1!$D$2),TEXT(G3,"YYMMDD"),"")</f>
        <v/>
      </c>
      <c r="H1" s="57" t="str">
        <f ca="1">IF(AND(TEXT(H3,"YYMMDD")&gt;$A$1,TEXT(H3,"YYMMDD")&lt;&gt;Hoja1!$C$2,TEXT(H3,"YYMMDD")&lt;&gt;Hoja1!$D$2),TEXT(H3,"YYMMDD"),"")</f>
        <v>251128</v>
      </c>
      <c r="I1" s="57" t="str">
        <f ca="1">IF(AND(TEXT(I3,"YYMMDD")&gt;$A$1,TEXT(I3,"YYMMDD")&lt;&gt;Hoja1!$C$2,TEXT(I3,"YYMMDD")&lt;&gt;Hoja1!$D$2),TEXT(I3,"YYMMDD"),"")</f>
        <v>251205</v>
      </c>
      <c r="J1" s="57" t="str">
        <f ca="1">IF(AND(TEXT(J3,"YYMMDD")&gt;$A$1,TEXT(J3,"YYMMDD")&lt;&gt;Hoja1!$C$2,TEXT(J3,"YYMMDD")&lt;&gt;Hoja1!$D$2),TEXT(J3,"YYMMDD"),"")</f>
        <v>251212</v>
      </c>
      <c r="K1" s="57" t="str">
        <f ca="1">IF(AND(TEXT(K3,"YYMMDD")&gt;$A$1,TEXT(K3,"YYMMDD")&lt;&gt;Hoja1!$C$2,TEXT(K3,"YYMMDD")&lt;&gt;Hoja1!$D$2),TEXT(K3,"YYMMDD"),"")</f>
        <v>251219</v>
      </c>
      <c r="L1" s="57" t="str">
        <f ca="1">IF(AND(TEXT(L3,"YYMMDD")&gt;$A$1,TEXT(L3,"YYMMDD")&lt;&gt;Hoja1!$C$2,TEXT(L3,"YYMMDD")&lt;&gt;Hoja1!$D$2),TEXT(L3,"YYMMDD"),"")</f>
        <v>260109</v>
      </c>
      <c r="M1" s="57" t="str">
        <f ca="1">IF(AND(TEXT(M3,"YYMMDD")&gt;$A$1,TEXT(M3,"YYMMDD")&lt;&gt;Hoja1!$C$2,TEXT(M3,"YYMMDD")&lt;&gt;Hoja1!$D$2),TEXT(M3,"YYMMDD"),"")</f>
        <v>260130</v>
      </c>
      <c r="N1" s="57" t="str">
        <f ca="1">IF(AND(TEXT(N3,"YYMMDD")&gt;$A$1,TEXT(N3,"YYMMDD")&lt;&gt;Hoja1!$C$2,TEXT(N3,"YYMMDD")&lt;&gt;Hoja1!$D$2),TEXT(N3,"YYMMDD"),"")</f>
        <v>260206</v>
      </c>
      <c r="O1" s="57" t="str">
        <f ca="1">IF(AND(TEXT(O3,"YYMMDD")&gt;$A$1,TEXT(O3,"YYMMDD")&lt;&gt;Hoja1!$C$2,TEXT(O3,"YYMMDD")&lt;&gt;Hoja1!$D$2),TEXT(O3,"YYMMDD"),"")</f>
        <v>251231</v>
      </c>
      <c r="P1" s="57" t="str">
        <f ca="1">IF(AND(TEXT(P3,"YYMMDD")&gt;$A$1,TEXT(P3,"YYMMDD")&lt;&gt;Hoja1!$C$2,TEXT(P3,"YYMMDD")&lt;&gt;Hoja1!$D$2),TEXT(P3,"YYMMDD"),"")</f>
        <v>260227</v>
      </c>
      <c r="Q1" s="57" t="str">
        <f ca="1">IF(AND(TEXT(Q3,"YYMMDD")&gt;$A$1,TEXT(Q3,"YYMMDD")&lt;&gt;Hoja1!$C$2,TEXT(Q3,"YYMMDD")&lt;&gt;Hoja1!$D$2),TEXT(Q3,"YYMMDD"),"")</f>
        <v>260403</v>
      </c>
      <c r="R1" s="57" t="str">
        <f ca="1">IF(AND(TEXT(R3,"YYMMDD")&gt;$A$1,TEXT(R3,"YYMMDD")&lt;&gt;Hoja1!$C$2,TEXT(R3,"YYMMDD")&lt;&gt;Hoja1!$D$2),TEXT(R3,"YYMMDD"),"")</f>
        <v>260501</v>
      </c>
      <c r="S1" s="57" t="str">
        <f ca="1">IF(AND(TEXT(S3,"YYMMDD")&gt;$A$1,TEXT(S3,"YYMMDD")&lt;&gt;Hoja1!$C$2,TEXT(S3,"YYMMDD")&lt;&gt;Hoja1!$D$2),TEXT(S3,"YYMMDD"),"")</f>
        <v>260529</v>
      </c>
      <c r="T1" s="57" t="str">
        <f ca="1">IF(AND(TEXT(T3,"YYMMDD")&gt;$A$1,TEXT(T3,"YYMMDD")&lt;&gt;Hoja1!$C$2,TEXT(T3,"YYMMDD")&lt;&gt;Hoja1!$D$2),TEXT(T3,"YYMMDD"),"")</f>
        <v>260626</v>
      </c>
      <c r="U1" s="57" t="str">
        <f ca="1">IF(AND(TEXT(U3,"YYMMDD")&gt;$A$1,TEXT(U3,"YYMMDD")&lt;&gt;Hoja1!$C$2,TEXT(U3,"YYMMDD")&lt;&gt;Hoja1!$D$2),TEXT(U3,"YYMMDD"),"")</f>
        <v>260731</v>
      </c>
      <c r="V1" s="57" t="str">
        <f ca="1">IF(AND(TEXT(V3,"YYMMDD")&gt;$A$1,TEXT(V3,"YYMMDD")&lt;&gt;Hoja1!$C$2,TEXT(V3,"YYMMDD")&lt;&gt;Hoja1!$D$2),TEXT(V3,"YYMMDD"),"")</f>
        <v>260828</v>
      </c>
      <c r="W1" s="57" t="str">
        <f ca="1">IF(AND(TEXT(W3,"YYMMDD")&gt;$A$1,TEXT(W3,"YYMMDD")&lt;&gt;Hoja1!$C$2,TEXT(W3,"YYMMDD")&lt;&gt;Hoja1!$D$2),TEXT(W3,"YYMMDD"),"")</f>
        <v>261002</v>
      </c>
      <c r="X1" s="57" t="str">
        <f ca="1">IF(AND(TEXT(X3,"YYMMDD")&gt;$A$1,TEXT(X3,"YYMMDD")&lt;&gt;Hoja1!$C$2,TEXT(X3,"YYMMDD")&lt;&gt;Hoja1!$D$2),TEXT(X3,"YYMMDD"),"")</f>
        <v>261030</v>
      </c>
    </row>
    <row r="2" spans="1:25" x14ac:dyDescent="0.25">
      <c r="A2" s="57" t="s">
        <v>7</v>
      </c>
      <c r="B2" s="57" t="str">
        <f>+A3</f>
        <v>SPY</v>
      </c>
      <c r="C2" s="57" t="str">
        <f>+B2</f>
        <v>SPY</v>
      </c>
      <c r="D2" s="57" t="str">
        <f t="shared" ref="D2:K2" si="0">+C2</f>
        <v>SPY</v>
      </c>
      <c r="E2" s="57" t="str">
        <f t="shared" si="0"/>
        <v>SPY</v>
      </c>
      <c r="F2" s="57" t="str">
        <f t="shared" si="0"/>
        <v>SPY</v>
      </c>
      <c r="G2" s="57" t="str">
        <f t="shared" si="0"/>
        <v>SPY</v>
      </c>
      <c r="H2" s="57" t="str">
        <f t="shared" si="0"/>
        <v>SPY</v>
      </c>
      <c r="I2" s="57" t="str">
        <f t="shared" si="0"/>
        <v>SPY</v>
      </c>
      <c r="J2" s="57" t="str">
        <f t="shared" si="0"/>
        <v>SPY</v>
      </c>
      <c r="K2" s="57" t="str">
        <f t="shared" si="0"/>
        <v>SPY</v>
      </c>
      <c r="L2" s="57" t="str">
        <f>+K2</f>
        <v>SPY</v>
      </c>
      <c r="M2" s="57" t="str">
        <f t="shared" ref="M2:X2" si="1">+K2</f>
        <v>SPY</v>
      </c>
      <c r="N2" s="57" t="str">
        <f t="shared" si="1"/>
        <v>SPY</v>
      </c>
      <c r="O2" s="57" t="str">
        <f t="shared" si="1"/>
        <v>SPY</v>
      </c>
      <c r="P2" s="57" t="str">
        <f t="shared" si="1"/>
        <v>SPY</v>
      </c>
      <c r="Q2" s="57" t="str">
        <f t="shared" si="1"/>
        <v>SPY</v>
      </c>
      <c r="R2" s="57" t="str">
        <f t="shared" si="1"/>
        <v>SPY</v>
      </c>
      <c r="S2" s="57" t="str">
        <f t="shared" si="1"/>
        <v>SPY</v>
      </c>
      <c r="T2" s="57" t="str">
        <f t="shared" si="1"/>
        <v>SPY</v>
      </c>
      <c r="U2" s="57" t="str">
        <f t="shared" si="1"/>
        <v>SPY</v>
      </c>
      <c r="V2" s="57" t="str">
        <f t="shared" si="1"/>
        <v>SPY</v>
      </c>
      <c r="W2" s="57" t="str">
        <f t="shared" si="1"/>
        <v>SPY</v>
      </c>
      <c r="X2" s="57" t="str">
        <f t="shared" si="1"/>
        <v>SPY</v>
      </c>
    </row>
    <row r="3" spans="1:25" x14ac:dyDescent="0.25">
      <c r="A3" s="57" t="str">
        <f>+Hoja1!A2</f>
        <v>SPY</v>
      </c>
      <c r="B3" s="59">
        <v>45971</v>
      </c>
      <c r="C3" s="59">
        <f>+B3+1</f>
        <v>45972</v>
      </c>
      <c r="D3" s="59">
        <f>+C3+1</f>
        <v>45973</v>
      </c>
      <c r="E3" s="59">
        <f t="shared" ref="E3" si="2">+D3+1</f>
        <v>45974</v>
      </c>
      <c r="F3" s="59">
        <f>+E3+1</f>
        <v>45975</v>
      </c>
      <c r="G3" s="59">
        <f>+F3+7</f>
        <v>45982</v>
      </c>
      <c r="H3" s="59">
        <f t="shared" ref="H3:J3" si="3">+G3+7</f>
        <v>45989</v>
      </c>
      <c r="I3" s="59">
        <f t="shared" si="3"/>
        <v>45996</v>
      </c>
      <c r="J3" s="59">
        <f t="shared" si="3"/>
        <v>46003</v>
      </c>
      <c r="K3" s="59">
        <f>+J3+7</f>
        <v>46010</v>
      </c>
      <c r="L3" s="59">
        <f>+J3+7+7+7+7</f>
        <v>46031</v>
      </c>
      <c r="M3" s="59">
        <f>+L3+7+7+7</f>
        <v>46052</v>
      </c>
      <c r="N3" s="59">
        <f>+M3+7</f>
        <v>46059</v>
      </c>
      <c r="O3" s="59">
        <v>46022</v>
      </c>
      <c r="P3" s="59">
        <f>+N3+7+7+7</f>
        <v>46080</v>
      </c>
      <c r="Q3" s="59">
        <f>+P3+7+7+7+7+7</f>
        <v>46115</v>
      </c>
      <c r="R3" s="59">
        <f>+Q3+7+7+7+7</f>
        <v>46143</v>
      </c>
      <c r="S3" s="59">
        <f>+R3+7+7+7+7</f>
        <v>46171</v>
      </c>
      <c r="T3" s="59">
        <f>+S3+7+7+7+7</f>
        <v>46199</v>
      </c>
      <c r="U3" s="59">
        <f>+T3+7+7+7+7+7</f>
        <v>46234</v>
      </c>
      <c r="V3" s="59">
        <f>+U3+7+7+7+7</f>
        <v>46262</v>
      </c>
      <c r="W3" s="59">
        <f t="shared" ref="W3" si="4">+V3+7+7+7+7+7</f>
        <v>46297</v>
      </c>
      <c r="X3" s="59">
        <f>+W3+7+7+7+7</f>
        <v>46325</v>
      </c>
    </row>
    <row r="4" spans="1:25" x14ac:dyDescent="0.25">
      <c r="A4" s="57">
        <f>+Hoja1!A3</f>
        <v>672.36</v>
      </c>
      <c r="B4" s="57"/>
      <c r="C4" s="57"/>
      <c r="D4" s="57"/>
    </row>
    <row r="5" spans="1:25" x14ac:dyDescent="0.25">
      <c r="A5" s="57">
        <f>+Hoja1!A4</f>
        <v>689</v>
      </c>
      <c r="B5" s="56">
        <f ca="1">IF(RTD("tos.rtd",,$A$2,"."&amp;B$2&amp;B$1&amp;"C"&amp;$A5)="N/A",0,RTD("tos.rtd",,$A$2,"."&amp;B$2&amp;B$1&amp;"C"&amp;$A5))-IF(RTD("tos.rtd",,$A$2,"."&amp;B$2&amp;B$1&amp;"P"&amp;$A5)="N/A",0,RTD("tos.rtd",,$A$2,"."&amp;B$2&amp;B$1&amp;"P"&amp;$A5))</f>
        <v>549</v>
      </c>
      <c r="C5" s="56">
        <f ca="1">IF(RTD("tos.rtd",,$A$2,"."&amp;C$2&amp;C$1&amp;"C"&amp;$A5)="N/A",0,RTD("tos.rtd",,$A$2,"."&amp;C$2&amp;C$1&amp;"C"&amp;$A5))-IF(RTD("tos.rtd",,$A$2,"."&amp;C$2&amp;C$1&amp;"P"&amp;$A5)="N/A",0,RTD("tos.rtd",,$A$2,"."&amp;C$2&amp;C$1&amp;"P"&amp;$A5))</f>
        <v>672</v>
      </c>
      <c r="D5" s="56">
        <f ca="1">IF(RTD("tos.rtd",,$A$2,"."&amp;D$2&amp;D$1&amp;"C"&amp;$A5)="N/A",0,RTD("tos.rtd",,$A$2,"."&amp;D$2&amp;D$1&amp;"C"&amp;$A5))-IF(RTD("tos.rtd",,$A$2,"."&amp;D$2&amp;D$1&amp;"P"&amp;$A5)="N/A",0,RTD("tos.rtd",,$A$2,"."&amp;D$2&amp;D$1&amp;"P"&amp;$A5))</f>
        <v>121</v>
      </c>
      <c r="E5" s="56">
        <f ca="1">IF(RTD("tos.rtd",,$A$2,"."&amp;E$2&amp;E$1&amp;"C"&amp;$A5)="N/A",0,RTD("tos.rtd",,$A$2,"."&amp;E$2&amp;E$1&amp;"C"&amp;$A5))-IF(RTD("tos.rtd",,$A$2,"."&amp;E$2&amp;E$1&amp;"P"&amp;$A5)="N/A",0,RTD("tos.rtd",,$A$2,"."&amp;E$2&amp;E$1&amp;"P"&amp;$A5))</f>
        <v>455</v>
      </c>
      <c r="F5" s="56">
        <f ca="1">IF(RTD("tos.rtd",,$A$2,"."&amp;F$2&amp;F$1&amp;"C"&amp;$A5)="N/A",0,RTD("tos.rtd",,$A$2,"."&amp;F$2&amp;F$1&amp;"C"&amp;$A5))-IF(RTD("tos.rtd",,$A$2,"."&amp;F$2&amp;F$1&amp;"P"&amp;$A5)="N/A",0,RTD("tos.rtd",,$A$2,"."&amp;F$2&amp;F$1&amp;"P"&amp;$A5))</f>
        <v>0</v>
      </c>
      <c r="G5" s="56">
        <f ca="1">IF(RTD("tos.rtd",,$A$2,"."&amp;G$2&amp;G$1&amp;"C"&amp;$A5)="N/A",0,RTD("tos.rtd",,$A$2,"."&amp;G$2&amp;G$1&amp;"C"&amp;$A5))-IF(RTD("tos.rtd",,$A$2,"."&amp;G$2&amp;G$1&amp;"P"&amp;$A5)="N/A",0,RTD("tos.rtd",,$A$2,"."&amp;G$2&amp;G$1&amp;"P"&amp;$A5))</f>
        <v>0</v>
      </c>
      <c r="H5" s="56">
        <f ca="1">IF(RTD("tos.rtd",,$A$2,"."&amp;H$2&amp;H$1&amp;"C"&amp;$A5)="N/A",0,RTD("tos.rtd",,$A$2,"."&amp;H$2&amp;H$1&amp;"C"&amp;$A5))-IF(RTD("tos.rtd",,$A$2,"."&amp;H$2&amp;H$1&amp;"P"&amp;$A5)="N/A",0,RTD("tos.rtd",,$A$2,"."&amp;H$2&amp;H$1&amp;"P"&amp;$A5))</f>
        <v>575</v>
      </c>
      <c r="I5" s="56">
        <f ca="1">IF(RTD("tos.rtd",,$A$2,"."&amp;I$2&amp;I$1&amp;"C"&amp;$A5)="N/A",0,RTD("tos.rtd",,$A$2,"."&amp;I$2&amp;I$1&amp;"C"&amp;$A5))-IF(RTD("tos.rtd",,$A$2,"."&amp;I$2&amp;I$1&amp;"P"&amp;$A5)="N/A",0,RTD("tos.rtd",,$A$2,"."&amp;I$2&amp;I$1&amp;"P"&amp;$A5))</f>
        <v>224</v>
      </c>
      <c r="J5" s="56">
        <f ca="1">IF(RTD("tos.rtd",,$A$2,"."&amp;J$2&amp;J$1&amp;"C"&amp;$A5)="N/A",0,RTD("tos.rtd",,$A$2,"."&amp;J$2&amp;J$1&amp;"C"&amp;$A5))-IF(RTD("tos.rtd",,$A$2,"."&amp;J$2&amp;J$1&amp;"P"&amp;$A5)="N/A",0,RTD("tos.rtd",,$A$2,"."&amp;J$2&amp;J$1&amp;"P"&amp;$A5))</f>
        <v>96</v>
      </c>
      <c r="K5" s="56">
        <f ca="1">IF(RTD("tos.rtd",,$A$2,"."&amp;K$2&amp;K$1&amp;"C"&amp;$A5)="N/A",0,RTD("tos.rtd",,$A$2,"."&amp;K$2&amp;K$1&amp;"C"&amp;$A5))-IF(RTD("tos.rtd",,$A$2,"."&amp;K$2&amp;K$1&amp;"P"&amp;$A5)="N/A",0,RTD("tos.rtd",,$A$2,"."&amp;K$2&amp;K$1&amp;"P"&amp;$A5))</f>
        <v>300</v>
      </c>
      <c r="L5" s="56">
        <f ca="1">IF(RTD("tos.rtd",,$A$2,"."&amp;L$2&amp;L$1&amp;"C"&amp;$A5)="N/A",0,RTD("tos.rtd",,$A$2,"."&amp;L$2&amp;L$1&amp;"C"&amp;$A5))-IF(RTD("tos.rtd",,$A$2,"."&amp;L$2&amp;L$1&amp;"P"&amp;$A5)="N/A",0,RTD("tos.rtd",,$A$2,"."&amp;L$2&amp;L$1&amp;"P"&amp;$A5))</f>
        <v>0</v>
      </c>
      <c r="M5" s="56">
        <f ca="1">IF(RTD("tos.rtd",,$A$2,"."&amp;M$2&amp;M$1&amp;"C"&amp;$A5)="N/A",0,RTD("tos.rtd",,$A$2,"."&amp;M$2&amp;M$1&amp;"C"&amp;$A5))-IF(RTD("tos.rtd",,$A$2,"."&amp;M$2&amp;M$1&amp;"P"&amp;$A5)="N/A",0,RTD("tos.rtd",,$A$2,"."&amp;M$2&amp;M$1&amp;"P"&amp;$A5))</f>
        <v>17</v>
      </c>
      <c r="N5" s="56">
        <f ca="1">IF(RTD("tos.rtd",,$A$2,"."&amp;N$2&amp;N$1&amp;"C"&amp;$A5)="N/A",0,RTD("tos.rtd",,$A$2,"."&amp;N$2&amp;N$1&amp;"C"&amp;$A5))-IF(RTD("tos.rtd",,$A$2,"."&amp;N$2&amp;N$1&amp;"P"&amp;$A5)="N/A",0,RTD("tos.rtd",,$A$2,"."&amp;N$2&amp;N$1&amp;"P"&amp;$A5))</f>
        <v>0</v>
      </c>
      <c r="O5" s="56">
        <f ca="1">IF(RTD("tos.rtd",,$A$2,"."&amp;O$2&amp;O$1&amp;"C"&amp;$A5)="N/A",0,RTD("tos.rtd",,$A$2,"."&amp;O$2&amp;O$1&amp;"C"&amp;$A5))-IF(RTD("tos.rtd",,$A$2,"."&amp;O$2&amp;O$1&amp;"P"&amp;$A5)="N/A",0,RTD("tos.rtd",,$A$2,"."&amp;O$2&amp;O$1&amp;"P"&amp;$A5))</f>
        <v>-8</v>
      </c>
      <c r="P5" s="56">
        <f ca="1">IF(RTD("tos.rtd",,$A$2,"."&amp;P$2&amp;P$1&amp;"C"&amp;$A5)="N/A",0,RTD("tos.rtd",,$A$2,"."&amp;P$2&amp;P$1&amp;"C"&amp;$A5))-IF(RTD("tos.rtd",,$A$2,"."&amp;P$2&amp;P$1&amp;"P"&amp;$A5)="N/A",0,RTD("tos.rtd",,$A$2,"."&amp;P$2&amp;P$1&amp;"P"&amp;$A5))</f>
        <v>0</v>
      </c>
      <c r="Q5" s="56">
        <f ca="1">IF(RTD("tos.rtd",,$A$2,"."&amp;Q$2&amp;Q$1&amp;"C"&amp;$A5)="N/A",0,RTD("tos.rtd",,$A$2,"."&amp;Q$2&amp;Q$1&amp;"C"&amp;$A5))-IF(RTD("tos.rtd",,$A$2,"."&amp;Q$2&amp;Q$1&amp;"P"&amp;$A5)="N/A",0,RTD("tos.rtd",,$A$2,"."&amp;Q$2&amp;Q$1&amp;"P"&amp;$A5))</f>
        <v>0</v>
      </c>
      <c r="R5" s="56">
        <f ca="1">IF(RTD("tos.rtd",,$A$2,"."&amp;R$2&amp;R$1&amp;"C"&amp;$A5)="N/A",0,RTD("tos.rtd",,$A$2,"."&amp;R$2&amp;R$1&amp;"C"&amp;$A5))-IF(RTD("tos.rtd",,$A$2,"."&amp;R$2&amp;R$1&amp;"P"&amp;$A5)="N/A",0,RTD("tos.rtd",,$A$2,"."&amp;R$2&amp;R$1&amp;"P"&amp;$A5))</f>
        <v>0</v>
      </c>
      <c r="S5" s="56">
        <f ca="1">IF(RTD("tos.rtd",,$A$2,"."&amp;S$2&amp;S$1&amp;"C"&amp;$A5)="N/A",0,RTD("tos.rtd",,$A$2,"."&amp;S$2&amp;S$1&amp;"C"&amp;$A5))-IF(RTD("tos.rtd",,$A$2,"."&amp;S$2&amp;S$1&amp;"P"&amp;$A5)="N/A",0,RTD("tos.rtd",,$A$2,"."&amp;S$2&amp;S$1&amp;"P"&amp;$A5))</f>
        <v>0</v>
      </c>
      <c r="T5" s="56">
        <f ca="1">IF(RTD("tos.rtd",,$A$2,"."&amp;T$2&amp;T$1&amp;"C"&amp;$A5)="N/A",0,RTD("tos.rtd",,$A$2,"."&amp;T$2&amp;T$1&amp;"C"&amp;$A5))-IF(RTD("tos.rtd",,$A$2,"."&amp;T$2&amp;T$1&amp;"P"&amp;$A5)="N/A",0,RTD("tos.rtd",,$A$2,"."&amp;T$2&amp;T$1&amp;"P"&amp;$A5))</f>
        <v>0</v>
      </c>
      <c r="U5" s="56">
        <f ca="1">IF(RTD("tos.rtd",,$A$2,"."&amp;U$2&amp;U$1&amp;"C"&amp;$A5)="N/A",0,RTD("tos.rtd",,$A$2,"."&amp;U$2&amp;U$1&amp;"C"&amp;$A5))-IF(RTD("tos.rtd",,$A$2,"."&amp;U$2&amp;U$1&amp;"P"&amp;$A5)="N/A",0,RTD("tos.rtd",,$A$2,"."&amp;U$2&amp;U$1&amp;"P"&amp;$A5))</f>
        <v>0</v>
      </c>
      <c r="V5" s="56">
        <f ca="1">IF(RTD("tos.rtd",,$A$2,"."&amp;V$2&amp;V$1&amp;"C"&amp;$A5)="N/A",0,RTD("tos.rtd",,$A$2,"."&amp;V$2&amp;V$1&amp;"C"&amp;$A5))-IF(RTD("tos.rtd",,$A$2,"."&amp;V$2&amp;V$1&amp;"P"&amp;$A5)="N/A",0,RTD("tos.rtd",,$A$2,"."&amp;V$2&amp;V$1&amp;"P"&amp;$A5))</f>
        <v>0</v>
      </c>
      <c r="W5" s="56">
        <f ca="1">IF(RTD("tos.rtd",,$A$2,"."&amp;W$2&amp;W$1&amp;"C"&amp;$A5)="N/A",0,RTD("tos.rtd",,$A$2,"."&amp;W$2&amp;W$1&amp;"C"&amp;$A5))-IF(RTD("tos.rtd",,$A$2,"."&amp;W$2&amp;W$1&amp;"P"&amp;$A5)="N/A",0,RTD("tos.rtd",,$A$2,"."&amp;W$2&amp;W$1&amp;"P"&amp;$A5))</f>
        <v>0</v>
      </c>
      <c r="X5" s="56">
        <f ca="1">IF(RTD("tos.rtd",,$A$2,"."&amp;X$2&amp;X$1&amp;"C"&amp;$A5)="N/A",0,RTD("tos.rtd",,$A$2,"."&amp;X$2&amp;X$1&amp;"C"&amp;$A5))-IF(RTD("tos.rtd",,$A$2,"."&amp;X$2&amp;X$1&amp;"P"&amp;$A5)="N/A",0,RTD("tos.rtd",,$A$2,"."&amp;X$2&amp;X$1&amp;"P"&amp;$A5))</f>
        <v>0</v>
      </c>
      <c r="Y5" s="63">
        <f ca="1">SUM(B5:X5)</f>
        <v>3001</v>
      </c>
    </row>
    <row r="6" spans="1:25" x14ac:dyDescent="0.25">
      <c r="A6" s="57">
        <f>+Hoja1!A5</f>
        <v>688</v>
      </c>
      <c r="B6" s="56">
        <f ca="1">IF(RTD("tos.rtd",,$A$2,"."&amp;B$2&amp;B$1&amp;"C"&amp;$A6)="N/A",0,RTD("tos.rtd",,$A$2,"."&amp;B$2&amp;B$1&amp;"C"&amp;$A6))-IF(RTD("tos.rtd",,$A$2,"."&amp;B$2&amp;B$1&amp;"P"&amp;$A6)="N/A",0,RTD("tos.rtd",,$A$2,"."&amp;B$2&amp;B$1&amp;"P"&amp;$A6))</f>
        <v>2216</v>
      </c>
      <c r="C6" s="56">
        <f ca="1">IF(RTD("tos.rtd",,$A$2,"."&amp;C$2&amp;C$1&amp;"C"&amp;$A6)="N/A",0,RTD("tos.rtd",,$A$2,"."&amp;C$2&amp;C$1&amp;"C"&amp;$A6))-IF(RTD("tos.rtd",,$A$2,"."&amp;C$2&amp;C$1&amp;"P"&amp;$A6)="N/A",0,RTD("tos.rtd",,$A$2,"."&amp;C$2&amp;C$1&amp;"P"&amp;$A6))</f>
        <v>326</v>
      </c>
      <c r="D6" s="56">
        <f ca="1">IF(RTD("tos.rtd",,$A$2,"."&amp;D$2&amp;D$1&amp;"C"&amp;$A6)="N/A",0,RTD("tos.rtd",,$A$2,"."&amp;D$2&amp;D$1&amp;"C"&amp;$A6))-IF(RTD("tos.rtd",,$A$2,"."&amp;D$2&amp;D$1&amp;"P"&amp;$A6)="N/A",0,RTD("tos.rtd",,$A$2,"."&amp;D$2&amp;D$1&amp;"P"&amp;$A6))</f>
        <v>499</v>
      </c>
      <c r="E6" s="56">
        <f ca="1">IF(RTD("tos.rtd",,$A$2,"."&amp;E$2&amp;E$1&amp;"C"&amp;$A6)="N/A",0,RTD("tos.rtd",,$A$2,"."&amp;E$2&amp;E$1&amp;"C"&amp;$A6))-IF(RTD("tos.rtd",,$A$2,"."&amp;E$2&amp;E$1&amp;"P"&amp;$A6)="N/A",0,RTD("tos.rtd",,$A$2,"."&amp;E$2&amp;E$1&amp;"P"&amp;$A6))</f>
        <v>241</v>
      </c>
      <c r="F6" s="56">
        <f ca="1">IF(RTD("tos.rtd",,$A$2,"."&amp;F$2&amp;F$1&amp;"C"&amp;$A6)="N/A",0,RTD("tos.rtd",,$A$2,"."&amp;F$2&amp;F$1&amp;"C"&amp;$A6))-IF(RTD("tos.rtd",,$A$2,"."&amp;F$2&amp;F$1&amp;"P"&amp;$A6)="N/A",0,RTD("tos.rtd",,$A$2,"."&amp;F$2&amp;F$1&amp;"P"&amp;$A6))</f>
        <v>0</v>
      </c>
      <c r="G6" s="56">
        <f ca="1">IF(RTD("tos.rtd",,$A$2,"."&amp;G$2&amp;G$1&amp;"C"&amp;$A6)="N/A",0,RTD("tos.rtd",,$A$2,"."&amp;G$2&amp;G$1&amp;"C"&amp;$A6))-IF(RTD("tos.rtd",,$A$2,"."&amp;G$2&amp;G$1&amp;"P"&amp;$A6)="N/A",0,RTD("tos.rtd",,$A$2,"."&amp;G$2&amp;G$1&amp;"P"&amp;$A6))</f>
        <v>0</v>
      </c>
      <c r="H6" s="56">
        <f ca="1">IF(RTD("tos.rtd",,$A$2,"."&amp;H$2&amp;H$1&amp;"C"&amp;$A6)="N/A",0,RTD("tos.rtd",,$A$2,"."&amp;H$2&amp;H$1&amp;"C"&amp;$A6))-IF(RTD("tos.rtd",,$A$2,"."&amp;H$2&amp;H$1&amp;"P"&amp;$A6)="N/A",0,RTD("tos.rtd",,$A$2,"."&amp;H$2&amp;H$1&amp;"P"&amp;$A6))</f>
        <v>503</v>
      </c>
      <c r="I6" s="56">
        <f ca="1">IF(RTD("tos.rtd",,$A$2,"."&amp;I$2&amp;I$1&amp;"C"&amp;$A6)="N/A",0,RTD("tos.rtd",,$A$2,"."&amp;I$2&amp;I$1&amp;"C"&amp;$A6))-IF(RTD("tos.rtd",,$A$2,"."&amp;I$2&amp;I$1&amp;"P"&amp;$A6)="N/A",0,RTD("tos.rtd",,$A$2,"."&amp;I$2&amp;I$1&amp;"P"&amp;$A6))</f>
        <v>287</v>
      </c>
      <c r="J6" s="56">
        <f ca="1">IF(RTD("tos.rtd",,$A$2,"."&amp;J$2&amp;J$1&amp;"C"&amp;$A6)="N/A",0,RTD("tos.rtd",,$A$2,"."&amp;J$2&amp;J$1&amp;"C"&amp;$A6))-IF(RTD("tos.rtd",,$A$2,"."&amp;J$2&amp;J$1&amp;"P"&amp;$A6)="N/A",0,RTD("tos.rtd",,$A$2,"."&amp;J$2&amp;J$1&amp;"P"&amp;$A6))</f>
        <v>262</v>
      </c>
      <c r="K6" s="56">
        <f ca="1">IF(RTD("tos.rtd",,$A$2,"."&amp;K$2&amp;K$1&amp;"C"&amp;$A6)="N/A",0,RTD("tos.rtd",,$A$2,"."&amp;K$2&amp;K$1&amp;"C"&amp;$A6))-IF(RTD("tos.rtd",,$A$2,"."&amp;K$2&amp;K$1&amp;"P"&amp;$A6)="N/A",0,RTD("tos.rtd",,$A$2,"."&amp;K$2&amp;K$1&amp;"P"&amp;$A6))</f>
        <v>212</v>
      </c>
      <c r="L6" s="56">
        <f ca="1">IF(RTD("tos.rtd",,$A$2,"."&amp;L$2&amp;L$1&amp;"C"&amp;$A6)="N/A",0,RTD("tos.rtd",,$A$2,"."&amp;L$2&amp;L$1&amp;"C"&amp;$A6))-IF(RTD("tos.rtd",,$A$2,"."&amp;L$2&amp;L$1&amp;"P"&amp;$A6)="N/A",0,RTD("tos.rtd",,$A$2,"."&amp;L$2&amp;L$1&amp;"P"&amp;$A6))</f>
        <v>0</v>
      </c>
      <c r="M6" s="56">
        <f ca="1">IF(RTD("tos.rtd",,$A$2,"."&amp;M$2&amp;M$1&amp;"C"&amp;$A6)="N/A",0,RTD("tos.rtd",,$A$2,"."&amp;M$2&amp;M$1&amp;"C"&amp;$A6))-IF(RTD("tos.rtd",,$A$2,"."&amp;M$2&amp;M$1&amp;"P"&amp;$A6)="N/A",0,RTD("tos.rtd",,$A$2,"."&amp;M$2&amp;M$1&amp;"P"&amp;$A6))</f>
        <v>62</v>
      </c>
      <c r="N6" s="56">
        <f ca="1">IF(RTD("tos.rtd",,$A$2,"."&amp;N$2&amp;N$1&amp;"C"&amp;$A6)="N/A",0,RTD("tos.rtd",,$A$2,"."&amp;N$2&amp;N$1&amp;"C"&amp;$A6))-IF(RTD("tos.rtd",,$A$2,"."&amp;N$2&amp;N$1&amp;"P"&amp;$A6)="N/A",0,RTD("tos.rtd",,$A$2,"."&amp;N$2&amp;N$1&amp;"P"&amp;$A6))</f>
        <v>0</v>
      </c>
      <c r="O6" s="56">
        <f ca="1">IF(RTD("tos.rtd",,$A$2,"."&amp;O$2&amp;O$1&amp;"C"&amp;$A6)="N/A",0,RTD("tos.rtd",,$A$2,"."&amp;O$2&amp;O$1&amp;"C"&amp;$A6))-IF(RTD("tos.rtd",,$A$2,"."&amp;O$2&amp;O$1&amp;"P"&amp;$A6)="N/A",0,RTD("tos.rtd",,$A$2,"."&amp;O$2&amp;O$1&amp;"P"&amp;$A6))</f>
        <v>75</v>
      </c>
      <c r="P6" s="56">
        <f ca="1">IF(RTD("tos.rtd",,$A$2,"."&amp;P$2&amp;P$1&amp;"C"&amp;$A6)="N/A",0,RTD("tos.rtd",,$A$2,"."&amp;P$2&amp;P$1&amp;"C"&amp;$A6))-IF(RTD("tos.rtd",,$A$2,"."&amp;P$2&amp;P$1&amp;"P"&amp;$A6)="N/A",0,RTD("tos.rtd",,$A$2,"."&amp;P$2&amp;P$1&amp;"P"&amp;$A6))</f>
        <v>0</v>
      </c>
      <c r="Q6" s="56">
        <f ca="1">IF(RTD("tos.rtd",,$A$2,"."&amp;Q$2&amp;Q$1&amp;"C"&amp;$A6)="N/A",0,RTD("tos.rtd",,$A$2,"."&amp;Q$2&amp;Q$1&amp;"C"&amp;$A6))-IF(RTD("tos.rtd",,$A$2,"."&amp;Q$2&amp;Q$1&amp;"P"&amp;$A6)="N/A",0,RTD("tos.rtd",,$A$2,"."&amp;Q$2&amp;Q$1&amp;"P"&amp;$A6))</f>
        <v>0</v>
      </c>
      <c r="R6" s="56">
        <f ca="1">IF(RTD("tos.rtd",,$A$2,"."&amp;R$2&amp;R$1&amp;"C"&amp;$A6)="N/A",0,RTD("tos.rtd",,$A$2,"."&amp;R$2&amp;R$1&amp;"C"&amp;$A6))-IF(RTD("tos.rtd",,$A$2,"."&amp;R$2&amp;R$1&amp;"P"&amp;$A6)="N/A",0,RTD("tos.rtd",,$A$2,"."&amp;R$2&amp;R$1&amp;"P"&amp;$A6))</f>
        <v>0</v>
      </c>
      <c r="S6" s="56">
        <f ca="1">IF(RTD("tos.rtd",,$A$2,"."&amp;S$2&amp;S$1&amp;"C"&amp;$A6)="N/A",0,RTD("tos.rtd",,$A$2,"."&amp;S$2&amp;S$1&amp;"C"&amp;$A6))-IF(RTD("tos.rtd",,$A$2,"."&amp;S$2&amp;S$1&amp;"P"&amp;$A6)="N/A",0,RTD("tos.rtd",,$A$2,"."&amp;S$2&amp;S$1&amp;"P"&amp;$A6))</f>
        <v>0</v>
      </c>
      <c r="T6" s="56">
        <f ca="1">IF(RTD("tos.rtd",,$A$2,"."&amp;T$2&amp;T$1&amp;"C"&amp;$A6)="N/A",0,RTD("tos.rtd",,$A$2,"."&amp;T$2&amp;T$1&amp;"C"&amp;$A6))-IF(RTD("tos.rtd",,$A$2,"."&amp;T$2&amp;T$1&amp;"P"&amp;$A6)="N/A",0,RTD("tos.rtd",,$A$2,"."&amp;T$2&amp;T$1&amp;"P"&amp;$A6))</f>
        <v>0</v>
      </c>
      <c r="U6" s="56">
        <f ca="1">IF(RTD("tos.rtd",,$A$2,"."&amp;U$2&amp;U$1&amp;"C"&amp;$A6)="N/A",0,RTD("tos.rtd",,$A$2,"."&amp;U$2&amp;U$1&amp;"C"&amp;$A6))-IF(RTD("tos.rtd",,$A$2,"."&amp;U$2&amp;U$1&amp;"P"&amp;$A6)="N/A",0,RTD("tos.rtd",,$A$2,"."&amp;U$2&amp;U$1&amp;"P"&amp;$A6))</f>
        <v>0</v>
      </c>
      <c r="V6" s="56">
        <f ca="1">IF(RTD("tos.rtd",,$A$2,"."&amp;V$2&amp;V$1&amp;"C"&amp;$A6)="N/A",0,RTD("tos.rtd",,$A$2,"."&amp;V$2&amp;V$1&amp;"C"&amp;$A6))-IF(RTD("tos.rtd",,$A$2,"."&amp;V$2&amp;V$1&amp;"P"&amp;$A6)="N/A",0,RTD("tos.rtd",,$A$2,"."&amp;V$2&amp;V$1&amp;"P"&amp;$A6))</f>
        <v>0</v>
      </c>
      <c r="W6" s="56">
        <f ca="1">IF(RTD("tos.rtd",,$A$2,"."&amp;W$2&amp;W$1&amp;"C"&amp;$A6)="N/A",0,RTD("tos.rtd",,$A$2,"."&amp;W$2&amp;W$1&amp;"C"&amp;$A6))-IF(RTD("tos.rtd",,$A$2,"."&amp;W$2&amp;W$1&amp;"P"&amp;$A6)="N/A",0,RTD("tos.rtd",,$A$2,"."&amp;W$2&amp;W$1&amp;"P"&amp;$A6))</f>
        <v>0</v>
      </c>
      <c r="X6" s="56">
        <f ca="1">IF(RTD("tos.rtd",,$A$2,"."&amp;X$2&amp;X$1&amp;"C"&amp;$A6)="N/A",0,RTD("tos.rtd",,$A$2,"."&amp;X$2&amp;X$1&amp;"C"&amp;$A6))-IF(RTD("tos.rtd",,$A$2,"."&amp;X$2&amp;X$1&amp;"P"&amp;$A6)="N/A",0,RTD("tos.rtd",,$A$2,"."&amp;X$2&amp;X$1&amp;"P"&amp;$A6))</f>
        <v>0</v>
      </c>
      <c r="Y6" s="63">
        <f t="shared" ref="Y6:Y39" ca="1" si="5">SUM(B6:X6)</f>
        <v>4683</v>
      </c>
    </row>
    <row r="7" spans="1:25" x14ac:dyDescent="0.25">
      <c r="A7" s="57">
        <f>+Hoja1!A6</f>
        <v>687</v>
      </c>
      <c r="B7" s="56">
        <f ca="1">IF(RTD("tos.rtd",,$A$2,"."&amp;B$2&amp;B$1&amp;"C"&amp;$A7)="N/A",0,RTD("tos.rtd",,$A$2,"."&amp;B$2&amp;B$1&amp;"C"&amp;$A7))-IF(RTD("tos.rtd",,$A$2,"."&amp;B$2&amp;B$1&amp;"P"&amp;$A7)="N/A",0,RTD("tos.rtd",,$A$2,"."&amp;B$2&amp;B$1&amp;"P"&amp;$A7))</f>
        <v>1864</v>
      </c>
      <c r="C7" s="56">
        <f ca="1">IF(RTD("tos.rtd",,$A$2,"."&amp;C$2&amp;C$1&amp;"C"&amp;$A7)="N/A",0,RTD("tos.rtd",,$A$2,"."&amp;C$2&amp;C$1&amp;"C"&amp;$A7))-IF(RTD("tos.rtd",,$A$2,"."&amp;C$2&amp;C$1&amp;"P"&amp;$A7)="N/A",0,RTD("tos.rtd",,$A$2,"."&amp;C$2&amp;C$1&amp;"P"&amp;$A7))</f>
        <v>619</v>
      </c>
      <c r="D7" s="56">
        <f ca="1">IF(RTD("tos.rtd",,$A$2,"."&amp;D$2&amp;D$1&amp;"C"&amp;$A7)="N/A",0,RTD("tos.rtd",,$A$2,"."&amp;D$2&amp;D$1&amp;"C"&amp;$A7))-IF(RTD("tos.rtd",,$A$2,"."&amp;D$2&amp;D$1&amp;"P"&amp;$A7)="N/A",0,RTD("tos.rtd",,$A$2,"."&amp;D$2&amp;D$1&amp;"P"&amp;$A7))</f>
        <v>1207</v>
      </c>
      <c r="E7" s="56">
        <f ca="1">IF(RTD("tos.rtd",,$A$2,"."&amp;E$2&amp;E$1&amp;"C"&amp;$A7)="N/A",0,RTD("tos.rtd",,$A$2,"."&amp;E$2&amp;E$1&amp;"C"&amp;$A7))-IF(RTD("tos.rtd",,$A$2,"."&amp;E$2&amp;E$1&amp;"P"&amp;$A7)="N/A",0,RTD("tos.rtd",,$A$2,"."&amp;E$2&amp;E$1&amp;"P"&amp;$A7))</f>
        <v>305</v>
      </c>
      <c r="F7" s="56">
        <f ca="1">IF(RTD("tos.rtd",,$A$2,"."&amp;F$2&amp;F$1&amp;"C"&amp;$A7)="N/A",0,RTD("tos.rtd",,$A$2,"."&amp;F$2&amp;F$1&amp;"C"&amp;$A7))-IF(RTD("tos.rtd",,$A$2,"."&amp;F$2&amp;F$1&amp;"P"&amp;$A7)="N/A",0,RTD("tos.rtd",,$A$2,"."&amp;F$2&amp;F$1&amp;"P"&amp;$A7))</f>
        <v>0</v>
      </c>
      <c r="G7" s="56">
        <f ca="1">IF(RTD("tos.rtd",,$A$2,"."&amp;G$2&amp;G$1&amp;"C"&amp;$A7)="N/A",0,RTD("tos.rtd",,$A$2,"."&amp;G$2&amp;G$1&amp;"C"&amp;$A7))-IF(RTD("tos.rtd",,$A$2,"."&amp;G$2&amp;G$1&amp;"P"&amp;$A7)="N/A",0,RTD("tos.rtd",,$A$2,"."&amp;G$2&amp;G$1&amp;"P"&amp;$A7))</f>
        <v>0</v>
      </c>
      <c r="H7" s="56">
        <f ca="1">IF(RTD("tos.rtd",,$A$2,"."&amp;H$2&amp;H$1&amp;"C"&amp;$A7)="N/A",0,RTD("tos.rtd",,$A$2,"."&amp;H$2&amp;H$1&amp;"C"&amp;$A7))-IF(RTD("tos.rtd",,$A$2,"."&amp;H$2&amp;H$1&amp;"P"&amp;$A7)="N/A",0,RTD("tos.rtd",,$A$2,"."&amp;H$2&amp;H$1&amp;"P"&amp;$A7))</f>
        <v>-63</v>
      </c>
      <c r="I7" s="56">
        <f ca="1">IF(RTD("tos.rtd",,$A$2,"."&amp;I$2&amp;I$1&amp;"C"&amp;$A7)="N/A",0,RTD("tos.rtd",,$A$2,"."&amp;I$2&amp;I$1&amp;"C"&amp;$A7))-IF(RTD("tos.rtd",,$A$2,"."&amp;I$2&amp;I$1&amp;"P"&amp;$A7)="N/A",0,RTD("tos.rtd",,$A$2,"."&amp;I$2&amp;I$1&amp;"P"&amp;$A7))</f>
        <v>309</v>
      </c>
      <c r="J7" s="56">
        <f ca="1">IF(RTD("tos.rtd",,$A$2,"."&amp;J$2&amp;J$1&amp;"C"&amp;$A7)="N/A",0,RTD("tos.rtd",,$A$2,"."&amp;J$2&amp;J$1&amp;"C"&amp;$A7))-IF(RTD("tos.rtd",,$A$2,"."&amp;J$2&amp;J$1&amp;"P"&amp;$A7)="N/A",0,RTD("tos.rtd",,$A$2,"."&amp;J$2&amp;J$1&amp;"P"&amp;$A7))</f>
        <v>-191</v>
      </c>
      <c r="K7" s="56">
        <f ca="1">IF(RTD("tos.rtd",,$A$2,"."&amp;K$2&amp;K$1&amp;"C"&amp;$A7)="N/A",0,RTD("tos.rtd",,$A$2,"."&amp;K$2&amp;K$1&amp;"C"&amp;$A7))-IF(RTD("tos.rtd",,$A$2,"."&amp;K$2&amp;K$1&amp;"P"&amp;$A7)="N/A",0,RTD("tos.rtd",,$A$2,"."&amp;K$2&amp;K$1&amp;"P"&amp;$A7))</f>
        <v>266</v>
      </c>
      <c r="L7" s="56">
        <f ca="1">IF(RTD("tos.rtd",,$A$2,"."&amp;L$2&amp;L$1&amp;"C"&amp;$A7)="N/A",0,RTD("tos.rtd",,$A$2,"."&amp;L$2&amp;L$1&amp;"C"&amp;$A7))-IF(RTD("tos.rtd",,$A$2,"."&amp;L$2&amp;L$1&amp;"P"&amp;$A7)="N/A",0,RTD("tos.rtd",,$A$2,"."&amp;L$2&amp;L$1&amp;"P"&amp;$A7))</f>
        <v>0</v>
      </c>
      <c r="M7" s="56">
        <f ca="1">IF(RTD("tos.rtd",,$A$2,"."&amp;M$2&amp;M$1&amp;"C"&amp;$A7)="N/A",0,RTD("tos.rtd",,$A$2,"."&amp;M$2&amp;M$1&amp;"C"&amp;$A7))-IF(RTD("tos.rtd",,$A$2,"."&amp;M$2&amp;M$1&amp;"P"&amp;$A7)="N/A",0,RTD("tos.rtd",,$A$2,"."&amp;M$2&amp;M$1&amp;"P"&amp;$A7))</f>
        <v>67</v>
      </c>
      <c r="N7" s="56">
        <f ca="1">IF(RTD("tos.rtd",,$A$2,"."&amp;N$2&amp;N$1&amp;"C"&amp;$A7)="N/A",0,RTD("tos.rtd",,$A$2,"."&amp;N$2&amp;N$1&amp;"C"&amp;$A7))-IF(RTD("tos.rtd",,$A$2,"."&amp;N$2&amp;N$1&amp;"P"&amp;$A7)="N/A",0,RTD("tos.rtd",,$A$2,"."&amp;N$2&amp;N$1&amp;"P"&amp;$A7))</f>
        <v>0</v>
      </c>
      <c r="O7" s="56">
        <f ca="1">IF(RTD("tos.rtd",,$A$2,"."&amp;O$2&amp;O$1&amp;"C"&amp;$A7)="N/A",0,RTD("tos.rtd",,$A$2,"."&amp;O$2&amp;O$1&amp;"C"&amp;$A7))-IF(RTD("tos.rtd",,$A$2,"."&amp;O$2&amp;O$1&amp;"P"&amp;$A7)="N/A",0,RTD("tos.rtd",,$A$2,"."&amp;O$2&amp;O$1&amp;"P"&amp;$A7))</f>
        <v>165</v>
      </c>
      <c r="P7" s="56">
        <f ca="1">IF(RTD("tos.rtd",,$A$2,"."&amp;P$2&amp;P$1&amp;"C"&amp;$A7)="N/A",0,RTD("tos.rtd",,$A$2,"."&amp;P$2&amp;P$1&amp;"C"&amp;$A7))-IF(RTD("tos.rtd",,$A$2,"."&amp;P$2&amp;P$1&amp;"P"&amp;$A7)="N/A",0,RTD("tos.rtd",,$A$2,"."&amp;P$2&amp;P$1&amp;"P"&amp;$A7))</f>
        <v>0</v>
      </c>
      <c r="Q7" s="56">
        <f ca="1">IF(RTD("tos.rtd",,$A$2,"."&amp;Q$2&amp;Q$1&amp;"C"&amp;$A7)="N/A",0,RTD("tos.rtd",,$A$2,"."&amp;Q$2&amp;Q$1&amp;"C"&amp;$A7))-IF(RTD("tos.rtd",,$A$2,"."&amp;Q$2&amp;Q$1&amp;"P"&amp;$A7)="N/A",0,RTD("tos.rtd",,$A$2,"."&amp;Q$2&amp;Q$1&amp;"P"&amp;$A7))</f>
        <v>0</v>
      </c>
      <c r="R7" s="56">
        <f ca="1">IF(RTD("tos.rtd",,$A$2,"."&amp;R$2&amp;R$1&amp;"C"&amp;$A7)="N/A",0,RTD("tos.rtd",,$A$2,"."&amp;R$2&amp;R$1&amp;"C"&amp;$A7))-IF(RTD("tos.rtd",,$A$2,"."&amp;R$2&amp;R$1&amp;"P"&amp;$A7)="N/A",0,RTD("tos.rtd",,$A$2,"."&amp;R$2&amp;R$1&amp;"P"&amp;$A7))</f>
        <v>0</v>
      </c>
      <c r="S7" s="56">
        <f ca="1">IF(RTD("tos.rtd",,$A$2,"."&amp;S$2&amp;S$1&amp;"C"&amp;$A7)="N/A",0,RTD("tos.rtd",,$A$2,"."&amp;S$2&amp;S$1&amp;"C"&amp;$A7))-IF(RTD("tos.rtd",,$A$2,"."&amp;S$2&amp;S$1&amp;"P"&amp;$A7)="N/A",0,RTD("tos.rtd",,$A$2,"."&amp;S$2&amp;S$1&amp;"P"&amp;$A7))</f>
        <v>0</v>
      </c>
      <c r="T7" s="56">
        <f ca="1">IF(RTD("tos.rtd",,$A$2,"."&amp;T$2&amp;T$1&amp;"C"&amp;$A7)="N/A",0,RTD("tos.rtd",,$A$2,"."&amp;T$2&amp;T$1&amp;"C"&amp;$A7))-IF(RTD("tos.rtd",,$A$2,"."&amp;T$2&amp;T$1&amp;"P"&amp;$A7)="N/A",0,RTD("tos.rtd",,$A$2,"."&amp;T$2&amp;T$1&amp;"P"&amp;$A7))</f>
        <v>0</v>
      </c>
      <c r="U7" s="56">
        <f ca="1">IF(RTD("tos.rtd",,$A$2,"."&amp;U$2&amp;U$1&amp;"C"&amp;$A7)="N/A",0,RTD("tos.rtd",,$A$2,"."&amp;U$2&amp;U$1&amp;"C"&amp;$A7))-IF(RTD("tos.rtd",,$A$2,"."&amp;U$2&amp;U$1&amp;"P"&amp;$A7)="N/A",0,RTD("tos.rtd",,$A$2,"."&amp;U$2&amp;U$1&amp;"P"&amp;$A7))</f>
        <v>0</v>
      </c>
      <c r="V7" s="56">
        <f ca="1">IF(RTD("tos.rtd",,$A$2,"."&amp;V$2&amp;V$1&amp;"C"&amp;$A7)="N/A",0,RTD("tos.rtd",,$A$2,"."&amp;V$2&amp;V$1&amp;"C"&amp;$A7))-IF(RTD("tos.rtd",,$A$2,"."&amp;V$2&amp;V$1&amp;"P"&amp;$A7)="N/A",0,RTD("tos.rtd",,$A$2,"."&amp;V$2&amp;V$1&amp;"P"&amp;$A7))</f>
        <v>0</v>
      </c>
      <c r="W7" s="56">
        <f ca="1">IF(RTD("tos.rtd",,$A$2,"."&amp;W$2&amp;W$1&amp;"C"&amp;$A7)="N/A",0,RTD("tos.rtd",,$A$2,"."&amp;W$2&amp;W$1&amp;"C"&amp;$A7))-IF(RTD("tos.rtd",,$A$2,"."&amp;W$2&amp;W$1&amp;"P"&amp;$A7)="N/A",0,RTD("tos.rtd",,$A$2,"."&amp;W$2&amp;W$1&amp;"P"&amp;$A7))</f>
        <v>0</v>
      </c>
      <c r="X7" s="56">
        <f ca="1">IF(RTD("tos.rtd",,$A$2,"."&amp;X$2&amp;X$1&amp;"C"&amp;$A7)="N/A",0,RTD("tos.rtd",,$A$2,"."&amp;X$2&amp;X$1&amp;"C"&amp;$A7))-IF(RTD("tos.rtd",,$A$2,"."&amp;X$2&amp;X$1&amp;"P"&amp;$A7)="N/A",0,RTD("tos.rtd",,$A$2,"."&amp;X$2&amp;X$1&amp;"P"&amp;$A7))</f>
        <v>0</v>
      </c>
      <c r="Y7" s="63">
        <f t="shared" ca="1" si="5"/>
        <v>4548</v>
      </c>
    </row>
    <row r="8" spans="1:25" x14ac:dyDescent="0.25">
      <c r="A8" s="57">
        <f>+Hoja1!A7</f>
        <v>686</v>
      </c>
      <c r="B8" s="56">
        <f ca="1">IF(RTD("tos.rtd",,$A$2,"."&amp;B$2&amp;B$1&amp;"C"&amp;$A8)="N/A",0,RTD("tos.rtd",,$A$2,"."&amp;B$2&amp;B$1&amp;"C"&amp;$A8))-IF(RTD("tos.rtd",,$A$2,"."&amp;B$2&amp;B$1&amp;"P"&amp;$A8)="N/A",0,RTD("tos.rtd",,$A$2,"."&amp;B$2&amp;B$1&amp;"P"&amp;$A8))</f>
        <v>2956</v>
      </c>
      <c r="C8" s="56">
        <f ca="1">IF(RTD("tos.rtd",,$A$2,"."&amp;C$2&amp;C$1&amp;"C"&amp;$A8)="N/A",0,RTD("tos.rtd",,$A$2,"."&amp;C$2&amp;C$1&amp;"C"&amp;$A8))-IF(RTD("tos.rtd",,$A$2,"."&amp;C$2&amp;C$1&amp;"P"&amp;$A8)="N/A",0,RTD("tos.rtd",,$A$2,"."&amp;C$2&amp;C$1&amp;"P"&amp;$A8))</f>
        <v>706</v>
      </c>
      <c r="D8" s="56">
        <f ca="1">IF(RTD("tos.rtd",,$A$2,"."&amp;D$2&amp;D$1&amp;"C"&amp;$A8)="N/A",0,RTD("tos.rtd",,$A$2,"."&amp;D$2&amp;D$1&amp;"C"&amp;$A8))-IF(RTD("tos.rtd",,$A$2,"."&amp;D$2&amp;D$1&amp;"P"&amp;$A8)="N/A",0,RTD("tos.rtd",,$A$2,"."&amp;D$2&amp;D$1&amp;"P"&amp;$A8))</f>
        <v>438</v>
      </c>
      <c r="E8" s="56">
        <f ca="1">IF(RTD("tos.rtd",,$A$2,"."&amp;E$2&amp;E$1&amp;"C"&amp;$A8)="N/A",0,RTD("tos.rtd",,$A$2,"."&amp;E$2&amp;E$1&amp;"C"&amp;$A8))-IF(RTD("tos.rtd",,$A$2,"."&amp;E$2&amp;E$1&amp;"P"&amp;$A8)="N/A",0,RTD("tos.rtd",,$A$2,"."&amp;E$2&amp;E$1&amp;"P"&amp;$A8))</f>
        <v>4762</v>
      </c>
      <c r="F8" s="56">
        <f ca="1">IF(RTD("tos.rtd",,$A$2,"."&amp;F$2&amp;F$1&amp;"C"&amp;$A8)="N/A",0,RTD("tos.rtd",,$A$2,"."&amp;F$2&amp;F$1&amp;"C"&amp;$A8))-IF(RTD("tos.rtd",,$A$2,"."&amp;F$2&amp;F$1&amp;"P"&amp;$A8)="N/A",0,RTD("tos.rtd",,$A$2,"."&amp;F$2&amp;F$1&amp;"P"&amp;$A8))</f>
        <v>0</v>
      </c>
      <c r="G8" s="56">
        <f ca="1">IF(RTD("tos.rtd",,$A$2,"."&amp;G$2&amp;G$1&amp;"C"&amp;$A8)="N/A",0,RTD("tos.rtd",,$A$2,"."&amp;G$2&amp;G$1&amp;"C"&amp;$A8))-IF(RTD("tos.rtd",,$A$2,"."&amp;G$2&amp;G$1&amp;"P"&amp;$A8)="N/A",0,RTD("tos.rtd",,$A$2,"."&amp;G$2&amp;G$1&amp;"P"&amp;$A8))</f>
        <v>0</v>
      </c>
      <c r="H8" s="56">
        <f ca="1">IF(RTD("tos.rtd",,$A$2,"."&amp;H$2&amp;H$1&amp;"C"&amp;$A8)="N/A",0,RTD("tos.rtd",,$A$2,"."&amp;H$2&amp;H$1&amp;"C"&amp;$A8))-IF(RTD("tos.rtd",,$A$2,"."&amp;H$2&amp;H$1&amp;"P"&amp;$A8)="N/A",0,RTD("tos.rtd",,$A$2,"."&amp;H$2&amp;H$1&amp;"P"&amp;$A8))</f>
        <v>562</v>
      </c>
      <c r="I8" s="56">
        <f ca="1">IF(RTD("tos.rtd",,$A$2,"."&amp;I$2&amp;I$1&amp;"C"&amp;$A8)="N/A",0,RTD("tos.rtd",,$A$2,"."&amp;I$2&amp;I$1&amp;"C"&amp;$A8))-IF(RTD("tos.rtd",,$A$2,"."&amp;I$2&amp;I$1&amp;"P"&amp;$A8)="N/A",0,RTD("tos.rtd",,$A$2,"."&amp;I$2&amp;I$1&amp;"P"&amp;$A8))</f>
        <v>308</v>
      </c>
      <c r="J8" s="56">
        <f ca="1">IF(RTD("tos.rtd",,$A$2,"."&amp;J$2&amp;J$1&amp;"C"&amp;$A8)="N/A",0,RTD("tos.rtd",,$A$2,"."&amp;J$2&amp;J$1&amp;"C"&amp;$A8))-IF(RTD("tos.rtd",,$A$2,"."&amp;J$2&amp;J$1&amp;"P"&amp;$A8)="N/A",0,RTD("tos.rtd",,$A$2,"."&amp;J$2&amp;J$1&amp;"P"&amp;$A8))</f>
        <v>153</v>
      </c>
      <c r="K8" s="56">
        <f ca="1">IF(RTD("tos.rtd",,$A$2,"."&amp;K$2&amp;K$1&amp;"C"&amp;$A8)="N/A",0,RTD("tos.rtd",,$A$2,"."&amp;K$2&amp;K$1&amp;"C"&amp;$A8))-IF(RTD("tos.rtd",,$A$2,"."&amp;K$2&amp;K$1&amp;"P"&amp;$A8)="N/A",0,RTD("tos.rtd",,$A$2,"."&amp;K$2&amp;K$1&amp;"P"&amp;$A8))</f>
        <v>203</v>
      </c>
      <c r="L8" s="56">
        <f ca="1">IF(RTD("tos.rtd",,$A$2,"."&amp;L$2&amp;L$1&amp;"C"&amp;$A8)="N/A",0,RTD("tos.rtd",,$A$2,"."&amp;L$2&amp;L$1&amp;"C"&amp;$A8))-IF(RTD("tos.rtd",,$A$2,"."&amp;L$2&amp;L$1&amp;"P"&amp;$A8)="N/A",0,RTD("tos.rtd",,$A$2,"."&amp;L$2&amp;L$1&amp;"P"&amp;$A8))</f>
        <v>0</v>
      </c>
      <c r="M8" s="56">
        <f ca="1">IF(RTD("tos.rtd",,$A$2,"."&amp;M$2&amp;M$1&amp;"C"&amp;$A8)="N/A",0,RTD("tos.rtd",,$A$2,"."&amp;M$2&amp;M$1&amp;"C"&amp;$A8))-IF(RTD("tos.rtd",,$A$2,"."&amp;M$2&amp;M$1&amp;"P"&amp;$A8)="N/A",0,RTD("tos.rtd",,$A$2,"."&amp;M$2&amp;M$1&amp;"P"&amp;$A8))</f>
        <v>-20</v>
      </c>
      <c r="N8" s="56">
        <f ca="1">IF(RTD("tos.rtd",,$A$2,"."&amp;N$2&amp;N$1&amp;"C"&amp;$A8)="N/A",0,RTD("tos.rtd",,$A$2,"."&amp;N$2&amp;N$1&amp;"C"&amp;$A8))-IF(RTD("tos.rtd",,$A$2,"."&amp;N$2&amp;N$1&amp;"P"&amp;$A8)="N/A",0,RTD("tos.rtd",,$A$2,"."&amp;N$2&amp;N$1&amp;"P"&amp;$A8))</f>
        <v>0</v>
      </c>
      <c r="O8" s="56">
        <f ca="1">IF(RTD("tos.rtd",,$A$2,"."&amp;O$2&amp;O$1&amp;"C"&amp;$A8)="N/A",0,RTD("tos.rtd",,$A$2,"."&amp;O$2&amp;O$1&amp;"C"&amp;$A8))-IF(RTD("tos.rtd",,$A$2,"."&amp;O$2&amp;O$1&amp;"P"&amp;$A8)="N/A",0,RTD("tos.rtd",,$A$2,"."&amp;O$2&amp;O$1&amp;"P"&amp;$A8))</f>
        <v>-270</v>
      </c>
      <c r="P8" s="56">
        <f ca="1">IF(RTD("tos.rtd",,$A$2,"."&amp;P$2&amp;P$1&amp;"C"&amp;$A8)="N/A",0,RTD("tos.rtd",,$A$2,"."&amp;P$2&amp;P$1&amp;"C"&amp;$A8))-IF(RTD("tos.rtd",,$A$2,"."&amp;P$2&amp;P$1&amp;"P"&amp;$A8)="N/A",0,RTD("tos.rtd",,$A$2,"."&amp;P$2&amp;P$1&amp;"P"&amp;$A8))</f>
        <v>0</v>
      </c>
      <c r="Q8" s="56">
        <f ca="1">IF(RTD("tos.rtd",,$A$2,"."&amp;Q$2&amp;Q$1&amp;"C"&amp;$A8)="N/A",0,RTD("tos.rtd",,$A$2,"."&amp;Q$2&amp;Q$1&amp;"C"&amp;$A8))-IF(RTD("tos.rtd",,$A$2,"."&amp;Q$2&amp;Q$1&amp;"P"&amp;$A8)="N/A",0,RTD("tos.rtd",,$A$2,"."&amp;Q$2&amp;Q$1&amp;"P"&amp;$A8))</f>
        <v>0</v>
      </c>
      <c r="R8" s="56">
        <f ca="1">IF(RTD("tos.rtd",,$A$2,"."&amp;R$2&amp;R$1&amp;"C"&amp;$A8)="N/A",0,RTD("tos.rtd",,$A$2,"."&amp;R$2&amp;R$1&amp;"C"&amp;$A8))-IF(RTD("tos.rtd",,$A$2,"."&amp;R$2&amp;R$1&amp;"P"&amp;$A8)="N/A",0,RTD("tos.rtd",,$A$2,"."&amp;R$2&amp;R$1&amp;"P"&amp;$A8))</f>
        <v>0</v>
      </c>
      <c r="S8" s="56">
        <f ca="1">IF(RTD("tos.rtd",,$A$2,"."&amp;S$2&amp;S$1&amp;"C"&amp;$A8)="N/A",0,RTD("tos.rtd",,$A$2,"."&amp;S$2&amp;S$1&amp;"C"&amp;$A8))-IF(RTD("tos.rtd",,$A$2,"."&amp;S$2&amp;S$1&amp;"P"&amp;$A8)="N/A",0,RTD("tos.rtd",,$A$2,"."&amp;S$2&amp;S$1&amp;"P"&amp;$A8))</f>
        <v>0</v>
      </c>
      <c r="T8" s="56">
        <f ca="1">IF(RTD("tos.rtd",,$A$2,"."&amp;T$2&amp;T$1&amp;"C"&amp;$A8)="N/A",0,RTD("tos.rtd",,$A$2,"."&amp;T$2&amp;T$1&amp;"C"&amp;$A8))-IF(RTD("tos.rtd",,$A$2,"."&amp;T$2&amp;T$1&amp;"P"&amp;$A8)="N/A",0,RTD("tos.rtd",,$A$2,"."&amp;T$2&amp;T$1&amp;"P"&amp;$A8))</f>
        <v>0</v>
      </c>
      <c r="U8" s="56">
        <f ca="1">IF(RTD("tos.rtd",,$A$2,"."&amp;U$2&amp;U$1&amp;"C"&amp;$A8)="N/A",0,RTD("tos.rtd",,$A$2,"."&amp;U$2&amp;U$1&amp;"C"&amp;$A8))-IF(RTD("tos.rtd",,$A$2,"."&amp;U$2&amp;U$1&amp;"P"&amp;$A8)="N/A",0,RTD("tos.rtd",,$A$2,"."&amp;U$2&amp;U$1&amp;"P"&amp;$A8))</f>
        <v>0</v>
      </c>
      <c r="V8" s="56">
        <f ca="1">IF(RTD("tos.rtd",,$A$2,"."&amp;V$2&amp;V$1&amp;"C"&amp;$A8)="N/A",0,RTD("tos.rtd",,$A$2,"."&amp;V$2&amp;V$1&amp;"C"&amp;$A8))-IF(RTD("tos.rtd",,$A$2,"."&amp;V$2&amp;V$1&amp;"P"&amp;$A8)="N/A",0,RTD("tos.rtd",,$A$2,"."&amp;V$2&amp;V$1&amp;"P"&amp;$A8))</f>
        <v>0</v>
      </c>
      <c r="W8" s="56">
        <f ca="1">IF(RTD("tos.rtd",,$A$2,"."&amp;W$2&amp;W$1&amp;"C"&amp;$A8)="N/A",0,RTD("tos.rtd",,$A$2,"."&amp;W$2&amp;W$1&amp;"C"&amp;$A8))-IF(RTD("tos.rtd",,$A$2,"."&amp;W$2&amp;W$1&amp;"P"&amp;$A8)="N/A",0,RTD("tos.rtd",,$A$2,"."&amp;W$2&amp;W$1&amp;"P"&amp;$A8))</f>
        <v>0</v>
      </c>
      <c r="X8" s="56">
        <f ca="1">IF(RTD("tos.rtd",,$A$2,"."&amp;X$2&amp;X$1&amp;"C"&amp;$A8)="N/A",0,RTD("tos.rtd",,$A$2,"."&amp;X$2&amp;X$1&amp;"C"&amp;$A8))-IF(RTD("tos.rtd",,$A$2,"."&amp;X$2&amp;X$1&amp;"P"&amp;$A8)="N/A",0,RTD("tos.rtd",,$A$2,"."&amp;X$2&amp;X$1&amp;"P"&amp;$A8))</f>
        <v>0</v>
      </c>
      <c r="Y8" s="63">
        <f t="shared" ca="1" si="5"/>
        <v>9798</v>
      </c>
    </row>
    <row r="9" spans="1:25" x14ac:dyDescent="0.25">
      <c r="A9" s="58">
        <f>+Hoja1!A8</f>
        <v>685</v>
      </c>
      <c r="B9" s="56">
        <f ca="1">IF(RTD("tos.rtd",,$A$2,"."&amp;B$2&amp;B$1&amp;"C"&amp;$A9)="N/A",0,RTD("tos.rtd",,$A$2,"."&amp;B$2&amp;B$1&amp;"C"&amp;$A9))-IF(RTD("tos.rtd",,$A$2,"."&amp;B$2&amp;B$1&amp;"P"&amp;$A9)="N/A",0,RTD("tos.rtd",,$A$2,"."&amp;B$2&amp;B$1&amp;"P"&amp;$A9))</f>
        <v>9054</v>
      </c>
      <c r="C9" s="56">
        <f ca="1">IF(RTD("tos.rtd",,$A$2,"."&amp;C$2&amp;C$1&amp;"C"&amp;$A9)="N/A",0,RTD("tos.rtd",,$A$2,"."&amp;C$2&amp;C$1&amp;"C"&amp;$A9))-IF(RTD("tos.rtd",,$A$2,"."&amp;C$2&amp;C$1&amp;"P"&amp;$A9)="N/A",0,RTD("tos.rtd",,$A$2,"."&amp;C$2&amp;C$1&amp;"P"&amp;$A9))</f>
        <v>5579</v>
      </c>
      <c r="D9" s="56">
        <f ca="1">IF(RTD("tos.rtd",,$A$2,"."&amp;D$2&amp;D$1&amp;"C"&amp;$A9)="N/A",0,RTD("tos.rtd",,$A$2,"."&amp;D$2&amp;D$1&amp;"C"&amp;$A9))-IF(RTD("tos.rtd",,$A$2,"."&amp;D$2&amp;D$1&amp;"P"&amp;$A9)="N/A",0,RTD("tos.rtd",,$A$2,"."&amp;D$2&amp;D$1&amp;"P"&amp;$A9))</f>
        <v>1818</v>
      </c>
      <c r="E9" s="56">
        <f ca="1">IF(RTD("tos.rtd",,$A$2,"."&amp;E$2&amp;E$1&amp;"C"&amp;$A9)="N/A",0,RTD("tos.rtd",,$A$2,"."&amp;E$2&amp;E$1&amp;"C"&amp;$A9))-IF(RTD("tos.rtd",,$A$2,"."&amp;E$2&amp;E$1&amp;"P"&amp;$A9)="N/A",0,RTD("tos.rtd",,$A$2,"."&amp;E$2&amp;E$1&amp;"P"&amp;$A9))</f>
        <v>519</v>
      </c>
      <c r="F9" s="56">
        <f ca="1">IF(RTD("tos.rtd",,$A$2,"."&amp;F$2&amp;F$1&amp;"C"&amp;$A9)="N/A",0,RTD("tos.rtd",,$A$2,"."&amp;F$2&amp;F$1&amp;"C"&amp;$A9))-IF(RTD("tos.rtd",,$A$2,"."&amp;F$2&amp;F$1&amp;"P"&amp;$A9)="N/A",0,RTD("tos.rtd",,$A$2,"."&amp;F$2&amp;F$1&amp;"P"&amp;$A9))</f>
        <v>0</v>
      </c>
      <c r="G9" s="56">
        <f ca="1">IF(RTD("tos.rtd",,$A$2,"."&amp;G$2&amp;G$1&amp;"C"&amp;$A9)="N/A",0,RTD("tos.rtd",,$A$2,"."&amp;G$2&amp;G$1&amp;"C"&amp;$A9))-IF(RTD("tos.rtd",,$A$2,"."&amp;G$2&amp;G$1&amp;"P"&amp;$A9)="N/A",0,RTD("tos.rtd",,$A$2,"."&amp;G$2&amp;G$1&amp;"P"&amp;$A9))</f>
        <v>0</v>
      </c>
      <c r="H9" s="56">
        <f ca="1">IF(RTD("tos.rtd",,$A$2,"."&amp;H$2&amp;H$1&amp;"C"&amp;$A9)="N/A",0,RTD("tos.rtd",,$A$2,"."&amp;H$2&amp;H$1&amp;"C"&amp;$A9))-IF(RTD("tos.rtd",,$A$2,"."&amp;H$2&amp;H$1&amp;"P"&amp;$A9)="N/A",0,RTD("tos.rtd",,$A$2,"."&amp;H$2&amp;H$1&amp;"P"&amp;$A9))</f>
        <v>3641</v>
      </c>
      <c r="I9" s="56">
        <f ca="1">IF(RTD("tos.rtd",,$A$2,"."&amp;I$2&amp;I$1&amp;"C"&amp;$A9)="N/A",0,RTD("tos.rtd",,$A$2,"."&amp;I$2&amp;I$1&amp;"C"&amp;$A9))-IF(RTD("tos.rtd",,$A$2,"."&amp;I$2&amp;I$1&amp;"P"&amp;$A9)="N/A",0,RTD("tos.rtd",,$A$2,"."&amp;I$2&amp;I$1&amp;"P"&amp;$A9))</f>
        <v>1609</v>
      </c>
      <c r="J9" s="56">
        <f ca="1">IF(RTD("tos.rtd",,$A$2,"."&amp;J$2&amp;J$1&amp;"C"&amp;$A9)="N/A",0,RTD("tos.rtd",,$A$2,"."&amp;J$2&amp;J$1&amp;"C"&amp;$A9))-IF(RTD("tos.rtd",,$A$2,"."&amp;J$2&amp;J$1&amp;"P"&amp;$A9)="N/A",0,RTD("tos.rtd",,$A$2,"."&amp;J$2&amp;J$1&amp;"P"&amp;$A9))</f>
        <v>137</v>
      </c>
      <c r="K9" s="56">
        <f ca="1">IF(RTD("tos.rtd",,$A$2,"."&amp;K$2&amp;K$1&amp;"C"&amp;$A9)="N/A",0,RTD("tos.rtd",,$A$2,"."&amp;K$2&amp;K$1&amp;"C"&amp;$A9))-IF(RTD("tos.rtd",,$A$2,"."&amp;K$2&amp;K$1&amp;"P"&amp;$A9)="N/A",0,RTD("tos.rtd",,$A$2,"."&amp;K$2&amp;K$1&amp;"P"&amp;$A9))</f>
        <v>2464</v>
      </c>
      <c r="L9" s="56">
        <f ca="1">IF(RTD("tos.rtd",,$A$2,"."&amp;L$2&amp;L$1&amp;"C"&amp;$A9)="N/A",0,RTD("tos.rtd",,$A$2,"."&amp;L$2&amp;L$1&amp;"C"&amp;$A9))-IF(RTD("tos.rtd",,$A$2,"."&amp;L$2&amp;L$1&amp;"P"&amp;$A9)="N/A",0,RTD("tos.rtd",,$A$2,"."&amp;L$2&amp;L$1&amp;"P"&amp;$A9))</f>
        <v>0</v>
      </c>
      <c r="M9" s="56">
        <f ca="1">IF(RTD("tos.rtd",,$A$2,"."&amp;M$2&amp;M$1&amp;"C"&amp;$A9)="N/A",0,RTD("tos.rtd",,$A$2,"."&amp;M$2&amp;M$1&amp;"C"&amp;$A9))-IF(RTD("tos.rtd",,$A$2,"."&amp;M$2&amp;M$1&amp;"P"&amp;$A9)="N/A",0,RTD("tos.rtd",,$A$2,"."&amp;M$2&amp;M$1&amp;"P"&amp;$A9))</f>
        <v>122</v>
      </c>
      <c r="N9" s="56">
        <f ca="1">IF(RTD("tos.rtd",,$A$2,"."&amp;N$2&amp;N$1&amp;"C"&amp;$A9)="N/A",0,RTD("tos.rtd",,$A$2,"."&amp;N$2&amp;N$1&amp;"C"&amp;$A9))-IF(RTD("tos.rtd",,$A$2,"."&amp;N$2&amp;N$1&amp;"P"&amp;$A9)="N/A",0,RTD("tos.rtd",,$A$2,"."&amp;N$2&amp;N$1&amp;"P"&amp;$A9))</f>
        <v>0</v>
      </c>
      <c r="O9" s="56">
        <f ca="1">IF(RTD("tos.rtd",,$A$2,"."&amp;O$2&amp;O$1&amp;"C"&amp;$A9)="N/A",0,RTD("tos.rtd",,$A$2,"."&amp;O$2&amp;O$1&amp;"C"&amp;$A9))-IF(RTD("tos.rtd",,$A$2,"."&amp;O$2&amp;O$1&amp;"P"&amp;$A9)="N/A",0,RTD("tos.rtd",,$A$2,"."&amp;O$2&amp;O$1&amp;"P"&amp;$A9))</f>
        <v>355</v>
      </c>
      <c r="P9" s="56">
        <f ca="1">IF(RTD("tos.rtd",,$A$2,"."&amp;P$2&amp;P$1&amp;"C"&amp;$A9)="N/A",0,RTD("tos.rtd",,$A$2,"."&amp;P$2&amp;P$1&amp;"C"&amp;$A9))-IF(RTD("tos.rtd",,$A$2,"."&amp;P$2&amp;P$1&amp;"P"&amp;$A9)="N/A",0,RTD("tos.rtd",,$A$2,"."&amp;P$2&amp;P$1&amp;"P"&amp;$A9))</f>
        <v>13</v>
      </c>
      <c r="Q9" s="56">
        <f ca="1">IF(RTD("tos.rtd",,$A$2,"."&amp;Q$2&amp;Q$1&amp;"C"&amp;$A9)="N/A",0,RTD("tos.rtd",,$A$2,"."&amp;Q$2&amp;Q$1&amp;"C"&amp;$A9))-IF(RTD("tos.rtd",,$A$2,"."&amp;Q$2&amp;Q$1&amp;"P"&amp;$A9)="N/A",0,RTD("tos.rtd",,$A$2,"."&amp;Q$2&amp;Q$1&amp;"P"&amp;$A9))</f>
        <v>0</v>
      </c>
      <c r="R9" s="56">
        <f ca="1">IF(RTD("tos.rtd",,$A$2,"."&amp;R$2&amp;R$1&amp;"C"&amp;$A9)="N/A",0,RTD("tos.rtd",,$A$2,"."&amp;R$2&amp;R$1&amp;"C"&amp;$A9))-IF(RTD("tos.rtd",,$A$2,"."&amp;R$2&amp;R$1&amp;"P"&amp;$A9)="N/A",0,RTD("tos.rtd",,$A$2,"."&amp;R$2&amp;R$1&amp;"P"&amp;$A9))</f>
        <v>0</v>
      </c>
      <c r="S9" s="56">
        <f ca="1">IF(RTD("tos.rtd",,$A$2,"."&amp;S$2&amp;S$1&amp;"C"&amp;$A9)="N/A",0,RTD("tos.rtd",,$A$2,"."&amp;S$2&amp;S$1&amp;"C"&amp;$A9))-IF(RTD("tos.rtd",,$A$2,"."&amp;S$2&amp;S$1&amp;"P"&amp;$A9)="N/A",0,RTD("tos.rtd",,$A$2,"."&amp;S$2&amp;S$1&amp;"P"&amp;$A9))</f>
        <v>0</v>
      </c>
      <c r="T9" s="56">
        <f ca="1">IF(RTD("tos.rtd",,$A$2,"."&amp;T$2&amp;T$1&amp;"C"&amp;$A9)="N/A",0,RTD("tos.rtd",,$A$2,"."&amp;T$2&amp;T$1&amp;"C"&amp;$A9))-IF(RTD("tos.rtd",,$A$2,"."&amp;T$2&amp;T$1&amp;"P"&amp;$A9)="N/A",0,RTD("tos.rtd",,$A$2,"."&amp;T$2&amp;T$1&amp;"P"&amp;$A9))</f>
        <v>0</v>
      </c>
      <c r="U9" s="56">
        <f ca="1">IF(RTD("tos.rtd",,$A$2,"."&amp;U$2&amp;U$1&amp;"C"&amp;$A9)="N/A",0,RTD("tos.rtd",,$A$2,"."&amp;U$2&amp;U$1&amp;"C"&amp;$A9))-IF(RTD("tos.rtd",,$A$2,"."&amp;U$2&amp;U$1&amp;"P"&amp;$A9)="N/A",0,RTD("tos.rtd",,$A$2,"."&amp;U$2&amp;U$1&amp;"P"&amp;$A9))</f>
        <v>0</v>
      </c>
      <c r="V9" s="56">
        <f ca="1">IF(RTD("tos.rtd",,$A$2,"."&amp;V$2&amp;V$1&amp;"C"&amp;$A9)="N/A",0,RTD("tos.rtd",,$A$2,"."&amp;V$2&amp;V$1&amp;"C"&amp;$A9))-IF(RTD("tos.rtd",,$A$2,"."&amp;V$2&amp;V$1&amp;"P"&amp;$A9)="N/A",0,RTD("tos.rtd",,$A$2,"."&amp;V$2&amp;V$1&amp;"P"&amp;$A9))</f>
        <v>0</v>
      </c>
      <c r="W9" s="56">
        <f ca="1">IF(RTD("tos.rtd",,$A$2,"."&amp;W$2&amp;W$1&amp;"C"&amp;$A9)="N/A",0,RTD("tos.rtd",,$A$2,"."&amp;W$2&amp;W$1&amp;"C"&amp;$A9))-IF(RTD("tos.rtd",,$A$2,"."&amp;W$2&amp;W$1&amp;"P"&amp;$A9)="N/A",0,RTD("tos.rtd",,$A$2,"."&amp;W$2&amp;W$1&amp;"P"&amp;$A9))</f>
        <v>0</v>
      </c>
      <c r="X9" s="56">
        <f ca="1">IF(RTD("tos.rtd",,$A$2,"."&amp;X$2&amp;X$1&amp;"C"&amp;$A9)="N/A",0,RTD("tos.rtd",,$A$2,"."&amp;X$2&amp;X$1&amp;"C"&amp;$A9))-IF(RTD("tos.rtd",,$A$2,"."&amp;X$2&amp;X$1&amp;"P"&amp;$A9)="N/A",0,RTD("tos.rtd",,$A$2,"."&amp;X$2&amp;X$1&amp;"P"&amp;$A9))</f>
        <v>0</v>
      </c>
      <c r="Y9" s="63">
        <f t="shared" ca="1" si="5"/>
        <v>25311</v>
      </c>
    </row>
    <row r="10" spans="1:25" x14ac:dyDescent="0.25">
      <c r="A10" s="58">
        <f>+Hoja1!A9</f>
        <v>684</v>
      </c>
      <c r="B10" s="56">
        <f ca="1">IF(RTD("tos.rtd",,$A$2,"."&amp;B$2&amp;B$1&amp;"C"&amp;$A10)="N/A",0,RTD("tos.rtd",,$A$2,"."&amp;B$2&amp;B$1&amp;"C"&amp;$A10))-IF(RTD("tos.rtd",,$A$2,"."&amp;B$2&amp;B$1&amp;"P"&amp;$A10)="N/A",0,RTD("tos.rtd",,$A$2,"."&amp;B$2&amp;B$1&amp;"P"&amp;$A10))</f>
        <v>4075</v>
      </c>
      <c r="C10" s="56">
        <f ca="1">IF(RTD("tos.rtd",,$A$2,"."&amp;C$2&amp;C$1&amp;"C"&amp;$A10)="N/A",0,RTD("tos.rtd",,$A$2,"."&amp;C$2&amp;C$1&amp;"C"&amp;$A10))-IF(RTD("tos.rtd",,$A$2,"."&amp;C$2&amp;C$1&amp;"P"&amp;$A10)="N/A",0,RTD("tos.rtd",,$A$2,"."&amp;C$2&amp;C$1&amp;"P"&amp;$A10))</f>
        <v>1713</v>
      </c>
      <c r="D10" s="56">
        <f ca="1">IF(RTD("tos.rtd",,$A$2,"."&amp;D$2&amp;D$1&amp;"C"&amp;$A10)="N/A",0,RTD("tos.rtd",,$A$2,"."&amp;D$2&amp;D$1&amp;"C"&amp;$A10))-IF(RTD("tos.rtd",,$A$2,"."&amp;D$2&amp;D$1&amp;"P"&amp;$A10)="N/A",0,RTD("tos.rtd",,$A$2,"."&amp;D$2&amp;D$1&amp;"P"&amp;$A10))</f>
        <v>1195</v>
      </c>
      <c r="E10" s="56">
        <f ca="1">IF(RTD("tos.rtd",,$A$2,"."&amp;E$2&amp;E$1&amp;"C"&amp;$A10)="N/A",0,RTD("tos.rtd",,$A$2,"."&amp;E$2&amp;E$1&amp;"C"&amp;$A10))-IF(RTD("tos.rtd",,$A$2,"."&amp;E$2&amp;E$1&amp;"P"&amp;$A10)="N/A",0,RTD("tos.rtd",,$A$2,"."&amp;E$2&amp;E$1&amp;"P"&amp;$A10))</f>
        <v>464</v>
      </c>
      <c r="F10" s="56">
        <f ca="1">IF(RTD("tos.rtd",,$A$2,"."&amp;F$2&amp;F$1&amp;"C"&amp;$A10)="N/A",0,RTD("tos.rtd",,$A$2,"."&amp;F$2&amp;F$1&amp;"C"&amp;$A10))-IF(RTD("tos.rtd",,$A$2,"."&amp;F$2&amp;F$1&amp;"P"&amp;$A10)="N/A",0,RTD("tos.rtd",,$A$2,"."&amp;F$2&amp;F$1&amp;"P"&amp;$A10))</f>
        <v>0</v>
      </c>
      <c r="G10" s="56">
        <f ca="1">IF(RTD("tos.rtd",,$A$2,"."&amp;G$2&amp;G$1&amp;"C"&amp;$A10)="N/A",0,RTD("tos.rtd",,$A$2,"."&amp;G$2&amp;G$1&amp;"C"&amp;$A10))-IF(RTD("tos.rtd",,$A$2,"."&amp;G$2&amp;G$1&amp;"P"&amp;$A10)="N/A",0,RTD("tos.rtd",,$A$2,"."&amp;G$2&amp;G$1&amp;"P"&amp;$A10))</f>
        <v>0</v>
      </c>
      <c r="H10" s="56">
        <f ca="1">IF(RTD("tos.rtd",,$A$2,"."&amp;H$2&amp;H$1&amp;"C"&amp;$A10)="N/A",0,RTD("tos.rtd",,$A$2,"."&amp;H$2&amp;H$1&amp;"C"&amp;$A10))-IF(RTD("tos.rtd",,$A$2,"."&amp;H$2&amp;H$1&amp;"P"&amp;$A10)="N/A",0,RTD("tos.rtd",,$A$2,"."&amp;H$2&amp;H$1&amp;"P"&amp;$A10))</f>
        <v>129</v>
      </c>
      <c r="I10" s="56">
        <f ca="1">IF(RTD("tos.rtd",,$A$2,"."&amp;I$2&amp;I$1&amp;"C"&amp;$A10)="N/A",0,RTD("tos.rtd",,$A$2,"."&amp;I$2&amp;I$1&amp;"C"&amp;$A10))-IF(RTD("tos.rtd",,$A$2,"."&amp;I$2&amp;I$1&amp;"P"&amp;$A10)="N/A",0,RTD("tos.rtd",,$A$2,"."&amp;I$2&amp;I$1&amp;"P"&amp;$A10))</f>
        <v>187</v>
      </c>
      <c r="J10" s="56">
        <f ca="1">IF(RTD("tos.rtd",,$A$2,"."&amp;J$2&amp;J$1&amp;"C"&amp;$A10)="N/A",0,RTD("tos.rtd",,$A$2,"."&amp;J$2&amp;J$1&amp;"C"&amp;$A10))-IF(RTD("tos.rtd",,$A$2,"."&amp;J$2&amp;J$1&amp;"P"&amp;$A10)="N/A",0,RTD("tos.rtd",,$A$2,"."&amp;J$2&amp;J$1&amp;"P"&amp;$A10))</f>
        <v>-4</v>
      </c>
      <c r="K10" s="56">
        <f ca="1">IF(RTD("tos.rtd",,$A$2,"."&amp;K$2&amp;K$1&amp;"C"&amp;$A10)="N/A",0,RTD("tos.rtd",,$A$2,"."&amp;K$2&amp;K$1&amp;"C"&amp;$A10))-IF(RTD("tos.rtd",,$A$2,"."&amp;K$2&amp;K$1&amp;"P"&amp;$A10)="N/A",0,RTD("tos.rtd",,$A$2,"."&amp;K$2&amp;K$1&amp;"P"&amp;$A10))</f>
        <v>537</v>
      </c>
      <c r="L10" s="56">
        <f ca="1">IF(RTD("tos.rtd",,$A$2,"."&amp;L$2&amp;L$1&amp;"C"&amp;$A10)="N/A",0,RTD("tos.rtd",,$A$2,"."&amp;L$2&amp;L$1&amp;"C"&amp;$A10))-IF(RTD("tos.rtd",,$A$2,"."&amp;L$2&amp;L$1&amp;"P"&amp;$A10)="N/A",0,RTD("tos.rtd",,$A$2,"."&amp;L$2&amp;L$1&amp;"P"&amp;$A10))</f>
        <v>0</v>
      </c>
      <c r="M10" s="56">
        <f ca="1">IF(RTD("tos.rtd",,$A$2,"."&amp;M$2&amp;M$1&amp;"C"&amp;$A10)="N/A",0,RTD("tos.rtd",,$A$2,"."&amp;M$2&amp;M$1&amp;"C"&amp;$A10))-IF(RTD("tos.rtd",,$A$2,"."&amp;M$2&amp;M$1&amp;"P"&amp;$A10)="N/A",0,RTD("tos.rtd",,$A$2,"."&amp;M$2&amp;M$1&amp;"P"&amp;$A10))</f>
        <v>-6</v>
      </c>
      <c r="N10" s="56">
        <f ca="1">IF(RTD("tos.rtd",,$A$2,"."&amp;N$2&amp;N$1&amp;"C"&amp;$A10)="N/A",0,RTD("tos.rtd",,$A$2,"."&amp;N$2&amp;N$1&amp;"C"&amp;$A10))-IF(RTD("tos.rtd",,$A$2,"."&amp;N$2&amp;N$1&amp;"P"&amp;$A10)="N/A",0,RTD("tos.rtd",,$A$2,"."&amp;N$2&amp;N$1&amp;"P"&amp;$A10))</f>
        <v>0</v>
      </c>
      <c r="O10" s="56">
        <f ca="1">IF(RTD("tos.rtd",,$A$2,"."&amp;O$2&amp;O$1&amp;"C"&amp;$A10)="N/A",0,RTD("tos.rtd",,$A$2,"."&amp;O$2&amp;O$1&amp;"C"&amp;$A10))-IF(RTD("tos.rtd",,$A$2,"."&amp;O$2&amp;O$1&amp;"P"&amp;$A10)="N/A",0,RTD("tos.rtd",,$A$2,"."&amp;O$2&amp;O$1&amp;"P"&amp;$A10))</f>
        <v>303</v>
      </c>
      <c r="P10" s="56">
        <f ca="1">IF(RTD("tos.rtd",,$A$2,"."&amp;P$2&amp;P$1&amp;"C"&amp;$A10)="N/A",0,RTD("tos.rtd",,$A$2,"."&amp;P$2&amp;P$1&amp;"C"&amp;$A10))-IF(RTD("tos.rtd",,$A$2,"."&amp;P$2&amp;P$1&amp;"P"&amp;$A10)="N/A",0,RTD("tos.rtd",,$A$2,"."&amp;P$2&amp;P$1&amp;"P"&amp;$A10))</f>
        <v>0</v>
      </c>
      <c r="Q10" s="56">
        <f ca="1">IF(RTD("tos.rtd",,$A$2,"."&amp;Q$2&amp;Q$1&amp;"C"&amp;$A10)="N/A",0,RTD("tos.rtd",,$A$2,"."&amp;Q$2&amp;Q$1&amp;"C"&amp;$A10))-IF(RTD("tos.rtd",,$A$2,"."&amp;Q$2&amp;Q$1&amp;"P"&amp;$A10)="N/A",0,RTD("tos.rtd",,$A$2,"."&amp;Q$2&amp;Q$1&amp;"P"&amp;$A10))</f>
        <v>0</v>
      </c>
      <c r="R10" s="56">
        <f ca="1">IF(RTD("tos.rtd",,$A$2,"."&amp;R$2&amp;R$1&amp;"C"&amp;$A10)="N/A",0,RTD("tos.rtd",,$A$2,"."&amp;R$2&amp;R$1&amp;"C"&amp;$A10))-IF(RTD("tos.rtd",,$A$2,"."&amp;R$2&amp;R$1&amp;"P"&amp;$A10)="N/A",0,RTD("tos.rtd",,$A$2,"."&amp;R$2&amp;R$1&amp;"P"&amp;$A10))</f>
        <v>0</v>
      </c>
      <c r="S10" s="56">
        <f ca="1">IF(RTD("tos.rtd",,$A$2,"."&amp;S$2&amp;S$1&amp;"C"&amp;$A10)="N/A",0,RTD("tos.rtd",,$A$2,"."&amp;S$2&amp;S$1&amp;"C"&amp;$A10))-IF(RTD("tos.rtd",,$A$2,"."&amp;S$2&amp;S$1&amp;"P"&amp;$A10)="N/A",0,RTD("tos.rtd",,$A$2,"."&amp;S$2&amp;S$1&amp;"P"&amp;$A10))</f>
        <v>0</v>
      </c>
      <c r="T10" s="56">
        <f ca="1">IF(RTD("tos.rtd",,$A$2,"."&amp;T$2&amp;T$1&amp;"C"&amp;$A10)="N/A",0,RTD("tos.rtd",,$A$2,"."&amp;T$2&amp;T$1&amp;"C"&amp;$A10))-IF(RTD("tos.rtd",,$A$2,"."&amp;T$2&amp;T$1&amp;"P"&amp;$A10)="N/A",0,RTD("tos.rtd",,$A$2,"."&amp;T$2&amp;T$1&amp;"P"&amp;$A10))</f>
        <v>0</v>
      </c>
      <c r="U10" s="56">
        <f ca="1">IF(RTD("tos.rtd",,$A$2,"."&amp;U$2&amp;U$1&amp;"C"&amp;$A10)="N/A",0,RTD("tos.rtd",,$A$2,"."&amp;U$2&amp;U$1&amp;"C"&amp;$A10))-IF(RTD("tos.rtd",,$A$2,"."&amp;U$2&amp;U$1&amp;"P"&amp;$A10)="N/A",0,RTD("tos.rtd",,$A$2,"."&amp;U$2&amp;U$1&amp;"P"&amp;$A10))</f>
        <v>0</v>
      </c>
      <c r="V10" s="56">
        <f ca="1">IF(RTD("tos.rtd",,$A$2,"."&amp;V$2&amp;V$1&amp;"C"&amp;$A10)="N/A",0,RTD("tos.rtd",,$A$2,"."&amp;V$2&amp;V$1&amp;"C"&amp;$A10))-IF(RTD("tos.rtd",,$A$2,"."&amp;V$2&amp;V$1&amp;"P"&amp;$A10)="N/A",0,RTD("tos.rtd",,$A$2,"."&amp;V$2&amp;V$1&amp;"P"&amp;$A10))</f>
        <v>0</v>
      </c>
      <c r="W10" s="56">
        <f ca="1">IF(RTD("tos.rtd",,$A$2,"."&amp;W$2&amp;W$1&amp;"C"&amp;$A10)="N/A",0,RTD("tos.rtd",,$A$2,"."&amp;W$2&amp;W$1&amp;"C"&amp;$A10))-IF(RTD("tos.rtd",,$A$2,"."&amp;W$2&amp;W$1&amp;"P"&amp;$A10)="N/A",0,RTD("tos.rtd",,$A$2,"."&amp;W$2&amp;W$1&amp;"P"&amp;$A10))</f>
        <v>0</v>
      </c>
      <c r="X10" s="56">
        <f ca="1">IF(RTD("tos.rtd",,$A$2,"."&amp;X$2&amp;X$1&amp;"C"&amp;$A10)="N/A",0,RTD("tos.rtd",,$A$2,"."&amp;X$2&amp;X$1&amp;"C"&amp;$A10))-IF(RTD("tos.rtd",,$A$2,"."&amp;X$2&amp;X$1&amp;"P"&amp;$A10)="N/A",0,RTD("tos.rtd",,$A$2,"."&amp;X$2&amp;X$1&amp;"P"&amp;$A10))</f>
        <v>0</v>
      </c>
      <c r="Y10" s="63">
        <f t="shared" ca="1" si="5"/>
        <v>8593</v>
      </c>
    </row>
    <row r="11" spans="1:25" x14ac:dyDescent="0.25">
      <c r="A11" s="58">
        <f>+Hoja1!A10</f>
        <v>683</v>
      </c>
      <c r="B11" s="56">
        <f ca="1">IF(RTD("tos.rtd",,$A$2,"."&amp;B$2&amp;B$1&amp;"C"&amp;$A11)="N/A",0,RTD("tos.rtd",,$A$2,"."&amp;B$2&amp;B$1&amp;"C"&amp;$A11))-IF(RTD("tos.rtd",,$A$2,"."&amp;B$2&amp;B$1&amp;"P"&amp;$A11)="N/A",0,RTD("tos.rtd",,$A$2,"."&amp;B$2&amp;B$1&amp;"P"&amp;$A11))</f>
        <v>5630</v>
      </c>
      <c r="C11" s="56">
        <f ca="1">IF(RTD("tos.rtd",,$A$2,"."&amp;C$2&amp;C$1&amp;"C"&amp;$A11)="N/A",0,RTD("tos.rtd",,$A$2,"."&amp;C$2&amp;C$1&amp;"C"&amp;$A11))-IF(RTD("tos.rtd",,$A$2,"."&amp;C$2&amp;C$1&amp;"P"&amp;$A11)="N/A",0,RTD("tos.rtd",,$A$2,"."&amp;C$2&amp;C$1&amp;"P"&amp;$A11))</f>
        <v>6917</v>
      </c>
      <c r="D11" s="56">
        <f ca="1">IF(RTD("tos.rtd",,$A$2,"."&amp;D$2&amp;D$1&amp;"C"&amp;$A11)="N/A",0,RTD("tos.rtd",,$A$2,"."&amp;D$2&amp;D$1&amp;"C"&amp;$A11))-IF(RTD("tos.rtd",,$A$2,"."&amp;D$2&amp;D$1&amp;"P"&amp;$A11)="N/A",0,RTD("tos.rtd",,$A$2,"."&amp;D$2&amp;D$1&amp;"P"&amp;$A11))</f>
        <v>1189</v>
      </c>
      <c r="E11" s="56">
        <f ca="1">IF(RTD("tos.rtd",,$A$2,"."&amp;E$2&amp;E$1&amp;"C"&amp;$A11)="N/A",0,RTD("tos.rtd",,$A$2,"."&amp;E$2&amp;E$1&amp;"C"&amp;$A11))-IF(RTD("tos.rtd",,$A$2,"."&amp;E$2&amp;E$1&amp;"P"&amp;$A11)="N/A",0,RTD("tos.rtd",,$A$2,"."&amp;E$2&amp;E$1&amp;"P"&amp;$A11))</f>
        <v>3565</v>
      </c>
      <c r="F11" s="56">
        <f ca="1">IF(RTD("tos.rtd",,$A$2,"."&amp;F$2&amp;F$1&amp;"C"&amp;$A11)="N/A",0,RTD("tos.rtd",,$A$2,"."&amp;F$2&amp;F$1&amp;"C"&amp;$A11))-IF(RTD("tos.rtd",,$A$2,"."&amp;F$2&amp;F$1&amp;"P"&amp;$A11)="N/A",0,RTD("tos.rtd",,$A$2,"."&amp;F$2&amp;F$1&amp;"P"&amp;$A11))</f>
        <v>0</v>
      </c>
      <c r="G11" s="56">
        <f ca="1">IF(RTD("tos.rtd",,$A$2,"."&amp;G$2&amp;G$1&amp;"C"&amp;$A11)="N/A",0,RTD("tos.rtd",,$A$2,"."&amp;G$2&amp;G$1&amp;"C"&amp;$A11))-IF(RTD("tos.rtd",,$A$2,"."&amp;G$2&amp;G$1&amp;"P"&amp;$A11)="N/A",0,RTD("tos.rtd",,$A$2,"."&amp;G$2&amp;G$1&amp;"P"&amp;$A11))</f>
        <v>0</v>
      </c>
      <c r="H11" s="56">
        <f ca="1">IF(RTD("tos.rtd",,$A$2,"."&amp;H$2&amp;H$1&amp;"C"&amp;$A11)="N/A",0,RTD("tos.rtd",,$A$2,"."&amp;H$2&amp;H$1&amp;"C"&amp;$A11))-IF(RTD("tos.rtd",,$A$2,"."&amp;H$2&amp;H$1&amp;"P"&amp;$A11)="N/A",0,RTD("tos.rtd",,$A$2,"."&amp;H$2&amp;H$1&amp;"P"&amp;$A11))</f>
        <v>323</v>
      </c>
      <c r="I11" s="56">
        <f ca="1">IF(RTD("tos.rtd",,$A$2,"."&amp;I$2&amp;I$1&amp;"C"&amp;$A11)="N/A",0,RTD("tos.rtd",,$A$2,"."&amp;I$2&amp;I$1&amp;"C"&amp;$A11))-IF(RTD("tos.rtd",,$A$2,"."&amp;I$2&amp;I$1&amp;"P"&amp;$A11)="N/A",0,RTD("tos.rtd",,$A$2,"."&amp;I$2&amp;I$1&amp;"P"&amp;$A11))</f>
        <v>218</v>
      </c>
      <c r="J11" s="56">
        <f ca="1">IF(RTD("tos.rtd",,$A$2,"."&amp;J$2&amp;J$1&amp;"C"&amp;$A11)="N/A",0,RTD("tos.rtd",,$A$2,"."&amp;J$2&amp;J$1&amp;"C"&amp;$A11))-IF(RTD("tos.rtd",,$A$2,"."&amp;J$2&amp;J$1&amp;"P"&amp;$A11)="N/A",0,RTD("tos.rtd",,$A$2,"."&amp;J$2&amp;J$1&amp;"P"&amp;$A11))</f>
        <v>-387</v>
      </c>
      <c r="K11" s="56">
        <f ca="1">IF(RTD("tos.rtd",,$A$2,"."&amp;K$2&amp;K$1&amp;"C"&amp;$A11)="N/A",0,RTD("tos.rtd",,$A$2,"."&amp;K$2&amp;K$1&amp;"C"&amp;$A11))-IF(RTD("tos.rtd",,$A$2,"."&amp;K$2&amp;K$1&amp;"P"&amp;$A11)="N/A",0,RTD("tos.rtd",,$A$2,"."&amp;K$2&amp;K$1&amp;"P"&amp;$A11))</f>
        <v>795</v>
      </c>
      <c r="L11" s="56">
        <f ca="1">IF(RTD("tos.rtd",,$A$2,"."&amp;L$2&amp;L$1&amp;"C"&amp;$A11)="N/A",0,RTD("tos.rtd",,$A$2,"."&amp;L$2&amp;L$1&amp;"C"&amp;$A11))-IF(RTD("tos.rtd",,$A$2,"."&amp;L$2&amp;L$1&amp;"P"&amp;$A11)="N/A",0,RTD("tos.rtd",,$A$2,"."&amp;L$2&amp;L$1&amp;"P"&amp;$A11))</f>
        <v>0</v>
      </c>
      <c r="M11" s="56">
        <f ca="1">IF(RTD("tos.rtd",,$A$2,"."&amp;M$2&amp;M$1&amp;"C"&amp;$A11)="N/A",0,RTD("tos.rtd",,$A$2,"."&amp;M$2&amp;M$1&amp;"C"&amp;$A11))-IF(RTD("tos.rtd",,$A$2,"."&amp;M$2&amp;M$1&amp;"P"&amp;$A11)="N/A",0,RTD("tos.rtd",,$A$2,"."&amp;M$2&amp;M$1&amp;"P"&amp;$A11))</f>
        <v>15</v>
      </c>
      <c r="N11" s="56">
        <f ca="1">IF(RTD("tos.rtd",,$A$2,"."&amp;N$2&amp;N$1&amp;"C"&amp;$A11)="N/A",0,RTD("tos.rtd",,$A$2,"."&amp;N$2&amp;N$1&amp;"C"&amp;$A11))-IF(RTD("tos.rtd",,$A$2,"."&amp;N$2&amp;N$1&amp;"P"&amp;$A11)="N/A",0,RTD("tos.rtd",,$A$2,"."&amp;N$2&amp;N$1&amp;"P"&amp;$A11))</f>
        <v>0</v>
      </c>
      <c r="O11" s="56">
        <f ca="1">IF(RTD("tos.rtd",,$A$2,"."&amp;O$2&amp;O$1&amp;"C"&amp;$A11)="N/A",0,RTD("tos.rtd",,$A$2,"."&amp;O$2&amp;O$1&amp;"C"&amp;$A11))-IF(RTD("tos.rtd",,$A$2,"."&amp;O$2&amp;O$1&amp;"P"&amp;$A11)="N/A",0,RTD("tos.rtd",,$A$2,"."&amp;O$2&amp;O$1&amp;"P"&amp;$A11))</f>
        <v>1</v>
      </c>
      <c r="P11" s="56">
        <f ca="1">IF(RTD("tos.rtd",,$A$2,"."&amp;P$2&amp;P$1&amp;"C"&amp;$A11)="N/A",0,RTD("tos.rtd",,$A$2,"."&amp;P$2&amp;P$1&amp;"C"&amp;$A11))-IF(RTD("tos.rtd",,$A$2,"."&amp;P$2&amp;P$1&amp;"P"&amp;$A11)="N/A",0,RTD("tos.rtd",,$A$2,"."&amp;P$2&amp;P$1&amp;"P"&amp;$A11))</f>
        <v>0</v>
      </c>
      <c r="Q11" s="56">
        <f ca="1">IF(RTD("tos.rtd",,$A$2,"."&amp;Q$2&amp;Q$1&amp;"C"&amp;$A11)="N/A",0,RTD("tos.rtd",,$A$2,"."&amp;Q$2&amp;Q$1&amp;"C"&amp;$A11))-IF(RTD("tos.rtd",,$A$2,"."&amp;Q$2&amp;Q$1&amp;"P"&amp;$A11)="N/A",0,RTD("tos.rtd",,$A$2,"."&amp;Q$2&amp;Q$1&amp;"P"&amp;$A11))</f>
        <v>0</v>
      </c>
      <c r="R11" s="56">
        <f ca="1">IF(RTD("tos.rtd",,$A$2,"."&amp;R$2&amp;R$1&amp;"C"&amp;$A11)="N/A",0,RTD("tos.rtd",,$A$2,"."&amp;R$2&amp;R$1&amp;"C"&amp;$A11))-IF(RTD("tos.rtd",,$A$2,"."&amp;R$2&amp;R$1&amp;"P"&amp;$A11)="N/A",0,RTD("tos.rtd",,$A$2,"."&amp;R$2&amp;R$1&amp;"P"&amp;$A11))</f>
        <v>0</v>
      </c>
      <c r="S11" s="56">
        <f ca="1">IF(RTD("tos.rtd",,$A$2,"."&amp;S$2&amp;S$1&amp;"C"&amp;$A11)="N/A",0,RTD("tos.rtd",,$A$2,"."&amp;S$2&amp;S$1&amp;"C"&amp;$A11))-IF(RTD("tos.rtd",,$A$2,"."&amp;S$2&amp;S$1&amp;"P"&amp;$A11)="N/A",0,RTD("tos.rtd",,$A$2,"."&amp;S$2&amp;S$1&amp;"P"&amp;$A11))</f>
        <v>0</v>
      </c>
      <c r="T11" s="56">
        <f ca="1">IF(RTD("tos.rtd",,$A$2,"."&amp;T$2&amp;T$1&amp;"C"&amp;$A11)="N/A",0,RTD("tos.rtd",,$A$2,"."&amp;T$2&amp;T$1&amp;"C"&amp;$A11))-IF(RTD("tos.rtd",,$A$2,"."&amp;T$2&amp;T$1&amp;"P"&amp;$A11)="N/A",0,RTD("tos.rtd",,$A$2,"."&amp;T$2&amp;T$1&amp;"P"&amp;$A11))</f>
        <v>0</v>
      </c>
      <c r="U11" s="56">
        <f ca="1">IF(RTD("tos.rtd",,$A$2,"."&amp;U$2&amp;U$1&amp;"C"&amp;$A11)="N/A",0,RTD("tos.rtd",,$A$2,"."&amp;U$2&amp;U$1&amp;"C"&amp;$A11))-IF(RTD("tos.rtd",,$A$2,"."&amp;U$2&amp;U$1&amp;"P"&amp;$A11)="N/A",0,RTD("tos.rtd",,$A$2,"."&amp;U$2&amp;U$1&amp;"P"&amp;$A11))</f>
        <v>0</v>
      </c>
      <c r="V11" s="56">
        <f ca="1">IF(RTD("tos.rtd",,$A$2,"."&amp;V$2&amp;V$1&amp;"C"&amp;$A11)="N/A",0,RTD("tos.rtd",,$A$2,"."&amp;V$2&amp;V$1&amp;"C"&amp;$A11))-IF(RTD("tos.rtd",,$A$2,"."&amp;V$2&amp;V$1&amp;"P"&amp;$A11)="N/A",0,RTD("tos.rtd",,$A$2,"."&amp;V$2&amp;V$1&amp;"P"&amp;$A11))</f>
        <v>0</v>
      </c>
      <c r="W11" s="56">
        <f ca="1">IF(RTD("tos.rtd",,$A$2,"."&amp;W$2&amp;W$1&amp;"C"&amp;$A11)="N/A",0,RTD("tos.rtd",,$A$2,"."&amp;W$2&amp;W$1&amp;"C"&amp;$A11))-IF(RTD("tos.rtd",,$A$2,"."&amp;W$2&amp;W$1&amp;"P"&amp;$A11)="N/A",0,RTD("tos.rtd",,$A$2,"."&amp;W$2&amp;W$1&amp;"P"&amp;$A11))</f>
        <v>0</v>
      </c>
      <c r="X11" s="56">
        <f ca="1">IF(RTD("tos.rtd",,$A$2,"."&amp;X$2&amp;X$1&amp;"C"&amp;$A11)="N/A",0,RTD("tos.rtd",,$A$2,"."&amp;X$2&amp;X$1&amp;"C"&amp;$A11))-IF(RTD("tos.rtd",,$A$2,"."&amp;X$2&amp;X$1&amp;"P"&amp;$A11)="N/A",0,RTD("tos.rtd",,$A$2,"."&amp;X$2&amp;X$1&amp;"P"&amp;$A11))</f>
        <v>0</v>
      </c>
      <c r="Y11" s="63">
        <f t="shared" ca="1" si="5"/>
        <v>18266</v>
      </c>
    </row>
    <row r="12" spans="1:25" x14ac:dyDescent="0.25">
      <c r="A12" s="58">
        <f>+Hoja1!A11</f>
        <v>682</v>
      </c>
      <c r="B12" s="56">
        <f ca="1">IF(RTD("tos.rtd",,$A$2,"."&amp;B$2&amp;B$1&amp;"C"&amp;$A12)="N/A",0,RTD("tos.rtd",,$A$2,"."&amp;B$2&amp;B$1&amp;"C"&amp;$A12))-IF(RTD("tos.rtd",,$A$2,"."&amp;B$2&amp;B$1&amp;"P"&amp;$A12)="N/A",0,RTD("tos.rtd",,$A$2,"."&amp;B$2&amp;B$1&amp;"P"&amp;$A12))</f>
        <v>11920</v>
      </c>
      <c r="C12" s="56">
        <f ca="1">IF(RTD("tos.rtd",,$A$2,"."&amp;C$2&amp;C$1&amp;"C"&amp;$A12)="N/A",0,RTD("tos.rtd",,$A$2,"."&amp;C$2&amp;C$1&amp;"C"&amp;$A12))-IF(RTD("tos.rtd",,$A$2,"."&amp;C$2&amp;C$1&amp;"P"&amp;$A12)="N/A",0,RTD("tos.rtd",,$A$2,"."&amp;C$2&amp;C$1&amp;"P"&amp;$A12))</f>
        <v>4045</v>
      </c>
      <c r="D12" s="56">
        <f ca="1">IF(RTD("tos.rtd",,$A$2,"."&amp;D$2&amp;D$1&amp;"C"&amp;$A12)="N/A",0,RTD("tos.rtd",,$A$2,"."&amp;D$2&amp;D$1&amp;"C"&amp;$A12))-IF(RTD("tos.rtd",,$A$2,"."&amp;D$2&amp;D$1&amp;"P"&amp;$A12)="N/A",0,RTD("tos.rtd",,$A$2,"."&amp;D$2&amp;D$1&amp;"P"&amp;$A12))</f>
        <v>2633</v>
      </c>
      <c r="E12" s="56">
        <f ca="1">IF(RTD("tos.rtd",,$A$2,"."&amp;E$2&amp;E$1&amp;"C"&amp;$A12)="N/A",0,RTD("tos.rtd",,$A$2,"."&amp;E$2&amp;E$1&amp;"C"&amp;$A12))-IF(RTD("tos.rtd",,$A$2,"."&amp;E$2&amp;E$1&amp;"P"&amp;$A12)="N/A",0,RTD("tos.rtd",,$A$2,"."&amp;E$2&amp;E$1&amp;"P"&amp;$A12))</f>
        <v>404</v>
      </c>
      <c r="F12" s="56">
        <f ca="1">IF(RTD("tos.rtd",,$A$2,"."&amp;F$2&amp;F$1&amp;"C"&amp;$A12)="N/A",0,RTD("tos.rtd",,$A$2,"."&amp;F$2&amp;F$1&amp;"C"&amp;$A12))-IF(RTD("tos.rtd",,$A$2,"."&amp;F$2&amp;F$1&amp;"P"&amp;$A12)="N/A",0,RTD("tos.rtd",,$A$2,"."&amp;F$2&amp;F$1&amp;"P"&amp;$A12))</f>
        <v>0</v>
      </c>
      <c r="G12" s="56">
        <f ca="1">IF(RTD("tos.rtd",,$A$2,"."&amp;G$2&amp;G$1&amp;"C"&amp;$A12)="N/A",0,RTD("tos.rtd",,$A$2,"."&amp;G$2&amp;G$1&amp;"C"&amp;$A12))-IF(RTD("tos.rtd",,$A$2,"."&amp;G$2&amp;G$1&amp;"P"&amp;$A12)="N/A",0,RTD("tos.rtd",,$A$2,"."&amp;G$2&amp;G$1&amp;"P"&amp;$A12))</f>
        <v>0</v>
      </c>
      <c r="H12" s="56">
        <f ca="1">IF(RTD("tos.rtd",,$A$2,"."&amp;H$2&amp;H$1&amp;"C"&amp;$A12)="N/A",0,RTD("tos.rtd",,$A$2,"."&amp;H$2&amp;H$1&amp;"C"&amp;$A12))-IF(RTD("tos.rtd",,$A$2,"."&amp;H$2&amp;H$1&amp;"P"&amp;$A12)="N/A",0,RTD("tos.rtd",,$A$2,"."&amp;H$2&amp;H$1&amp;"P"&amp;$A12))</f>
        <v>336</v>
      </c>
      <c r="I12" s="56">
        <f ca="1">IF(RTD("tos.rtd",,$A$2,"."&amp;I$2&amp;I$1&amp;"C"&amp;$A12)="N/A",0,RTD("tos.rtd",,$A$2,"."&amp;I$2&amp;I$1&amp;"C"&amp;$A12))-IF(RTD("tos.rtd",,$A$2,"."&amp;I$2&amp;I$1&amp;"P"&amp;$A12)="N/A",0,RTD("tos.rtd",,$A$2,"."&amp;I$2&amp;I$1&amp;"P"&amp;$A12))</f>
        <v>549</v>
      </c>
      <c r="J12" s="56">
        <f ca="1">IF(RTD("tos.rtd",,$A$2,"."&amp;J$2&amp;J$1&amp;"C"&amp;$A12)="N/A",0,RTD("tos.rtd",,$A$2,"."&amp;J$2&amp;J$1&amp;"C"&amp;$A12))-IF(RTD("tos.rtd",,$A$2,"."&amp;J$2&amp;J$1&amp;"P"&amp;$A12)="N/A",0,RTD("tos.rtd",,$A$2,"."&amp;J$2&amp;J$1&amp;"P"&amp;$A12))</f>
        <v>35</v>
      </c>
      <c r="K12" s="56">
        <f ca="1">IF(RTD("tos.rtd",,$A$2,"."&amp;K$2&amp;K$1&amp;"C"&amp;$A12)="N/A",0,RTD("tos.rtd",,$A$2,"."&amp;K$2&amp;K$1&amp;"C"&amp;$A12))-IF(RTD("tos.rtd",,$A$2,"."&amp;K$2&amp;K$1&amp;"P"&amp;$A12)="N/A",0,RTD("tos.rtd",,$A$2,"."&amp;K$2&amp;K$1&amp;"P"&amp;$A12))</f>
        <v>1343</v>
      </c>
      <c r="L12" s="56">
        <f ca="1">IF(RTD("tos.rtd",,$A$2,"."&amp;L$2&amp;L$1&amp;"C"&amp;$A12)="N/A",0,RTD("tos.rtd",,$A$2,"."&amp;L$2&amp;L$1&amp;"C"&amp;$A12))-IF(RTD("tos.rtd",,$A$2,"."&amp;L$2&amp;L$1&amp;"P"&amp;$A12)="N/A",0,RTD("tos.rtd",,$A$2,"."&amp;L$2&amp;L$1&amp;"P"&amp;$A12))</f>
        <v>0</v>
      </c>
      <c r="M12" s="56">
        <f ca="1">IF(RTD("tos.rtd",,$A$2,"."&amp;M$2&amp;M$1&amp;"C"&amp;$A12)="N/A",0,RTD("tos.rtd",,$A$2,"."&amp;M$2&amp;M$1&amp;"C"&amp;$A12))-IF(RTD("tos.rtd",,$A$2,"."&amp;M$2&amp;M$1&amp;"P"&amp;$A12)="N/A",0,RTD("tos.rtd",,$A$2,"."&amp;M$2&amp;M$1&amp;"P"&amp;$A12))</f>
        <v>-158</v>
      </c>
      <c r="N12" s="56">
        <f ca="1">IF(RTD("tos.rtd",,$A$2,"."&amp;N$2&amp;N$1&amp;"C"&amp;$A12)="N/A",0,RTD("tos.rtd",,$A$2,"."&amp;N$2&amp;N$1&amp;"C"&amp;$A12))-IF(RTD("tos.rtd",,$A$2,"."&amp;N$2&amp;N$1&amp;"P"&amp;$A12)="N/A",0,RTD("tos.rtd",,$A$2,"."&amp;N$2&amp;N$1&amp;"P"&amp;$A12))</f>
        <v>0</v>
      </c>
      <c r="O12" s="56">
        <f ca="1">IF(RTD("tos.rtd",,$A$2,"."&amp;O$2&amp;O$1&amp;"C"&amp;$A12)="N/A",0,RTD("tos.rtd",,$A$2,"."&amp;O$2&amp;O$1&amp;"C"&amp;$A12))-IF(RTD("tos.rtd",,$A$2,"."&amp;O$2&amp;O$1&amp;"P"&amp;$A12)="N/A",0,RTD("tos.rtd",,$A$2,"."&amp;O$2&amp;O$1&amp;"P"&amp;$A12))</f>
        <v>193</v>
      </c>
      <c r="P12" s="56">
        <f ca="1">IF(RTD("tos.rtd",,$A$2,"."&amp;P$2&amp;P$1&amp;"C"&amp;$A12)="N/A",0,RTD("tos.rtd",,$A$2,"."&amp;P$2&amp;P$1&amp;"C"&amp;$A12))-IF(RTD("tos.rtd",,$A$2,"."&amp;P$2&amp;P$1&amp;"P"&amp;$A12)="N/A",0,RTD("tos.rtd",,$A$2,"."&amp;P$2&amp;P$1&amp;"P"&amp;$A12))</f>
        <v>0</v>
      </c>
      <c r="Q12" s="56">
        <f ca="1">IF(RTD("tos.rtd",,$A$2,"."&amp;Q$2&amp;Q$1&amp;"C"&amp;$A12)="N/A",0,RTD("tos.rtd",,$A$2,"."&amp;Q$2&amp;Q$1&amp;"C"&amp;$A12))-IF(RTD("tos.rtd",,$A$2,"."&amp;Q$2&amp;Q$1&amp;"P"&amp;$A12)="N/A",0,RTD("tos.rtd",,$A$2,"."&amp;Q$2&amp;Q$1&amp;"P"&amp;$A12))</f>
        <v>0</v>
      </c>
      <c r="R12" s="56">
        <f ca="1">IF(RTD("tos.rtd",,$A$2,"."&amp;R$2&amp;R$1&amp;"C"&amp;$A12)="N/A",0,RTD("tos.rtd",,$A$2,"."&amp;R$2&amp;R$1&amp;"C"&amp;$A12))-IF(RTD("tos.rtd",,$A$2,"."&amp;R$2&amp;R$1&amp;"P"&amp;$A12)="N/A",0,RTD("tos.rtd",,$A$2,"."&amp;R$2&amp;R$1&amp;"P"&amp;$A12))</f>
        <v>0</v>
      </c>
      <c r="S12" s="56">
        <f ca="1">IF(RTD("tos.rtd",,$A$2,"."&amp;S$2&amp;S$1&amp;"C"&amp;$A12)="N/A",0,RTD("tos.rtd",,$A$2,"."&amp;S$2&amp;S$1&amp;"C"&amp;$A12))-IF(RTD("tos.rtd",,$A$2,"."&amp;S$2&amp;S$1&amp;"P"&amp;$A12)="N/A",0,RTD("tos.rtd",,$A$2,"."&amp;S$2&amp;S$1&amp;"P"&amp;$A12))</f>
        <v>0</v>
      </c>
      <c r="T12" s="56">
        <f ca="1">IF(RTD("tos.rtd",,$A$2,"."&amp;T$2&amp;T$1&amp;"C"&amp;$A12)="N/A",0,RTD("tos.rtd",,$A$2,"."&amp;T$2&amp;T$1&amp;"C"&amp;$A12))-IF(RTD("tos.rtd",,$A$2,"."&amp;T$2&amp;T$1&amp;"P"&amp;$A12)="N/A",0,RTD("tos.rtd",,$A$2,"."&amp;T$2&amp;T$1&amp;"P"&amp;$A12))</f>
        <v>0</v>
      </c>
      <c r="U12" s="56">
        <f ca="1">IF(RTD("tos.rtd",,$A$2,"."&amp;U$2&amp;U$1&amp;"C"&amp;$A12)="N/A",0,RTD("tos.rtd",,$A$2,"."&amp;U$2&amp;U$1&amp;"C"&amp;$A12))-IF(RTD("tos.rtd",,$A$2,"."&amp;U$2&amp;U$1&amp;"P"&amp;$A12)="N/A",0,RTD("tos.rtd",,$A$2,"."&amp;U$2&amp;U$1&amp;"P"&amp;$A12))</f>
        <v>0</v>
      </c>
      <c r="V12" s="56">
        <f ca="1">IF(RTD("tos.rtd",,$A$2,"."&amp;V$2&amp;V$1&amp;"C"&amp;$A12)="N/A",0,RTD("tos.rtd",,$A$2,"."&amp;V$2&amp;V$1&amp;"C"&amp;$A12))-IF(RTD("tos.rtd",,$A$2,"."&amp;V$2&amp;V$1&amp;"P"&amp;$A12)="N/A",0,RTD("tos.rtd",,$A$2,"."&amp;V$2&amp;V$1&amp;"P"&amp;$A12))</f>
        <v>0</v>
      </c>
      <c r="W12" s="56">
        <f ca="1">IF(RTD("tos.rtd",,$A$2,"."&amp;W$2&amp;W$1&amp;"C"&amp;$A12)="N/A",0,RTD("tos.rtd",,$A$2,"."&amp;W$2&amp;W$1&amp;"C"&amp;$A12))-IF(RTD("tos.rtd",,$A$2,"."&amp;W$2&amp;W$1&amp;"P"&amp;$A12)="N/A",0,RTD("tos.rtd",,$A$2,"."&amp;W$2&amp;W$1&amp;"P"&amp;$A12))</f>
        <v>0</v>
      </c>
      <c r="X12" s="56">
        <f ca="1">IF(RTD("tos.rtd",,$A$2,"."&amp;X$2&amp;X$1&amp;"C"&amp;$A12)="N/A",0,RTD("tos.rtd",,$A$2,"."&amp;X$2&amp;X$1&amp;"C"&amp;$A12))-IF(RTD("tos.rtd",,$A$2,"."&amp;X$2&amp;X$1&amp;"P"&amp;$A12)="N/A",0,RTD("tos.rtd",,$A$2,"."&amp;X$2&amp;X$1&amp;"P"&amp;$A12))</f>
        <v>0</v>
      </c>
      <c r="Y12" s="63">
        <f t="shared" ca="1" si="5"/>
        <v>21300</v>
      </c>
    </row>
    <row r="13" spans="1:25" x14ac:dyDescent="0.25">
      <c r="A13" s="58">
        <f>+Hoja1!A12</f>
        <v>681</v>
      </c>
      <c r="B13" s="56">
        <f ca="1">IF(RTD("tos.rtd",,$A$2,"."&amp;B$2&amp;B$1&amp;"C"&amp;$A13)="N/A",0,RTD("tos.rtd",,$A$2,"."&amp;B$2&amp;B$1&amp;"C"&amp;$A13))-IF(RTD("tos.rtd",,$A$2,"."&amp;B$2&amp;B$1&amp;"P"&amp;$A13)="N/A",0,RTD("tos.rtd",,$A$2,"."&amp;B$2&amp;B$1&amp;"P"&amp;$A13))</f>
        <v>15442</v>
      </c>
      <c r="C13" s="56">
        <f ca="1">IF(RTD("tos.rtd",,$A$2,"."&amp;C$2&amp;C$1&amp;"C"&amp;$A13)="N/A",0,RTD("tos.rtd",,$A$2,"."&amp;C$2&amp;C$1&amp;"C"&amp;$A13))-IF(RTD("tos.rtd",,$A$2,"."&amp;C$2&amp;C$1&amp;"P"&amp;$A13)="N/A",0,RTD("tos.rtd",,$A$2,"."&amp;C$2&amp;C$1&amp;"P"&amp;$A13))</f>
        <v>2707</v>
      </c>
      <c r="D13" s="56">
        <f ca="1">IF(RTD("tos.rtd",,$A$2,"."&amp;D$2&amp;D$1&amp;"C"&amp;$A13)="N/A",0,RTD("tos.rtd",,$A$2,"."&amp;D$2&amp;D$1&amp;"C"&amp;$A13))-IF(RTD("tos.rtd",,$A$2,"."&amp;D$2&amp;D$1&amp;"P"&amp;$A13)="N/A",0,RTD("tos.rtd",,$A$2,"."&amp;D$2&amp;D$1&amp;"P"&amp;$A13))</f>
        <v>1399</v>
      </c>
      <c r="E13" s="56">
        <f ca="1">IF(RTD("tos.rtd",,$A$2,"."&amp;E$2&amp;E$1&amp;"C"&amp;$A13)="N/A",0,RTD("tos.rtd",,$A$2,"."&amp;E$2&amp;E$1&amp;"C"&amp;$A13))-IF(RTD("tos.rtd",,$A$2,"."&amp;E$2&amp;E$1&amp;"P"&amp;$A13)="N/A",0,RTD("tos.rtd",,$A$2,"."&amp;E$2&amp;E$1&amp;"P"&amp;$A13))</f>
        <v>514</v>
      </c>
      <c r="F13" s="56">
        <f ca="1">IF(RTD("tos.rtd",,$A$2,"."&amp;F$2&amp;F$1&amp;"C"&amp;$A13)="N/A",0,RTD("tos.rtd",,$A$2,"."&amp;F$2&amp;F$1&amp;"C"&amp;$A13))-IF(RTD("tos.rtd",,$A$2,"."&amp;F$2&amp;F$1&amp;"P"&amp;$A13)="N/A",0,RTD("tos.rtd",,$A$2,"."&amp;F$2&amp;F$1&amp;"P"&amp;$A13))</f>
        <v>0</v>
      </c>
      <c r="G13" s="56">
        <f ca="1">IF(RTD("tos.rtd",,$A$2,"."&amp;G$2&amp;G$1&amp;"C"&amp;$A13)="N/A",0,RTD("tos.rtd",,$A$2,"."&amp;G$2&amp;G$1&amp;"C"&amp;$A13))-IF(RTD("tos.rtd",,$A$2,"."&amp;G$2&amp;G$1&amp;"P"&amp;$A13)="N/A",0,RTD("tos.rtd",,$A$2,"."&amp;G$2&amp;G$1&amp;"P"&amp;$A13))</f>
        <v>0</v>
      </c>
      <c r="H13" s="56">
        <f ca="1">IF(RTD("tos.rtd",,$A$2,"."&amp;H$2&amp;H$1&amp;"C"&amp;$A13)="N/A",0,RTD("tos.rtd",,$A$2,"."&amp;H$2&amp;H$1&amp;"C"&amp;$A13))-IF(RTD("tos.rtd",,$A$2,"."&amp;H$2&amp;H$1&amp;"P"&amp;$A13)="N/A",0,RTD("tos.rtd",,$A$2,"."&amp;H$2&amp;H$1&amp;"P"&amp;$A13))</f>
        <v>384</v>
      </c>
      <c r="I13" s="56">
        <f ca="1">IF(RTD("tos.rtd",,$A$2,"."&amp;I$2&amp;I$1&amp;"C"&amp;$A13)="N/A",0,RTD("tos.rtd",,$A$2,"."&amp;I$2&amp;I$1&amp;"C"&amp;$A13))-IF(RTD("tos.rtd",,$A$2,"."&amp;I$2&amp;I$1&amp;"P"&amp;$A13)="N/A",0,RTD("tos.rtd",,$A$2,"."&amp;I$2&amp;I$1&amp;"P"&amp;$A13))</f>
        <v>364</v>
      </c>
      <c r="J13" s="56">
        <f ca="1">IF(RTD("tos.rtd",,$A$2,"."&amp;J$2&amp;J$1&amp;"C"&amp;$A13)="N/A",0,RTD("tos.rtd",,$A$2,"."&amp;J$2&amp;J$1&amp;"C"&amp;$A13))-IF(RTD("tos.rtd",,$A$2,"."&amp;J$2&amp;J$1&amp;"P"&amp;$A13)="N/A",0,RTD("tos.rtd",,$A$2,"."&amp;J$2&amp;J$1&amp;"P"&amp;$A13))</f>
        <v>299</v>
      </c>
      <c r="K13" s="56">
        <f ca="1">IF(RTD("tos.rtd",,$A$2,"."&amp;K$2&amp;K$1&amp;"C"&amp;$A13)="N/A",0,RTD("tos.rtd",,$A$2,"."&amp;K$2&amp;K$1&amp;"C"&amp;$A13))-IF(RTD("tos.rtd",,$A$2,"."&amp;K$2&amp;K$1&amp;"P"&amp;$A13)="N/A",0,RTD("tos.rtd",,$A$2,"."&amp;K$2&amp;K$1&amp;"P"&amp;$A13))</f>
        <v>673</v>
      </c>
      <c r="L13" s="56">
        <f ca="1">IF(RTD("tos.rtd",,$A$2,"."&amp;L$2&amp;L$1&amp;"C"&amp;$A13)="N/A",0,RTD("tos.rtd",,$A$2,"."&amp;L$2&amp;L$1&amp;"C"&amp;$A13))-IF(RTD("tos.rtd",,$A$2,"."&amp;L$2&amp;L$1&amp;"P"&amp;$A13)="N/A",0,RTD("tos.rtd",,$A$2,"."&amp;L$2&amp;L$1&amp;"P"&amp;$A13))</f>
        <v>0</v>
      </c>
      <c r="M13" s="56">
        <f ca="1">IF(RTD("tos.rtd",,$A$2,"."&amp;M$2&amp;M$1&amp;"C"&amp;$A13)="N/A",0,RTD("tos.rtd",,$A$2,"."&amp;M$2&amp;M$1&amp;"C"&amp;$A13))-IF(RTD("tos.rtd",,$A$2,"."&amp;M$2&amp;M$1&amp;"P"&amp;$A13)="N/A",0,RTD("tos.rtd",,$A$2,"."&amp;M$2&amp;M$1&amp;"P"&amp;$A13))</f>
        <v>9</v>
      </c>
      <c r="N13" s="56">
        <f ca="1">IF(RTD("tos.rtd",,$A$2,"."&amp;N$2&amp;N$1&amp;"C"&amp;$A13)="N/A",0,RTD("tos.rtd",,$A$2,"."&amp;N$2&amp;N$1&amp;"C"&amp;$A13))-IF(RTD("tos.rtd",,$A$2,"."&amp;N$2&amp;N$1&amp;"P"&amp;$A13)="N/A",0,RTD("tos.rtd",,$A$2,"."&amp;N$2&amp;N$1&amp;"P"&amp;$A13))</f>
        <v>0</v>
      </c>
      <c r="O13" s="56">
        <f ca="1">IF(RTD("tos.rtd",,$A$2,"."&amp;O$2&amp;O$1&amp;"C"&amp;$A13)="N/A",0,RTD("tos.rtd",,$A$2,"."&amp;O$2&amp;O$1&amp;"C"&amp;$A13))-IF(RTD("tos.rtd",,$A$2,"."&amp;O$2&amp;O$1&amp;"P"&amp;$A13)="N/A",0,RTD("tos.rtd",,$A$2,"."&amp;O$2&amp;O$1&amp;"P"&amp;$A13))</f>
        <v>18</v>
      </c>
      <c r="P13" s="56">
        <f ca="1">IF(RTD("tos.rtd",,$A$2,"."&amp;P$2&amp;P$1&amp;"C"&amp;$A13)="N/A",0,RTD("tos.rtd",,$A$2,"."&amp;P$2&amp;P$1&amp;"C"&amp;$A13))-IF(RTD("tos.rtd",,$A$2,"."&amp;P$2&amp;P$1&amp;"P"&amp;$A13)="N/A",0,RTD("tos.rtd",,$A$2,"."&amp;P$2&amp;P$1&amp;"P"&amp;$A13))</f>
        <v>0</v>
      </c>
      <c r="Q13" s="56">
        <f ca="1">IF(RTD("tos.rtd",,$A$2,"."&amp;Q$2&amp;Q$1&amp;"C"&amp;$A13)="N/A",0,RTD("tos.rtd",,$A$2,"."&amp;Q$2&amp;Q$1&amp;"C"&amp;$A13))-IF(RTD("tos.rtd",,$A$2,"."&amp;Q$2&amp;Q$1&amp;"P"&amp;$A13)="N/A",0,RTD("tos.rtd",,$A$2,"."&amp;Q$2&amp;Q$1&amp;"P"&amp;$A13))</f>
        <v>0</v>
      </c>
      <c r="R13" s="56">
        <f ca="1">IF(RTD("tos.rtd",,$A$2,"."&amp;R$2&amp;R$1&amp;"C"&amp;$A13)="N/A",0,RTD("tos.rtd",,$A$2,"."&amp;R$2&amp;R$1&amp;"C"&amp;$A13))-IF(RTD("tos.rtd",,$A$2,"."&amp;R$2&amp;R$1&amp;"P"&amp;$A13)="N/A",0,RTD("tos.rtd",,$A$2,"."&amp;R$2&amp;R$1&amp;"P"&amp;$A13))</f>
        <v>0</v>
      </c>
      <c r="S13" s="56">
        <f ca="1">IF(RTD("tos.rtd",,$A$2,"."&amp;S$2&amp;S$1&amp;"C"&amp;$A13)="N/A",0,RTD("tos.rtd",,$A$2,"."&amp;S$2&amp;S$1&amp;"C"&amp;$A13))-IF(RTD("tos.rtd",,$A$2,"."&amp;S$2&amp;S$1&amp;"P"&amp;$A13)="N/A",0,RTD("tos.rtd",,$A$2,"."&amp;S$2&amp;S$1&amp;"P"&amp;$A13))</f>
        <v>0</v>
      </c>
      <c r="T13" s="56">
        <f ca="1">IF(RTD("tos.rtd",,$A$2,"."&amp;T$2&amp;T$1&amp;"C"&amp;$A13)="N/A",0,RTD("tos.rtd",,$A$2,"."&amp;T$2&amp;T$1&amp;"C"&amp;$A13))-IF(RTD("tos.rtd",,$A$2,"."&amp;T$2&amp;T$1&amp;"P"&amp;$A13)="N/A",0,RTD("tos.rtd",,$A$2,"."&amp;T$2&amp;T$1&amp;"P"&amp;$A13))</f>
        <v>0</v>
      </c>
      <c r="U13" s="56">
        <f ca="1">IF(RTD("tos.rtd",,$A$2,"."&amp;U$2&amp;U$1&amp;"C"&amp;$A13)="N/A",0,RTD("tos.rtd",,$A$2,"."&amp;U$2&amp;U$1&amp;"C"&amp;$A13))-IF(RTD("tos.rtd",,$A$2,"."&amp;U$2&amp;U$1&amp;"P"&amp;$A13)="N/A",0,RTD("tos.rtd",,$A$2,"."&amp;U$2&amp;U$1&amp;"P"&amp;$A13))</f>
        <v>0</v>
      </c>
      <c r="V13" s="56">
        <f ca="1">IF(RTD("tos.rtd",,$A$2,"."&amp;V$2&amp;V$1&amp;"C"&amp;$A13)="N/A",0,RTD("tos.rtd",,$A$2,"."&amp;V$2&amp;V$1&amp;"C"&amp;$A13))-IF(RTD("tos.rtd",,$A$2,"."&amp;V$2&amp;V$1&amp;"P"&amp;$A13)="N/A",0,RTD("tos.rtd",,$A$2,"."&amp;V$2&amp;V$1&amp;"P"&amp;$A13))</f>
        <v>0</v>
      </c>
      <c r="W13" s="56">
        <f ca="1">IF(RTD("tos.rtd",,$A$2,"."&amp;W$2&amp;W$1&amp;"C"&amp;$A13)="N/A",0,RTD("tos.rtd",,$A$2,"."&amp;W$2&amp;W$1&amp;"C"&amp;$A13))-IF(RTD("tos.rtd",,$A$2,"."&amp;W$2&amp;W$1&amp;"P"&amp;$A13)="N/A",0,RTD("tos.rtd",,$A$2,"."&amp;W$2&amp;W$1&amp;"P"&amp;$A13))</f>
        <v>0</v>
      </c>
      <c r="X13" s="56">
        <f ca="1">IF(RTD("tos.rtd",,$A$2,"."&amp;X$2&amp;X$1&amp;"C"&amp;$A13)="N/A",0,RTD("tos.rtd",,$A$2,"."&amp;X$2&amp;X$1&amp;"C"&amp;$A13))-IF(RTD("tos.rtd",,$A$2,"."&amp;X$2&amp;X$1&amp;"P"&amp;$A13)="N/A",0,RTD("tos.rtd",,$A$2,"."&amp;X$2&amp;X$1&amp;"P"&amp;$A13))</f>
        <v>0</v>
      </c>
      <c r="Y13" s="63">
        <f t="shared" ca="1" si="5"/>
        <v>21809</v>
      </c>
    </row>
    <row r="14" spans="1:25" x14ac:dyDescent="0.25">
      <c r="A14" s="58">
        <f>+Hoja1!A13</f>
        <v>680</v>
      </c>
      <c r="B14" s="56">
        <f ca="1">IF(RTD("tos.rtd",,$A$2,"."&amp;B$2&amp;B$1&amp;"C"&amp;$A14)="N/A",0,RTD("tos.rtd",,$A$2,"."&amp;B$2&amp;B$1&amp;"C"&amp;$A14))-IF(RTD("tos.rtd",,$A$2,"."&amp;B$2&amp;B$1&amp;"P"&amp;$A14)="N/A",0,RTD("tos.rtd",,$A$2,"."&amp;B$2&amp;B$1&amp;"P"&amp;$A14))</f>
        <v>35601</v>
      </c>
      <c r="C14" s="56">
        <f ca="1">IF(RTD("tos.rtd",,$A$2,"."&amp;C$2&amp;C$1&amp;"C"&amp;$A14)="N/A",0,RTD("tos.rtd",,$A$2,"."&amp;C$2&amp;C$1&amp;"C"&amp;$A14))-IF(RTD("tos.rtd",,$A$2,"."&amp;C$2&amp;C$1&amp;"P"&amp;$A14)="N/A",0,RTD("tos.rtd",,$A$2,"."&amp;C$2&amp;C$1&amp;"P"&amp;$A14))</f>
        <v>9526</v>
      </c>
      <c r="D14" s="56">
        <f ca="1">IF(RTD("tos.rtd",,$A$2,"."&amp;D$2&amp;D$1&amp;"C"&amp;$A14)="N/A",0,RTD("tos.rtd",,$A$2,"."&amp;D$2&amp;D$1&amp;"C"&amp;$A14))-IF(RTD("tos.rtd",,$A$2,"."&amp;D$2&amp;D$1&amp;"P"&amp;$A14)="N/A",0,RTD("tos.rtd",,$A$2,"."&amp;D$2&amp;D$1&amp;"P"&amp;$A14))</f>
        <v>5751</v>
      </c>
      <c r="E14" s="56">
        <f ca="1">IF(RTD("tos.rtd",,$A$2,"."&amp;E$2&amp;E$1&amp;"C"&amp;$A14)="N/A",0,RTD("tos.rtd",,$A$2,"."&amp;E$2&amp;E$1&amp;"C"&amp;$A14))-IF(RTD("tos.rtd",,$A$2,"."&amp;E$2&amp;E$1&amp;"P"&amp;$A14)="N/A",0,RTD("tos.rtd",,$A$2,"."&amp;E$2&amp;E$1&amp;"P"&amp;$A14))</f>
        <v>3136</v>
      </c>
      <c r="F14" s="56">
        <f ca="1">IF(RTD("tos.rtd",,$A$2,"."&amp;F$2&amp;F$1&amp;"C"&amp;$A14)="N/A",0,RTD("tos.rtd",,$A$2,"."&amp;F$2&amp;F$1&amp;"C"&amp;$A14))-IF(RTD("tos.rtd",,$A$2,"."&amp;F$2&amp;F$1&amp;"P"&amp;$A14)="N/A",0,RTD("tos.rtd",,$A$2,"."&amp;F$2&amp;F$1&amp;"P"&amp;$A14))</f>
        <v>0</v>
      </c>
      <c r="G14" s="56">
        <f ca="1">IF(RTD("tos.rtd",,$A$2,"."&amp;G$2&amp;G$1&amp;"C"&amp;$A14)="N/A",0,RTD("tos.rtd",,$A$2,"."&amp;G$2&amp;G$1&amp;"C"&amp;$A14))-IF(RTD("tos.rtd",,$A$2,"."&amp;G$2&amp;G$1&amp;"P"&amp;$A14)="N/A",0,RTD("tos.rtd",,$A$2,"."&amp;G$2&amp;G$1&amp;"P"&amp;$A14))</f>
        <v>0</v>
      </c>
      <c r="H14" s="56">
        <f ca="1">IF(RTD("tos.rtd",,$A$2,"."&amp;H$2&amp;H$1&amp;"C"&amp;$A14)="N/A",0,RTD("tos.rtd",,$A$2,"."&amp;H$2&amp;H$1&amp;"C"&amp;$A14))-IF(RTD("tos.rtd",,$A$2,"."&amp;H$2&amp;H$1&amp;"P"&amp;$A14)="N/A",0,RTD("tos.rtd",,$A$2,"."&amp;H$2&amp;H$1&amp;"P"&amp;$A14))</f>
        <v>3672</v>
      </c>
      <c r="I14" s="56">
        <f ca="1">IF(RTD("tos.rtd",,$A$2,"."&amp;I$2&amp;I$1&amp;"C"&amp;$A14)="N/A",0,RTD("tos.rtd",,$A$2,"."&amp;I$2&amp;I$1&amp;"C"&amp;$A14))-IF(RTD("tos.rtd",,$A$2,"."&amp;I$2&amp;I$1&amp;"P"&amp;$A14)="N/A",0,RTD("tos.rtd",,$A$2,"."&amp;I$2&amp;I$1&amp;"P"&amp;$A14))</f>
        <v>1804</v>
      </c>
      <c r="J14" s="56">
        <f ca="1">IF(RTD("tos.rtd",,$A$2,"."&amp;J$2&amp;J$1&amp;"C"&amp;$A14)="N/A",0,RTD("tos.rtd",,$A$2,"."&amp;J$2&amp;J$1&amp;"C"&amp;$A14))-IF(RTD("tos.rtd",,$A$2,"."&amp;J$2&amp;J$1&amp;"P"&amp;$A14)="N/A",0,RTD("tos.rtd",,$A$2,"."&amp;J$2&amp;J$1&amp;"P"&amp;$A14))</f>
        <v>689</v>
      </c>
      <c r="K14" s="56">
        <f ca="1">IF(RTD("tos.rtd",,$A$2,"."&amp;K$2&amp;K$1&amp;"C"&amp;$A14)="N/A",0,RTD("tos.rtd",,$A$2,"."&amp;K$2&amp;K$1&amp;"C"&amp;$A14))-IF(RTD("tos.rtd",,$A$2,"."&amp;K$2&amp;K$1&amp;"P"&amp;$A14)="N/A",0,RTD("tos.rtd",,$A$2,"."&amp;K$2&amp;K$1&amp;"P"&amp;$A14))</f>
        <v>15552</v>
      </c>
      <c r="L14" s="56">
        <f ca="1">IF(RTD("tos.rtd",,$A$2,"."&amp;L$2&amp;L$1&amp;"C"&amp;$A14)="N/A",0,RTD("tos.rtd",,$A$2,"."&amp;L$2&amp;L$1&amp;"C"&amp;$A14))-IF(RTD("tos.rtd",,$A$2,"."&amp;L$2&amp;L$1&amp;"P"&amp;$A14)="N/A",0,RTD("tos.rtd",,$A$2,"."&amp;L$2&amp;L$1&amp;"P"&amp;$A14))</f>
        <v>0</v>
      </c>
      <c r="M14" s="56">
        <f ca="1">IF(RTD("tos.rtd",,$A$2,"."&amp;M$2&amp;M$1&amp;"C"&amp;$A14)="N/A",0,RTD("tos.rtd",,$A$2,"."&amp;M$2&amp;M$1&amp;"C"&amp;$A14))-IF(RTD("tos.rtd",,$A$2,"."&amp;M$2&amp;M$1&amp;"P"&amp;$A14)="N/A",0,RTD("tos.rtd",,$A$2,"."&amp;M$2&amp;M$1&amp;"P"&amp;$A14))</f>
        <v>82</v>
      </c>
      <c r="N14" s="56">
        <f ca="1">IF(RTD("tos.rtd",,$A$2,"."&amp;N$2&amp;N$1&amp;"C"&amp;$A14)="N/A",0,RTD("tos.rtd",,$A$2,"."&amp;N$2&amp;N$1&amp;"C"&amp;$A14))-IF(RTD("tos.rtd",,$A$2,"."&amp;N$2&amp;N$1&amp;"P"&amp;$A14)="N/A",0,RTD("tos.rtd",,$A$2,"."&amp;N$2&amp;N$1&amp;"P"&amp;$A14))</f>
        <v>0</v>
      </c>
      <c r="O14" s="56">
        <f ca="1">IF(RTD("tos.rtd",,$A$2,"."&amp;O$2&amp;O$1&amp;"C"&amp;$A14)="N/A",0,RTD("tos.rtd",,$A$2,"."&amp;O$2&amp;O$1&amp;"C"&amp;$A14))-IF(RTD("tos.rtd",,$A$2,"."&amp;O$2&amp;O$1&amp;"P"&amp;$A14)="N/A",0,RTD("tos.rtd",,$A$2,"."&amp;O$2&amp;O$1&amp;"P"&amp;$A14))</f>
        <v>72</v>
      </c>
      <c r="P14" s="56">
        <f ca="1">IF(RTD("tos.rtd",,$A$2,"."&amp;P$2&amp;P$1&amp;"C"&amp;$A14)="N/A",0,RTD("tos.rtd",,$A$2,"."&amp;P$2&amp;P$1&amp;"C"&amp;$A14))-IF(RTD("tos.rtd",,$A$2,"."&amp;P$2&amp;P$1&amp;"P"&amp;$A14)="N/A",0,RTD("tos.rtd",,$A$2,"."&amp;P$2&amp;P$1&amp;"P"&amp;$A14))</f>
        <v>57</v>
      </c>
      <c r="Q14" s="56">
        <f ca="1">IF(RTD("tos.rtd",,$A$2,"."&amp;Q$2&amp;Q$1&amp;"C"&amp;$A14)="N/A",0,RTD("tos.rtd",,$A$2,"."&amp;Q$2&amp;Q$1&amp;"C"&amp;$A14))-IF(RTD("tos.rtd",,$A$2,"."&amp;Q$2&amp;Q$1&amp;"P"&amp;$A14)="N/A",0,RTD("tos.rtd",,$A$2,"."&amp;Q$2&amp;Q$1&amp;"P"&amp;$A14))</f>
        <v>0</v>
      </c>
      <c r="R14" s="56">
        <f ca="1">IF(RTD("tos.rtd",,$A$2,"."&amp;R$2&amp;R$1&amp;"C"&amp;$A14)="N/A",0,RTD("tos.rtd",,$A$2,"."&amp;R$2&amp;R$1&amp;"C"&amp;$A14))-IF(RTD("tos.rtd",,$A$2,"."&amp;R$2&amp;R$1&amp;"P"&amp;$A14)="N/A",0,RTD("tos.rtd",,$A$2,"."&amp;R$2&amp;R$1&amp;"P"&amp;$A14))</f>
        <v>0</v>
      </c>
      <c r="S14" s="56">
        <f ca="1">IF(RTD("tos.rtd",,$A$2,"."&amp;S$2&amp;S$1&amp;"C"&amp;$A14)="N/A",0,RTD("tos.rtd",,$A$2,"."&amp;S$2&amp;S$1&amp;"C"&amp;$A14))-IF(RTD("tos.rtd",,$A$2,"."&amp;S$2&amp;S$1&amp;"P"&amp;$A14)="N/A",0,RTD("tos.rtd",,$A$2,"."&amp;S$2&amp;S$1&amp;"P"&amp;$A14))</f>
        <v>0</v>
      </c>
      <c r="T14" s="56">
        <f ca="1">IF(RTD("tos.rtd",,$A$2,"."&amp;T$2&amp;T$1&amp;"C"&amp;$A14)="N/A",0,RTD("tos.rtd",,$A$2,"."&amp;T$2&amp;T$1&amp;"C"&amp;$A14))-IF(RTD("tos.rtd",,$A$2,"."&amp;T$2&amp;T$1&amp;"P"&amp;$A14)="N/A",0,RTD("tos.rtd",,$A$2,"."&amp;T$2&amp;T$1&amp;"P"&amp;$A14))</f>
        <v>0</v>
      </c>
      <c r="U14" s="56">
        <f ca="1">IF(RTD("tos.rtd",,$A$2,"."&amp;U$2&amp;U$1&amp;"C"&amp;$A14)="N/A",0,RTD("tos.rtd",,$A$2,"."&amp;U$2&amp;U$1&amp;"C"&amp;$A14))-IF(RTD("tos.rtd",,$A$2,"."&amp;U$2&amp;U$1&amp;"P"&amp;$A14)="N/A",0,RTD("tos.rtd",,$A$2,"."&amp;U$2&amp;U$1&amp;"P"&amp;$A14))</f>
        <v>0</v>
      </c>
      <c r="V14" s="56">
        <f ca="1">IF(RTD("tos.rtd",,$A$2,"."&amp;V$2&amp;V$1&amp;"C"&amp;$A14)="N/A",0,RTD("tos.rtd",,$A$2,"."&amp;V$2&amp;V$1&amp;"C"&amp;$A14))-IF(RTD("tos.rtd",,$A$2,"."&amp;V$2&amp;V$1&amp;"P"&amp;$A14)="N/A",0,RTD("tos.rtd",,$A$2,"."&amp;V$2&amp;V$1&amp;"P"&amp;$A14))</f>
        <v>0</v>
      </c>
      <c r="W14" s="56">
        <f ca="1">IF(RTD("tos.rtd",,$A$2,"."&amp;W$2&amp;W$1&amp;"C"&amp;$A14)="N/A",0,RTD("tos.rtd",,$A$2,"."&amp;W$2&amp;W$1&amp;"C"&amp;$A14))-IF(RTD("tos.rtd",,$A$2,"."&amp;W$2&amp;W$1&amp;"P"&amp;$A14)="N/A",0,RTD("tos.rtd",,$A$2,"."&amp;W$2&amp;W$1&amp;"P"&amp;$A14))</f>
        <v>0</v>
      </c>
      <c r="X14" s="56">
        <f ca="1">IF(RTD("tos.rtd",,$A$2,"."&amp;X$2&amp;X$1&amp;"C"&amp;$A14)="N/A",0,RTD("tos.rtd",,$A$2,"."&amp;X$2&amp;X$1&amp;"C"&amp;$A14))-IF(RTD("tos.rtd",,$A$2,"."&amp;X$2&amp;X$1&amp;"P"&amp;$A14)="N/A",0,RTD("tos.rtd",,$A$2,"."&amp;X$2&amp;X$1&amp;"P"&amp;$A14))</f>
        <v>0</v>
      </c>
      <c r="Y14" s="63">
        <f t="shared" ca="1" si="5"/>
        <v>75942</v>
      </c>
    </row>
    <row r="15" spans="1:25" x14ac:dyDescent="0.25">
      <c r="A15" s="58">
        <f>+Hoja1!A14</f>
        <v>679</v>
      </c>
      <c r="B15" s="56">
        <f ca="1">IF(RTD("tos.rtd",,$A$2,"."&amp;B$2&amp;B$1&amp;"C"&amp;$A15)="N/A",0,RTD("tos.rtd",,$A$2,"."&amp;B$2&amp;B$1&amp;"C"&amp;$A15))-IF(RTD("tos.rtd",,$A$2,"."&amp;B$2&amp;B$1&amp;"P"&amp;$A15)="N/A",0,RTD("tos.rtd",,$A$2,"."&amp;B$2&amp;B$1&amp;"P"&amp;$A15))</f>
        <v>17097</v>
      </c>
      <c r="C15" s="56">
        <f ca="1">IF(RTD("tos.rtd",,$A$2,"."&amp;C$2&amp;C$1&amp;"C"&amp;$A15)="N/A",0,RTD("tos.rtd",,$A$2,"."&amp;C$2&amp;C$1&amp;"C"&amp;$A15))-IF(RTD("tos.rtd",,$A$2,"."&amp;C$2&amp;C$1&amp;"P"&amp;$A15)="N/A",0,RTD("tos.rtd",,$A$2,"."&amp;C$2&amp;C$1&amp;"P"&amp;$A15))</f>
        <v>2818</v>
      </c>
      <c r="D15" s="56">
        <f ca="1">IF(RTD("tos.rtd",,$A$2,"."&amp;D$2&amp;D$1&amp;"C"&amp;$A15)="N/A",0,RTD("tos.rtd",,$A$2,"."&amp;D$2&amp;D$1&amp;"C"&amp;$A15))-IF(RTD("tos.rtd",,$A$2,"."&amp;D$2&amp;D$1&amp;"P"&amp;$A15)="N/A",0,RTD("tos.rtd",,$A$2,"."&amp;D$2&amp;D$1&amp;"P"&amp;$A15))</f>
        <v>1705</v>
      </c>
      <c r="E15" s="56">
        <f ca="1">IF(RTD("tos.rtd",,$A$2,"."&amp;E$2&amp;E$1&amp;"C"&amp;$A15)="N/A",0,RTD("tos.rtd",,$A$2,"."&amp;E$2&amp;E$1&amp;"C"&amp;$A15))-IF(RTD("tos.rtd",,$A$2,"."&amp;E$2&amp;E$1&amp;"P"&amp;$A15)="N/A",0,RTD("tos.rtd",,$A$2,"."&amp;E$2&amp;E$1&amp;"P"&amp;$A15))</f>
        <v>305</v>
      </c>
      <c r="F15" s="56">
        <f ca="1">IF(RTD("tos.rtd",,$A$2,"."&amp;F$2&amp;F$1&amp;"C"&amp;$A15)="N/A",0,RTD("tos.rtd",,$A$2,"."&amp;F$2&amp;F$1&amp;"C"&amp;$A15))-IF(RTD("tos.rtd",,$A$2,"."&amp;F$2&amp;F$1&amp;"P"&amp;$A15)="N/A",0,RTD("tos.rtd",,$A$2,"."&amp;F$2&amp;F$1&amp;"P"&amp;$A15))</f>
        <v>0</v>
      </c>
      <c r="G15" s="56">
        <f ca="1">IF(RTD("tos.rtd",,$A$2,"."&amp;G$2&amp;G$1&amp;"C"&amp;$A15)="N/A",0,RTD("tos.rtd",,$A$2,"."&amp;G$2&amp;G$1&amp;"C"&amp;$A15))-IF(RTD("tos.rtd",,$A$2,"."&amp;G$2&amp;G$1&amp;"P"&amp;$A15)="N/A",0,RTD("tos.rtd",,$A$2,"."&amp;G$2&amp;G$1&amp;"P"&amp;$A15))</f>
        <v>0</v>
      </c>
      <c r="H15" s="56">
        <f ca="1">IF(RTD("tos.rtd",,$A$2,"."&amp;H$2&amp;H$1&amp;"C"&amp;$A15)="N/A",0,RTD("tos.rtd",,$A$2,"."&amp;H$2&amp;H$1&amp;"C"&amp;$A15))-IF(RTD("tos.rtd",,$A$2,"."&amp;H$2&amp;H$1&amp;"P"&amp;$A15)="N/A",0,RTD("tos.rtd",,$A$2,"."&amp;H$2&amp;H$1&amp;"P"&amp;$A15))</f>
        <v>378</v>
      </c>
      <c r="I15" s="56">
        <f ca="1">IF(RTD("tos.rtd",,$A$2,"."&amp;I$2&amp;I$1&amp;"C"&amp;$A15)="N/A",0,RTD("tos.rtd",,$A$2,"."&amp;I$2&amp;I$1&amp;"C"&amp;$A15))-IF(RTD("tos.rtd",,$A$2,"."&amp;I$2&amp;I$1&amp;"P"&amp;$A15)="N/A",0,RTD("tos.rtd",,$A$2,"."&amp;I$2&amp;I$1&amp;"P"&amp;$A15))</f>
        <v>156</v>
      </c>
      <c r="J15" s="56">
        <f ca="1">IF(RTD("tos.rtd",,$A$2,"."&amp;J$2&amp;J$1&amp;"C"&amp;$A15)="N/A",0,RTD("tos.rtd",,$A$2,"."&amp;J$2&amp;J$1&amp;"C"&amp;$A15))-IF(RTD("tos.rtd",,$A$2,"."&amp;J$2&amp;J$1&amp;"P"&amp;$A15)="N/A",0,RTD("tos.rtd",,$A$2,"."&amp;J$2&amp;J$1&amp;"P"&amp;$A15))</f>
        <v>4</v>
      </c>
      <c r="K15" s="56">
        <f ca="1">IF(RTD("tos.rtd",,$A$2,"."&amp;K$2&amp;K$1&amp;"C"&amp;$A15)="N/A",0,RTD("tos.rtd",,$A$2,"."&amp;K$2&amp;K$1&amp;"C"&amp;$A15))-IF(RTD("tos.rtd",,$A$2,"."&amp;K$2&amp;K$1&amp;"P"&amp;$A15)="N/A",0,RTD("tos.rtd",,$A$2,"."&amp;K$2&amp;K$1&amp;"P"&amp;$A15))</f>
        <v>502</v>
      </c>
      <c r="L15" s="56">
        <f ca="1">IF(RTD("tos.rtd",,$A$2,"."&amp;L$2&amp;L$1&amp;"C"&amp;$A15)="N/A",0,RTD("tos.rtd",,$A$2,"."&amp;L$2&amp;L$1&amp;"C"&amp;$A15))-IF(RTD("tos.rtd",,$A$2,"."&amp;L$2&amp;L$1&amp;"P"&amp;$A15)="N/A",0,RTD("tos.rtd",,$A$2,"."&amp;L$2&amp;L$1&amp;"P"&amp;$A15))</f>
        <v>0</v>
      </c>
      <c r="M15" s="56">
        <f ca="1">IF(RTD("tos.rtd",,$A$2,"."&amp;M$2&amp;M$1&amp;"C"&amp;$A15)="N/A",0,RTD("tos.rtd",,$A$2,"."&amp;M$2&amp;M$1&amp;"C"&amp;$A15))-IF(RTD("tos.rtd",,$A$2,"."&amp;M$2&amp;M$1&amp;"P"&amp;$A15)="N/A",0,RTD("tos.rtd",,$A$2,"."&amp;M$2&amp;M$1&amp;"P"&amp;$A15))</f>
        <v>37</v>
      </c>
      <c r="N15" s="56">
        <f ca="1">IF(RTD("tos.rtd",,$A$2,"."&amp;N$2&amp;N$1&amp;"C"&amp;$A15)="N/A",0,RTD("tos.rtd",,$A$2,"."&amp;N$2&amp;N$1&amp;"C"&amp;$A15))-IF(RTD("tos.rtd",,$A$2,"."&amp;N$2&amp;N$1&amp;"P"&amp;$A15)="N/A",0,RTD("tos.rtd",,$A$2,"."&amp;N$2&amp;N$1&amp;"P"&amp;$A15))</f>
        <v>0</v>
      </c>
      <c r="O15" s="56">
        <f ca="1">IF(RTD("tos.rtd",,$A$2,"."&amp;O$2&amp;O$1&amp;"C"&amp;$A15)="N/A",0,RTD("tos.rtd",,$A$2,"."&amp;O$2&amp;O$1&amp;"C"&amp;$A15))-IF(RTD("tos.rtd",,$A$2,"."&amp;O$2&amp;O$1&amp;"P"&amp;$A15)="N/A",0,RTD("tos.rtd",,$A$2,"."&amp;O$2&amp;O$1&amp;"P"&amp;$A15))</f>
        <v>193</v>
      </c>
      <c r="P15" s="56">
        <f ca="1">IF(RTD("tos.rtd",,$A$2,"."&amp;P$2&amp;P$1&amp;"C"&amp;$A15)="N/A",0,RTD("tos.rtd",,$A$2,"."&amp;P$2&amp;P$1&amp;"C"&amp;$A15))-IF(RTD("tos.rtd",,$A$2,"."&amp;P$2&amp;P$1&amp;"P"&amp;$A15)="N/A",0,RTD("tos.rtd",,$A$2,"."&amp;P$2&amp;P$1&amp;"P"&amp;$A15))</f>
        <v>0</v>
      </c>
      <c r="Q15" s="56">
        <f ca="1">IF(RTD("tos.rtd",,$A$2,"."&amp;Q$2&amp;Q$1&amp;"C"&amp;$A15)="N/A",0,RTD("tos.rtd",,$A$2,"."&amp;Q$2&amp;Q$1&amp;"C"&amp;$A15))-IF(RTD("tos.rtd",,$A$2,"."&amp;Q$2&amp;Q$1&amp;"P"&amp;$A15)="N/A",0,RTD("tos.rtd",,$A$2,"."&amp;Q$2&amp;Q$1&amp;"P"&amp;$A15))</f>
        <v>0</v>
      </c>
      <c r="R15" s="56">
        <f ca="1">IF(RTD("tos.rtd",,$A$2,"."&amp;R$2&amp;R$1&amp;"C"&amp;$A15)="N/A",0,RTD("tos.rtd",,$A$2,"."&amp;R$2&amp;R$1&amp;"C"&amp;$A15))-IF(RTD("tos.rtd",,$A$2,"."&amp;R$2&amp;R$1&amp;"P"&amp;$A15)="N/A",0,RTD("tos.rtd",,$A$2,"."&amp;R$2&amp;R$1&amp;"P"&amp;$A15))</f>
        <v>0</v>
      </c>
      <c r="S15" s="56">
        <f ca="1">IF(RTD("tos.rtd",,$A$2,"."&amp;S$2&amp;S$1&amp;"C"&amp;$A15)="N/A",0,RTD("tos.rtd",,$A$2,"."&amp;S$2&amp;S$1&amp;"C"&amp;$A15))-IF(RTD("tos.rtd",,$A$2,"."&amp;S$2&amp;S$1&amp;"P"&amp;$A15)="N/A",0,RTD("tos.rtd",,$A$2,"."&amp;S$2&amp;S$1&amp;"P"&amp;$A15))</f>
        <v>0</v>
      </c>
      <c r="T15" s="56">
        <f ca="1">IF(RTD("tos.rtd",,$A$2,"."&amp;T$2&amp;T$1&amp;"C"&amp;$A15)="N/A",0,RTD("tos.rtd",,$A$2,"."&amp;T$2&amp;T$1&amp;"C"&amp;$A15))-IF(RTD("tos.rtd",,$A$2,"."&amp;T$2&amp;T$1&amp;"P"&amp;$A15)="N/A",0,RTD("tos.rtd",,$A$2,"."&amp;T$2&amp;T$1&amp;"P"&amp;$A15))</f>
        <v>0</v>
      </c>
      <c r="U15" s="56">
        <f ca="1">IF(RTD("tos.rtd",,$A$2,"."&amp;U$2&amp;U$1&amp;"C"&amp;$A15)="N/A",0,RTD("tos.rtd",,$A$2,"."&amp;U$2&amp;U$1&amp;"C"&amp;$A15))-IF(RTD("tos.rtd",,$A$2,"."&amp;U$2&amp;U$1&amp;"P"&amp;$A15)="N/A",0,RTD("tos.rtd",,$A$2,"."&amp;U$2&amp;U$1&amp;"P"&amp;$A15))</f>
        <v>0</v>
      </c>
      <c r="V15" s="56">
        <f ca="1">IF(RTD("tos.rtd",,$A$2,"."&amp;V$2&amp;V$1&amp;"C"&amp;$A15)="N/A",0,RTD("tos.rtd",,$A$2,"."&amp;V$2&amp;V$1&amp;"C"&amp;$A15))-IF(RTD("tos.rtd",,$A$2,"."&amp;V$2&amp;V$1&amp;"P"&amp;$A15)="N/A",0,RTD("tos.rtd",,$A$2,"."&amp;V$2&amp;V$1&amp;"P"&amp;$A15))</f>
        <v>0</v>
      </c>
      <c r="W15" s="56">
        <f ca="1">IF(RTD("tos.rtd",,$A$2,"."&amp;W$2&amp;W$1&amp;"C"&amp;$A15)="N/A",0,RTD("tos.rtd",,$A$2,"."&amp;W$2&amp;W$1&amp;"C"&amp;$A15))-IF(RTD("tos.rtd",,$A$2,"."&amp;W$2&amp;W$1&amp;"P"&amp;$A15)="N/A",0,RTD("tos.rtd",,$A$2,"."&amp;W$2&amp;W$1&amp;"P"&amp;$A15))</f>
        <v>0</v>
      </c>
      <c r="X15" s="56">
        <f ca="1">IF(RTD("tos.rtd",,$A$2,"."&amp;X$2&amp;X$1&amp;"C"&amp;$A15)="N/A",0,RTD("tos.rtd",,$A$2,"."&amp;X$2&amp;X$1&amp;"C"&amp;$A15))-IF(RTD("tos.rtd",,$A$2,"."&amp;X$2&amp;X$1&amp;"P"&amp;$A15)="N/A",0,RTD("tos.rtd",,$A$2,"."&amp;X$2&amp;X$1&amp;"P"&amp;$A15))</f>
        <v>0</v>
      </c>
      <c r="Y15" s="63">
        <f t="shared" ca="1" si="5"/>
        <v>23195</v>
      </c>
    </row>
    <row r="16" spans="1:25" x14ac:dyDescent="0.25">
      <c r="A16" s="58">
        <f>+Hoja1!A15</f>
        <v>678</v>
      </c>
      <c r="B16" s="56">
        <f ca="1">IF(RTD("tos.rtd",,$A$2,"."&amp;B$2&amp;B$1&amp;"C"&amp;$A16)="N/A",0,RTD("tos.rtd",,$A$2,"."&amp;B$2&amp;B$1&amp;"C"&amp;$A16))-IF(RTD("tos.rtd",,$A$2,"."&amp;B$2&amp;B$1&amp;"P"&amp;$A16)="N/A",0,RTD("tos.rtd",,$A$2,"."&amp;B$2&amp;B$1&amp;"P"&amp;$A16))</f>
        <v>15280</v>
      </c>
      <c r="C16" s="56">
        <f ca="1">IF(RTD("tos.rtd",,$A$2,"."&amp;C$2&amp;C$1&amp;"C"&amp;$A16)="N/A",0,RTD("tos.rtd",,$A$2,"."&amp;C$2&amp;C$1&amp;"C"&amp;$A16))-IF(RTD("tos.rtd",,$A$2,"."&amp;C$2&amp;C$1&amp;"P"&amp;$A16)="N/A",0,RTD("tos.rtd",,$A$2,"."&amp;C$2&amp;C$1&amp;"P"&amp;$A16))</f>
        <v>3576</v>
      </c>
      <c r="D16" s="56">
        <f ca="1">IF(RTD("tos.rtd",,$A$2,"."&amp;D$2&amp;D$1&amp;"C"&amp;$A16)="N/A",0,RTD("tos.rtd",,$A$2,"."&amp;D$2&amp;D$1&amp;"C"&amp;$A16))-IF(RTD("tos.rtd",,$A$2,"."&amp;D$2&amp;D$1&amp;"P"&amp;$A16)="N/A",0,RTD("tos.rtd",,$A$2,"."&amp;D$2&amp;D$1&amp;"P"&amp;$A16))</f>
        <v>2838</v>
      </c>
      <c r="E16" s="56">
        <f ca="1">IF(RTD("tos.rtd",,$A$2,"."&amp;E$2&amp;E$1&amp;"C"&amp;$A16)="N/A",0,RTD("tos.rtd",,$A$2,"."&amp;E$2&amp;E$1&amp;"C"&amp;$A16))-IF(RTD("tos.rtd",,$A$2,"."&amp;E$2&amp;E$1&amp;"P"&amp;$A16)="N/A",0,RTD("tos.rtd",,$A$2,"."&amp;E$2&amp;E$1&amp;"P"&amp;$A16))</f>
        <v>839</v>
      </c>
      <c r="F16" s="56">
        <f ca="1">IF(RTD("tos.rtd",,$A$2,"."&amp;F$2&amp;F$1&amp;"C"&amp;$A16)="N/A",0,RTD("tos.rtd",,$A$2,"."&amp;F$2&amp;F$1&amp;"C"&amp;$A16))-IF(RTD("tos.rtd",,$A$2,"."&amp;F$2&amp;F$1&amp;"P"&amp;$A16)="N/A",0,RTD("tos.rtd",,$A$2,"."&amp;F$2&amp;F$1&amp;"P"&amp;$A16))</f>
        <v>0</v>
      </c>
      <c r="G16" s="56">
        <f ca="1">IF(RTD("tos.rtd",,$A$2,"."&amp;G$2&amp;G$1&amp;"C"&amp;$A16)="N/A",0,RTD("tos.rtd",,$A$2,"."&amp;G$2&amp;G$1&amp;"C"&amp;$A16))-IF(RTD("tos.rtd",,$A$2,"."&amp;G$2&amp;G$1&amp;"P"&amp;$A16)="N/A",0,RTD("tos.rtd",,$A$2,"."&amp;G$2&amp;G$1&amp;"P"&amp;$A16))</f>
        <v>0</v>
      </c>
      <c r="H16" s="56">
        <f ca="1">IF(RTD("tos.rtd",,$A$2,"."&amp;H$2&amp;H$1&amp;"C"&amp;$A16)="N/A",0,RTD("tos.rtd",,$A$2,"."&amp;H$2&amp;H$1&amp;"C"&amp;$A16))-IF(RTD("tos.rtd",,$A$2,"."&amp;H$2&amp;H$1&amp;"P"&amp;$A16)="N/A",0,RTD("tos.rtd",,$A$2,"."&amp;H$2&amp;H$1&amp;"P"&amp;$A16))</f>
        <v>519</v>
      </c>
      <c r="I16" s="56">
        <f ca="1">IF(RTD("tos.rtd",,$A$2,"."&amp;I$2&amp;I$1&amp;"C"&amp;$A16)="N/A",0,RTD("tos.rtd",,$A$2,"."&amp;I$2&amp;I$1&amp;"C"&amp;$A16))-IF(RTD("tos.rtd",,$A$2,"."&amp;I$2&amp;I$1&amp;"P"&amp;$A16)="N/A",0,RTD("tos.rtd",,$A$2,"."&amp;I$2&amp;I$1&amp;"P"&amp;$A16))</f>
        <v>164</v>
      </c>
      <c r="J16" s="56">
        <f ca="1">IF(RTD("tos.rtd",,$A$2,"."&amp;J$2&amp;J$1&amp;"C"&amp;$A16)="N/A",0,RTD("tos.rtd",,$A$2,"."&amp;J$2&amp;J$1&amp;"C"&amp;$A16))-IF(RTD("tos.rtd",,$A$2,"."&amp;J$2&amp;J$1&amp;"P"&amp;$A16)="N/A",0,RTD("tos.rtd",,$A$2,"."&amp;J$2&amp;J$1&amp;"P"&amp;$A16))</f>
        <v>140</v>
      </c>
      <c r="K16" s="56">
        <f ca="1">IF(RTD("tos.rtd",,$A$2,"."&amp;K$2&amp;K$1&amp;"C"&amp;$A16)="N/A",0,RTD("tos.rtd",,$A$2,"."&amp;K$2&amp;K$1&amp;"C"&amp;$A16))-IF(RTD("tos.rtd",,$A$2,"."&amp;K$2&amp;K$1&amp;"P"&amp;$A16)="N/A",0,RTD("tos.rtd",,$A$2,"."&amp;K$2&amp;K$1&amp;"P"&amp;$A16))</f>
        <v>272</v>
      </c>
      <c r="L16" s="56">
        <f ca="1">IF(RTD("tos.rtd",,$A$2,"."&amp;L$2&amp;L$1&amp;"C"&amp;$A16)="N/A",0,RTD("tos.rtd",,$A$2,"."&amp;L$2&amp;L$1&amp;"C"&amp;$A16))-IF(RTD("tos.rtd",,$A$2,"."&amp;L$2&amp;L$1&amp;"P"&amp;$A16)="N/A",0,RTD("tos.rtd",,$A$2,"."&amp;L$2&amp;L$1&amp;"P"&amp;$A16))</f>
        <v>0</v>
      </c>
      <c r="M16" s="56">
        <f ca="1">IF(RTD("tos.rtd",,$A$2,"."&amp;M$2&amp;M$1&amp;"C"&amp;$A16)="N/A",0,RTD("tos.rtd",,$A$2,"."&amp;M$2&amp;M$1&amp;"C"&amp;$A16))-IF(RTD("tos.rtd",,$A$2,"."&amp;M$2&amp;M$1&amp;"P"&amp;$A16)="N/A",0,RTD("tos.rtd",,$A$2,"."&amp;M$2&amp;M$1&amp;"P"&amp;$A16))</f>
        <v>41</v>
      </c>
      <c r="N16" s="56">
        <f ca="1">IF(RTD("tos.rtd",,$A$2,"."&amp;N$2&amp;N$1&amp;"C"&amp;$A16)="N/A",0,RTD("tos.rtd",,$A$2,"."&amp;N$2&amp;N$1&amp;"C"&amp;$A16))-IF(RTD("tos.rtd",,$A$2,"."&amp;N$2&amp;N$1&amp;"P"&amp;$A16)="N/A",0,RTD("tos.rtd",,$A$2,"."&amp;N$2&amp;N$1&amp;"P"&amp;$A16))</f>
        <v>0</v>
      </c>
      <c r="O16" s="56">
        <f ca="1">IF(RTD("tos.rtd",,$A$2,"."&amp;O$2&amp;O$1&amp;"C"&amp;$A16)="N/A",0,RTD("tos.rtd",,$A$2,"."&amp;O$2&amp;O$1&amp;"C"&amp;$A16))-IF(RTD("tos.rtd",,$A$2,"."&amp;O$2&amp;O$1&amp;"P"&amp;$A16)="N/A",0,RTD("tos.rtd",,$A$2,"."&amp;O$2&amp;O$1&amp;"P"&amp;$A16))</f>
        <v>-28</v>
      </c>
      <c r="P16" s="56">
        <f ca="1">IF(RTD("tos.rtd",,$A$2,"."&amp;P$2&amp;P$1&amp;"C"&amp;$A16)="N/A",0,RTD("tos.rtd",,$A$2,"."&amp;P$2&amp;P$1&amp;"C"&amp;$A16))-IF(RTD("tos.rtd",,$A$2,"."&amp;P$2&amp;P$1&amp;"P"&amp;$A16)="N/A",0,RTD("tos.rtd",,$A$2,"."&amp;P$2&amp;P$1&amp;"P"&amp;$A16))</f>
        <v>0</v>
      </c>
      <c r="Q16" s="56">
        <f ca="1">IF(RTD("tos.rtd",,$A$2,"."&amp;Q$2&amp;Q$1&amp;"C"&amp;$A16)="N/A",0,RTD("tos.rtd",,$A$2,"."&amp;Q$2&amp;Q$1&amp;"C"&amp;$A16))-IF(RTD("tos.rtd",,$A$2,"."&amp;Q$2&amp;Q$1&amp;"P"&amp;$A16)="N/A",0,RTD("tos.rtd",,$A$2,"."&amp;Q$2&amp;Q$1&amp;"P"&amp;$A16))</f>
        <v>0</v>
      </c>
      <c r="R16" s="56">
        <f ca="1">IF(RTD("tos.rtd",,$A$2,"."&amp;R$2&amp;R$1&amp;"C"&amp;$A16)="N/A",0,RTD("tos.rtd",,$A$2,"."&amp;R$2&amp;R$1&amp;"C"&amp;$A16))-IF(RTD("tos.rtd",,$A$2,"."&amp;R$2&amp;R$1&amp;"P"&amp;$A16)="N/A",0,RTD("tos.rtd",,$A$2,"."&amp;R$2&amp;R$1&amp;"P"&amp;$A16))</f>
        <v>0</v>
      </c>
      <c r="S16" s="56">
        <f ca="1">IF(RTD("tos.rtd",,$A$2,"."&amp;S$2&amp;S$1&amp;"C"&amp;$A16)="N/A",0,RTD("tos.rtd",,$A$2,"."&amp;S$2&amp;S$1&amp;"C"&amp;$A16))-IF(RTD("tos.rtd",,$A$2,"."&amp;S$2&amp;S$1&amp;"P"&amp;$A16)="N/A",0,RTD("tos.rtd",,$A$2,"."&amp;S$2&amp;S$1&amp;"P"&amp;$A16))</f>
        <v>0</v>
      </c>
      <c r="T16" s="56">
        <f ca="1">IF(RTD("tos.rtd",,$A$2,"."&amp;T$2&amp;T$1&amp;"C"&amp;$A16)="N/A",0,RTD("tos.rtd",,$A$2,"."&amp;T$2&amp;T$1&amp;"C"&amp;$A16))-IF(RTD("tos.rtd",,$A$2,"."&amp;T$2&amp;T$1&amp;"P"&amp;$A16)="N/A",0,RTD("tos.rtd",,$A$2,"."&amp;T$2&amp;T$1&amp;"P"&amp;$A16))</f>
        <v>0</v>
      </c>
      <c r="U16" s="56">
        <f ca="1">IF(RTD("tos.rtd",,$A$2,"."&amp;U$2&amp;U$1&amp;"C"&amp;$A16)="N/A",0,RTD("tos.rtd",,$A$2,"."&amp;U$2&amp;U$1&amp;"C"&amp;$A16))-IF(RTD("tos.rtd",,$A$2,"."&amp;U$2&amp;U$1&amp;"P"&amp;$A16)="N/A",0,RTD("tos.rtd",,$A$2,"."&amp;U$2&amp;U$1&amp;"P"&amp;$A16))</f>
        <v>0</v>
      </c>
      <c r="V16" s="56">
        <f ca="1">IF(RTD("tos.rtd",,$A$2,"."&amp;V$2&amp;V$1&amp;"C"&amp;$A16)="N/A",0,RTD("tos.rtd",,$A$2,"."&amp;V$2&amp;V$1&amp;"C"&amp;$A16))-IF(RTD("tos.rtd",,$A$2,"."&amp;V$2&amp;V$1&amp;"P"&amp;$A16)="N/A",0,RTD("tos.rtd",,$A$2,"."&amp;V$2&amp;V$1&amp;"P"&amp;$A16))</f>
        <v>0</v>
      </c>
      <c r="W16" s="56">
        <f ca="1">IF(RTD("tos.rtd",,$A$2,"."&amp;W$2&amp;W$1&amp;"C"&amp;$A16)="N/A",0,RTD("tos.rtd",,$A$2,"."&amp;W$2&amp;W$1&amp;"C"&amp;$A16))-IF(RTD("tos.rtd",,$A$2,"."&amp;W$2&amp;W$1&amp;"P"&amp;$A16)="N/A",0,RTD("tos.rtd",,$A$2,"."&amp;W$2&amp;W$1&amp;"P"&amp;$A16))</f>
        <v>0</v>
      </c>
      <c r="X16" s="56">
        <f ca="1">IF(RTD("tos.rtd",,$A$2,"."&amp;X$2&amp;X$1&amp;"C"&amp;$A16)="N/A",0,RTD("tos.rtd",,$A$2,"."&amp;X$2&amp;X$1&amp;"C"&amp;$A16))-IF(RTD("tos.rtd",,$A$2,"."&amp;X$2&amp;X$1&amp;"P"&amp;$A16)="N/A",0,RTD("tos.rtd",,$A$2,"."&amp;X$2&amp;X$1&amp;"P"&amp;$A16))</f>
        <v>0</v>
      </c>
      <c r="Y16" s="63">
        <f t="shared" ca="1" si="5"/>
        <v>23641</v>
      </c>
    </row>
    <row r="17" spans="1:25" x14ac:dyDescent="0.25">
      <c r="A17" s="58">
        <f>+Hoja1!A16</f>
        <v>677</v>
      </c>
      <c r="B17" s="56">
        <f ca="1">IF(RTD("tos.rtd",,$A$2,"."&amp;B$2&amp;B$1&amp;"C"&amp;$A17)="N/A",0,RTD("tos.rtd",,$A$2,"."&amp;B$2&amp;B$1&amp;"C"&amp;$A17))-IF(RTD("tos.rtd",,$A$2,"."&amp;B$2&amp;B$1&amp;"P"&amp;$A17)="N/A",0,RTD("tos.rtd",,$A$2,"."&amp;B$2&amp;B$1&amp;"P"&amp;$A17))</f>
        <v>21645</v>
      </c>
      <c r="C17" s="56">
        <f ca="1">IF(RTD("tos.rtd",,$A$2,"."&amp;C$2&amp;C$1&amp;"C"&amp;$A17)="N/A",0,RTD("tos.rtd",,$A$2,"."&amp;C$2&amp;C$1&amp;"C"&amp;$A17))-IF(RTD("tos.rtd",,$A$2,"."&amp;C$2&amp;C$1&amp;"P"&amp;$A17)="N/A",0,RTD("tos.rtd",,$A$2,"."&amp;C$2&amp;C$1&amp;"P"&amp;$A17))</f>
        <v>5719</v>
      </c>
      <c r="D17" s="56">
        <f ca="1">IF(RTD("tos.rtd",,$A$2,"."&amp;D$2&amp;D$1&amp;"C"&amp;$A17)="N/A",0,RTD("tos.rtd",,$A$2,"."&amp;D$2&amp;D$1&amp;"C"&amp;$A17))-IF(RTD("tos.rtd",,$A$2,"."&amp;D$2&amp;D$1&amp;"P"&amp;$A17)="N/A",0,RTD("tos.rtd",,$A$2,"."&amp;D$2&amp;D$1&amp;"P"&amp;$A17))</f>
        <v>7359</v>
      </c>
      <c r="E17" s="56">
        <f ca="1">IF(RTD("tos.rtd",,$A$2,"."&amp;E$2&amp;E$1&amp;"C"&amp;$A17)="N/A",0,RTD("tos.rtd",,$A$2,"."&amp;E$2&amp;E$1&amp;"C"&amp;$A17))-IF(RTD("tos.rtd",,$A$2,"."&amp;E$2&amp;E$1&amp;"P"&amp;$A17)="N/A",0,RTD("tos.rtd",,$A$2,"."&amp;E$2&amp;E$1&amp;"P"&amp;$A17))</f>
        <v>3380</v>
      </c>
      <c r="F17" s="56">
        <f ca="1">IF(RTD("tos.rtd",,$A$2,"."&amp;F$2&amp;F$1&amp;"C"&amp;$A17)="N/A",0,RTD("tos.rtd",,$A$2,"."&amp;F$2&amp;F$1&amp;"C"&amp;$A17))-IF(RTD("tos.rtd",,$A$2,"."&amp;F$2&amp;F$1&amp;"P"&amp;$A17)="N/A",0,RTD("tos.rtd",,$A$2,"."&amp;F$2&amp;F$1&amp;"P"&amp;$A17))</f>
        <v>0</v>
      </c>
      <c r="G17" s="56">
        <f ca="1">IF(RTD("tos.rtd",,$A$2,"."&amp;G$2&amp;G$1&amp;"C"&amp;$A17)="N/A",0,RTD("tos.rtd",,$A$2,"."&amp;G$2&amp;G$1&amp;"C"&amp;$A17))-IF(RTD("tos.rtd",,$A$2,"."&amp;G$2&amp;G$1&amp;"P"&amp;$A17)="N/A",0,RTD("tos.rtd",,$A$2,"."&amp;G$2&amp;G$1&amp;"P"&amp;$A17))</f>
        <v>0</v>
      </c>
      <c r="H17" s="56">
        <f ca="1">IF(RTD("tos.rtd",,$A$2,"."&amp;H$2&amp;H$1&amp;"C"&amp;$A17)="N/A",0,RTD("tos.rtd",,$A$2,"."&amp;H$2&amp;H$1&amp;"C"&amp;$A17))-IF(RTD("tos.rtd",,$A$2,"."&amp;H$2&amp;H$1&amp;"P"&amp;$A17)="N/A",0,RTD("tos.rtd",,$A$2,"."&amp;H$2&amp;H$1&amp;"P"&amp;$A17))</f>
        <v>729</v>
      </c>
      <c r="I17" s="56">
        <f ca="1">IF(RTD("tos.rtd",,$A$2,"."&amp;I$2&amp;I$1&amp;"C"&amp;$A17)="N/A",0,RTD("tos.rtd",,$A$2,"."&amp;I$2&amp;I$1&amp;"C"&amp;$A17))-IF(RTD("tos.rtd",,$A$2,"."&amp;I$2&amp;I$1&amp;"P"&amp;$A17)="N/A",0,RTD("tos.rtd",,$A$2,"."&amp;I$2&amp;I$1&amp;"P"&amp;$A17))</f>
        <v>-737</v>
      </c>
      <c r="J17" s="56">
        <f ca="1">IF(RTD("tos.rtd",,$A$2,"."&amp;J$2&amp;J$1&amp;"C"&amp;$A17)="N/A",0,RTD("tos.rtd",,$A$2,"."&amp;J$2&amp;J$1&amp;"C"&amp;$A17))-IF(RTD("tos.rtd",,$A$2,"."&amp;J$2&amp;J$1&amp;"P"&amp;$A17)="N/A",0,RTD("tos.rtd",,$A$2,"."&amp;J$2&amp;J$1&amp;"P"&amp;$A17))</f>
        <v>78</v>
      </c>
      <c r="K17" s="56">
        <f ca="1">IF(RTD("tos.rtd",,$A$2,"."&amp;K$2&amp;K$1&amp;"C"&amp;$A17)="N/A",0,RTD("tos.rtd",,$A$2,"."&amp;K$2&amp;K$1&amp;"C"&amp;$A17))-IF(RTD("tos.rtd",,$A$2,"."&amp;K$2&amp;K$1&amp;"P"&amp;$A17)="N/A",0,RTD("tos.rtd",,$A$2,"."&amp;K$2&amp;K$1&amp;"P"&amp;$A17))</f>
        <v>526</v>
      </c>
      <c r="L17" s="56">
        <f ca="1">IF(RTD("tos.rtd",,$A$2,"."&amp;L$2&amp;L$1&amp;"C"&amp;$A17)="N/A",0,RTD("tos.rtd",,$A$2,"."&amp;L$2&amp;L$1&amp;"C"&amp;$A17))-IF(RTD("tos.rtd",,$A$2,"."&amp;L$2&amp;L$1&amp;"P"&amp;$A17)="N/A",0,RTD("tos.rtd",,$A$2,"."&amp;L$2&amp;L$1&amp;"P"&amp;$A17))</f>
        <v>0</v>
      </c>
      <c r="M17" s="56">
        <f ca="1">IF(RTD("tos.rtd",,$A$2,"."&amp;M$2&amp;M$1&amp;"C"&amp;$A17)="N/A",0,RTD("tos.rtd",,$A$2,"."&amp;M$2&amp;M$1&amp;"C"&amp;$A17))-IF(RTD("tos.rtd",,$A$2,"."&amp;M$2&amp;M$1&amp;"P"&amp;$A17)="N/A",0,RTD("tos.rtd",,$A$2,"."&amp;M$2&amp;M$1&amp;"P"&amp;$A17))</f>
        <v>-54</v>
      </c>
      <c r="N17" s="56">
        <f ca="1">IF(RTD("tos.rtd",,$A$2,"."&amp;N$2&amp;N$1&amp;"C"&amp;$A17)="N/A",0,RTD("tos.rtd",,$A$2,"."&amp;N$2&amp;N$1&amp;"C"&amp;$A17))-IF(RTD("tos.rtd",,$A$2,"."&amp;N$2&amp;N$1&amp;"P"&amp;$A17)="N/A",0,RTD("tos.rtd",,$A$2,"."&amp;N$2&amp;N$1&amp;"P"&amp;$A17))</f>
        <v>0</v>
      </c>
      <c r="O17" s="56">
        <f ca="1">IF(RTD("tos.rtd",,$A$2,"."&amp;O$2&amp;O$1&amp;"C"&amp;$A17)="N/A",0,RTD("tos.rtd",,$A$2,"."&amp;O$2&amp;O$1&amp;"C"&amp;$A17))-IF(RTD("tos.rtd",,$A$2,"."&amp;O$2&amp;O$1&amp;"P"&amp;$A17)="N/A",0,RTD("tos.rtd",,$A$2,"."&amp;O$2&amp;O$1&amp;"P"&amp;$A17))</f>
        <v>-32</v>
      </c>
      <c r="P17" s="56">
        <f ca="1">IF(RTD("tos.rtd",,$A$2,"."&amp;P$2&amp;P$1&amp;"C"&amp;$A17)="N/A",0,RTD("tos.rtd",,$A$2,"."&amp;P$2&amp;P$1&amp;"C"&amp;$A17))-IF(RTD("tos.rtd",,$A$2,"."&amp;P$2&amp;P$1&amp;"P"&amp;$A17)="N/A",0,RTD("tos.rtd",,$A$2,"."&amp;P$2&amp;P$1&amp;"P"&amp;$A17))</f>
        <v>3</v>
      </c>
      <c r="Q17" s="56">
        <f ca="1">IF(RTD("tos.rtd",,$A$2,"."&amp;Q$2&amp;Q$1&amp;"C"&amp;$A17)="N/A",0,RTD("tos.rtd",,$A$2,"."&amp;Q$2&amp;Q$1&amp;"C"&amp;$A17))-IF(RTD("tos.rtd",,$A$2,"."&amp;Q$2&amp;Q$1&amp;"P"&amp;$A17)="N/A",0,RTD("tos.rtd",,$A$2,"."&amp;Q$2&amp;Q$1&amp;"P"&amp;$A17))</f>
        <v>0</v>
      </c>
      <c r="R17" s="56">
        <f ca="1">IF(RTD("tos.rtd",,$A$2,"."&amp;R$2&amp;R$1&amp;"C"&amp;$A17)="N/A",0,RTD("tos.rtd",,$A$2,"."&amp;R$2&amp;R$1&amp;"C"&amp;$A17))-IF(RTD("tos.rtd",,$A$2,"."&amp;R$2&amp;R$1&amp;"P"&amp;$A17)="N/A",0,RTD("tos.rtd",,$A$2,"."&amp;R$2&amp;R$1&amp;"P"&amp;$A17))</f>
        <v>0</v>
      </c>
      <c r="S17" s="56">
        <f ca="1">IF(RTD("tos.rtd",,$A$2,"."&amp;S$2&amp;S$1&amp;"C"&amp;$A17)="N/A",0,RTD("tos.rtd",,$A$2,"."&amp;S$2&amp;S$1&amp;"C"&amp;$A17))-IF(RTD("tos.rtd",,$A$2,"."&amp;S$2&amp;S$1&amp;"P"&amp;$A17)="N/A",0,RTD("tos.rtd",,$A$2,"."&amp;S$2&amp;S$1&amp;"P"&amp;$A17))</f>
        <v>0</v>
      </c>
      <c r="T17" s="56">
        <f ca="1">IF(RTD("tos.rtd",,$A$2,"."&amp;T$2&amp;T$1&amp;"C"&amp;$A17)="N/A",0,RTD("tos.rtd",,$A$2,"."&amp;T$2&amp;T$1&amp;"C"&amp;$A17))-IF(RTD("tos.rtd",,$A$2,"."&amp;T$2&amp;T$1&amp;"P"&amp;$A17)="N/A",0,RTD("tos.rtd",,$A$2,"."&amp;T$2&amp;T$1&amp;"P"&amp;$A17))</f>
        <v>0</v>
      </c>
      <c r="U17" s="56">
        <f ca="1">IF(RTD("tos.rtd",,$A$2,"."&amp;U$2&amp;U$1&amp;"C"&amp;$A17)="N/A",0,RTD("tos.rtd",,$A$2,"."&amp;U$2&amp;U$1&amp;"C"&amp;$A17))-IF(RTD("tos.rtd",,$A$2,"."&amp;U$2&amp;U$1&amp;"P"&amp;$A17)="N/A",0,RTD("tos.rtd",,$A$2,"."&amp;U$2&amp;U$1&amp;"P"&amp;$A17))</f>
        <v>0</v>
      </c>
      <c r="V17" s="56">
        <f ca="1">IF(RTD("tos.rtd",,$A$2,"."&amp;V$2&amp;V$1&amp;"C"&amp;$A17)="N/A",0,RTD("tos.rtd",,$A$2,"."&amp;V$2&amp;V$1&amp;"C"&amp;$A17))-IF(RTD("tos.rtd",,$A$2,"."&amp;V$2&amp;V$1&amp;"P"&amp;$A17)="N/A",0,RTD("tos.rtd",,$A$2,"."&amp;V$2&amp;V$1&amp;"P"&amp;$A17))</f>
        <v>0</v>
      </c>
      <c r="W17" s="56">
        <f ca="1">IF(RTD("tos.rtd",,$A$2,"."&amp;W$2&amp;W$1&amp;"C"&amp;$A17)="N/A",0,RTD("tos.rtd",,$A$2,"."&amp;W$2&amp;W$1&amp;"C"&amp;$A17))-IF(RTD("tos.rtd",,$A$2,"."&amp;W$2&amp;W$1&amp;"P"&amp;$A17)="N/A",0,RTD("tos.rtd",,$A$2,"."&amp;W$2&amp;W$1&amp;"P"&amp;$A17))</f>
        <v>0</v>
      </c>
      <c r="X17" s="56">
        <f ca="1">IF(RTD("tos.rtd",,$A$2,"."&amp;X$2&amp;X$1&amp;"C"&amp;$A17)="N/A",0,RTD("tos.rtd",,$A$2,"."&amp;X$2&amp;X$1&amp;"C"&amp;$A17))-IF(RTD("tos.rtd",,$A$2,"."&amp;X$2&amp;X$1&amp;"P"&amp;$A17)="N/A",0,RTD("tos.rtd",,$A$2,"."&amp;X$2&amp;X$1&amp;"P"&amp;$A17))</f>
        <v>0</v>
      </c>
      <c r="Y17" s="63">
        <f t="shared" ca="1" si="5"/>
        <v>38616</v>
      </c>
    </row>
    <row r="18" spans="1:25" x14ac:dyDescent="0.25">
      <c r="A18" s="58">
        <f>+Hoja1!A17</f>
        <v>676</v>
      </c>
      <c r="B18" s="56">
        <f ca="1">IF(RTD("tos.rtd",,$A$2,"."&amp;B$2&amp;B$1&amp;"C"&amp;$A18)="N/A",0,RTD("tos.rtd",,$A$2,"."&amp;B$2&amp;B$1&amp;"C"&amp;$A18))-IF(RTD("tos.rtd",,$A$2,"."&amp;B$2&amp;B$1&amp;"P"&amp;$A18)="N/A",0,RTD("tos.rtd",,$A$2,"."&amp;B$2&amp;B$1&amp;"P"&amp;$A18))</f>
        <v>20269</v>
      </c>
      <c r="C18" s="56">
        <f ca="1">IF(RTD("tos.rtd",,$A$2,"."&amp;C$2&amp;C$1&amp;"C"&amp;$A18)="N/A",0,RTD("tos.rtd",,$A$2,"."&amp;C$2&amp;C$1&amp;"C"&amp;$A18))-IF(RTD("tos.rtd",,$A$2,"."&amp;C$2&amp;C$1&amp;"P"&amp;$A18)="N/A",0,RTD("tos.rtd",,$A$2,"."&amp;C$2&amp;C$1&amp;"P"&amp;$A18))</f>
        <v>8702</v>
      </c>
      <c r="D18" s="56">
        <f ca="1">IF(RTD("tos.rtd",,$A$2,"."&amp;D$2&amp;D$1&amp;"C"&amp;$A18)="N/A",0,RTD("tos.rtd",,$A$2,"."&amp;D$2&amp;D$1&amp;"C"&amp;$A18))-IF(RTD("tos.rtd",,$A$2,"."&amp;D$2&amp;D$1&amp;"P"&amp;$A18)="N/A",0,RTD("tos.rtd",,$A$2,"."&amp;D$2&amp;D$1&amp;"P"&amp;$A18))</f>
        <v>3123</v>
      </c>
      <c r="E18" s="56">
        <f ca="1">IF(RTD("tos.rtd",,$A$2,"."&amp;E$2&amp;E$1&amp;"C"&amp;$A18)="N/A",0,RTD("tos.rtd",,$A$2,"."&amp;E$2&amp;E$1&amp;"C"&amp;$A18))-IF(RTD("tos.rtd",,$A$2,"."&amp;E$2&amp;E$1&amp;"P"&amp;$A18)="N/A",0,RTD("tos.rtd",,$A$2,"."&amp;E$2&amp;E$1&amp;"P"&amp;$A18))</f>
        <v>328</v>
      </c>
      <c r="F18" s="56">
        <f ca="1">IF(RTD("tos.rtd",,$A$2,"."&amp;F$2&amp;F$1&amp;"C"&amp;$A18)="N/A",0,RTD("tos.rtd",,$A$2,"."&amp;F$2&amp;F$1&amp;"C"&amp;$A18))-IF(RTD("tos.rtd",,$A$2,"."&amp;F$2&amp;F$1&amp;"P"&amp;$A18)="N/A",0,RTD("tos.rtd",,$A$2,"."&amp;F$2&amp;F$1&amp;"P"&amp;$A18))</f>
        <v>0</v>
      </c>
      <c r="G18" s="56">
        <f ca="1">IF(RTD("tos.rtd",,$A$2,"."&amp;G$2&amp;G$1&amp;"C"&amp;$A18)="N/A",0,RTD("tos.rtd",,$A$2,"."&amp;G$2&amp;G$1&amp;"C"&amp;$A18))-IF(RTD("tos.rtd",,$A$2,"."&amp;G$2&amp;G$1&amp;"P"&amp;$A18)="N/A",0,RTD("tos.rtd",,$A$2,"."&amp;G$2&amp;G$1&amp;"P"&amp;$A18))</f>
        <v>0</v>
      </c>
      <c r="H18" s="56">
        <f ca="1">IF(RTD("tos.rtd",,$A$2,"."&amp;H$2&amp;H$1&amp;"C"&amp;$A18)="N/A",0,RTD("tos.rtd",,$A$2,"."&amp;H$2&amp;H$1&amp;"C"&amp;$A18))-IF(RTD("tos.rtd",,$A$2,"."&amp;H$2&amp;H$1&amp;"P"&amp;$A18)="N/A",0,RTD("tos.rtd",,$A$2,"."&amp;H$2&amp;H$1&amp;"P"&amp;$A18))</f>
        <v>394</v>
      </c>
      <c r="I18" s="56">
        <f ca="1">IF(RTD("tos.rtd",,$A$2,"."&amp;I$2&amp;I$1&amp;"C"&amp;$A18)="N/A",0,RTD("tos.rtd",,$A$2,"."&amp;I$2&amp;I$1&amp;"C"&amp;$A18))-IF(RTD("tos.rtd",,$A$2,"."&amp;I$2&amp;I$1&amp;"P"&amp;$A18)="N/A",0,RTD("tos.rtd",,$A$2,"."&amp;I$2&amp;I$1&amp;"P"&amp;$A18))</f>
        <v>356</v>
      </c>
      <c r="J18" s="56">
        <f ca="1">IF(RTD("tos.rtd",,$A$2,"."&amp;J$2&amp;J$1&amp;"C"&amp;$A18)="N/A",0,RTD("tos.rtd",,$A$2,"."&amp;J$2&amp;J$1&amp;"C"&amp;$A18))-IF(RTD("tos.rtd",,$A$2,"."&amp;J$2&amp;J$1&amp;"P"&amp;$A18)="N/A",0,RTD("tos.rtd",,$A$2,"."&amp;J$2&amp;J$1&amp;"P"&amp;$A18))</f>
        <v>494</v>
      </c>
      <c r="K18" s="56">
        <f ca="1">IF(RTD("tos.rtd",,$A$2,"."&amp;K$2&amp;K$1&amp;"C"&amp;$A18)="N/A",0,RTD("tos.rtd",,$A$2,"."&amp;K$2&amp;K$1&amp;"C"&amp;$A18))-IF(RTD("tos.rtd",,$A$2,"."&amp;K$2&amp;K$1&amp;"P"&amp;$A18)="N/A",0,RTD("tos.rtd",,$A$2,"."&amp;K$2&amp;K$1&amp;"P"&amp;$A18))</f>
        <v>104</v>
      </c>
      <c r="L18" s="56">
        <f ca="1">IF(RTD("tos.rtd",,$A$2,"."&amp;L$2&amp;L$1&amp;"C"&amp;$A18)="N/A",0,RTD("tos.rtd",,$A$2,"."&amp;L$2&amp;L$1&amp;"C"&amp;$A18))-IF(RTD("tos.rtd",,$A$2,"."&amp;L$2&amp;L$1&amp;"P"&amp;$A18)="N/A",0,RTD("tos.rtd",,$A$2,"."&amp;L$2&amp;L$1&amp;"P"&amp;$A18))</f>
        <v>0</v>
      </c>
      <c r="M18" s="56">
        <f ca="1">IF(RTD("tos.rtd",,$A$2,"."&amp;M$2&amp;M$1&amp;"C"&amp;$A18)="N/A",0,RTD("tos.rtd",,$A$2,"."&amp;M$2&amp;M$1&amp;"C"&amp;$A18))-IF(RTD("tos.rtd",,$A$2,"."&amp;M$2&amp;M$1&amp;"P"&amp;$A18)="N/A",0,RTD("tos.rtd",,$A$2,"."&amp;M$2&amp;M$1&amp;"P"&amp;$A18))</f>
        <v>41</v>
      </c>
      <c r="N18" s="56">
        <f ca="1">IF(RTD("tos.rtd",,$A$2,"."&amp;N$2&amp;N$1&amp;"C"&amp;$A18)="N/A",0,RTD("tos.rtd",,$A$2,"."&amp;N$2&amp;N$1&amp;"C"&amp;$A18))-IF(RTD("tos.rtd",,$A$2,"."&amp;N$2&amp;N$1&amp;"P"&amp;$A18)="N/A",0,RTD("tos.rtd",,$A$2,"."&amp;N$2&amp;N$1&amp;"P"&amp;$A18))</f>
        <v>0</v>
      </c>
      <c r="O18" s="56">
        <f ca="1">IF(RTD("tos.rtd",,$A$2,"."&amp;O$2&amp;O$1&amp;"C"&amp;$A18)="N/A",0,RTD("tos.rtd",,$A$2,"."&amp;O$2&amp;O$1&amp;"C"&amp;$A18))-IF(RTD("tos.rtd",,$A$2,"."&amp;O$2&amp;O$1&amp;"P"&amp;$A18)="N/A",0,RTD("tos.rtd",,$A$2,"."&amp;O$2&amp;O$1&amp;"P"&amp;$A18))</f>
        <v>5</v>
      </c>
      <c r="P18" s="56">
        <f ca="1">IF(RTD("tos.rtd",,$A$2,"."&amp;P$2&amp;P$1&amp;"C"&amp;$A18)="N/A",0,RTD("tos.rtd",,$A$2,"."&amp;P$2&amp;P$1&amp;"C"&amp;$A18))-IF(RTD("tos.rtd",,$A$2,"."&amp;P$2&amp;P$1&amp;"P"&amp;$A18)="N/A",0,RTD("tos.rtd",,$A$2,"."&amp;P$2&amp;P$1&amp;"P"&amp;$A18))</f>
        <v>0</v>
      </c>
      <c r="Q18" s="56">
        <f ca="1">IF(RTD("tos.rtd",,$A$2,"."&amp;Q$2&amp;Q$1&amp;"C"&amp;$A18)="N/A",0,RTD("tos.rtd",,$A$2,"."&amp;Q$2&amp;Q$1&amp;"C"&amp;$A18))-IF(RTD("tos.rtd",,$A$2,"."&amp;Q$2&amp;Q$1&amp;"P"&amp;$A18)="N/A",0,RTD("tos.rtd",,$A$2,"."&amp;Q$2&amp;Q$1&amp;"P"&amp;$A18))</f>
        <v>0</v>
      </c>
      <c r="R18" s="56">
        <f ca="1">IF(RTD("tos.rtd",,$A$2,"."&amp;R$2&amp;R$1&amp;"C"&amp;$A18)="N/A",0,RTD("tos.rtd",,$A$2,"."&amp;R$2&amp;R$1&amp;"C"&amp;$A18))-IF(RTD("tos.rtd",,$A$2,"."&amp;R$2&amp;R$1&amp;"P"&amp;$A18)="N/A",0,RTD("tos.rtd",,$A$2,"."&amp;R$2&amp;R$1&amp;"P"&amp;$A18))</f>
        <v>0</v>
      </c>
      <c r="S18" s="56">
        <f ca="1">IF(RTD("tos.rtd",,$A$2,"."&amp;S$2&amp;S$1&amp;"C"&amp;$A18)="N/A",0,RTD("tos.rtd",,$A$2,"."&amp;S$2&amp;S$1&amp;"C"&amp;$A18))-IF(RTD("tos.rtd",,$A$2,"."&amp;S$2&amp;S$1&amp;"P"&amp;$A18)="N/A",0,RTD("tos.rtd",,$A$2,"."&amp;S$2&amp;S$1&amp;"P"&amp;$A18))</f>
        <v>0</v>
      </c>
      <c r="T18" s="56">
        <f ca="1">IF(RTD("tos.rtd",,$A$2,"."&amp;T$2&amp;T$1&amp;"C"&amp;$A18)="N/A",0,RTD("tos.rtd",,$A$2,"."&amp;T$2&amp;T$1&amp;"C"&amp;$A18))-IF(RTD("tos.rtd",,$A$2,"."&amp;T$2&amp;T$1&amp;"P"&amp;$A18)="N/A",0,RTD("tos.rtd",,$A$2,"."&amp;T$2&amp;T$1&amp;"P"&amp;$A18))</f>
        <v>0</v>
      </c>
      <c r="U18" s="56">
        <f ca="1">IF(RTD("tos.rtd",,$A$2,"."&amp;U$2&amp;U$1&amp;"C"&amp;$A18)="N/A",0,RTD("tos.rtd",,$A$2,"."&amp;U$2&amp;U$1&amp;"C"&amp;$A18))-IF(RTD("tos.rtd",,$A$2,"."&amp;U$2&amp;U$1&amp;"P"&amp;$A18)="N/A",0,RTD("tos.rtd",,$A$2,"."&amp;U$2&amp;U$1&amp;"P"&amp;$A18))</f>
        <v>0</v>
      </c>
      <c r="V18" s="56">
        <f ca="1">IF(RTD("tos.rtd",,$A$2,"."&amp;V$2&amp;V$1&amp;"C"&amp;$A18)="N/A",0,RTD("tos.rtd",,$A$2,"."&amp;V$2&amp;V$1&amp;"C"&amp;$A18))-IF(RTD("tos.rtd",,$A$2,"."&amp;V$2&amp;V$1&amp;"P"&amp;$A18)="N/A",0,RTD("tos.rtd",,$A$2,"."&amp;V$2&amp;V$1&amp;"P"&amp;$A18))</f>
        <v>0</v>
      </c>
      <c r="W18" s="56">
        <f ca="1">IF(RTD("tos.rtd",,$A$2,"."&amp;W$2&amp;W$1&amp;"C"&amp;$A18)="N/A",0,RTD("tos.rtd",,$A$2,"."&amp;W$2&amp;W$1&amp;"C"&amp;$A18))-IF(RTD("tos.rtd",,$A$2,"."&amp;W$2&amp;W$1&amp;"P"&amp;$A18)="N/A",0,RTD("tos.rtd",,$A$2,"."&amp;W$2&amp;W$1&amp;"P"&amp;$A18))</f>
        <v>0</v>
      </c>
      <c r="X18" s="56">
        <f ca="1">IF(RTD("tos.rtd",,$A$2,"."&amp;X$2&amp;X$1&amp;"C"&amp;$A18)="N/A",0,RTD("tos.rtd",,$A$2,"."&amp;X$2&amp;X$1&amp;"C"&amp;$A18))-IF(RTD("tos.rtd",,$A$2,"."&amp;X$2&amp;X$1&amp;"P"&amp;$A18)="N/A",0,RTD("tos.rtd",,$A$2,"."&amp;X$2&amp;X$1&amp;"P"&amp;$A18))</f>
        <v>0</v>
      </c>
      <c r="Y18" s="63">
        <f t="shared" ca="1" si="5"/>
        <v>33816</v>
      </c>
    </row>
    <row r="19" spans="1:25" x14ac:dyDescent="0.25">
      <c r="A19" s="58">
        <f>+Hoja1!A18</f>
        <v>675</v>
      </c>
      <c r="B19" s="56">
        <f ca="1">IF(RTD("tos.rtd",,$A$2,"."&amp;B$2&amp;B$1&amp;"C"&amp;$A19)="N/A",0,RTD("tos.rtd",,$A$2,"."&amp;B$2&amp;B$1&amp;"C"&amp;$A19))-IF(RTD("tos.rtd",,$A$2,"."&amp;B$2&amp;B$1&amp;"P"&amp;$A19)="N/A",0,RTD("tos.rtd",,$A$2,"."&amp;B$2&amp;B$1&amp;"P"&amp;$A19))</f>
        <v>34765</v>
      </c>
      <c r="C19" s="56">
        <f ca="1">IF(RTD("tos.rtd",,$A$2,"."&amp;C$2&amp;C$1&amp;"C"&amp;$A19)="N/A",0,RTD("tos.rtd",,$A$2,"."&amp;C$2&amp;C$1&amp;"C"&amp;$A19))-IF(RTD("tos.rtd",,$A$2,"."&amp;C$2&amp;C$1&amp;"P"&amp;$A19)="N/A",0,RTD("tos.rtd",,$A$2,"."&amp;C$2&amp;C$1&amp;"P"&amp;$A19))</f>
        <v>6523</v>
      </c>
      <c r="D19" s="56">
        <f ca="1">IF(RTD("tos.rtd",,$A$2,"."&amp;D$2&amp;D$1&amp;"C"&amp;$A19)="N/A",0,RTD("tos.rtd",,$A$2,"."&amp;D$2&amp;D$1&amp;"C"&amp;$A19))-IF(RTD("tos.rtd",,$A$2,"."&amp;D$2&amp;D$1&amp;"P"&amp;$A19)="N/A",0,RTD("tos.rtd",,$A$2,"."&amp;D$2&amp;D$1&amp;"P"&amp;$A19))</f>
        <v>4890</v>
      </c>
      <c r="E19" s="56">
        <f ca="1">IF(RTD("tos.rtd",,$A$2,"."&amp;E$2&amp;E$1&amp;"C"&amp;$A19)="N/A",0,RTD("tos.rtd",,$A$2,"."&amp;E$2&amp;E$1&amp;"C"&amp;$A19))-IF(RTD("tos.rtd",,$A$2,"."&amp;E$2&amp;E$1&amp;"P"&amp;$A19)="N/A",0,RTD("tos.rtd",,$A$2,"."&amp;E$2&amp;E$1&amp;"P"&amp;$A19))</f>
        <v>1202</v>
      </c>
      <c r="F19" s="56">
        <f ca="1">IF(RTD("tos.rtd",,$A$2,"."&amp;F$2&amp;F$1&amp;"C"&amp;$A19)="N/A",0,RTD("tos.rtd",,$A$2,"."&amp;F$2&amp;F$1&amp;"C"&amp;$A19))-IF(RTD("tos.rtd",,$A$2,"."&amp;F$2&amp;F$1&amp;"P"&amp;$A19)="N/A",0,RTD("tos.rtd",,$A$2,"."&amp;F$2&amp;F$1&amp;"P"&amp;$A19))</f>
        <v>0</v>
      </c>
      <c r="G19" s="56">
        <f ca="1">IF(RTD("tos.rtd",,$A$2,"."&amp;G$2&amp;G$1&amp;"C"&amp;$A19)="N/A",0,RTD("tos.rtd",,$A$2,"."&amp;G$2&amp;G$1&amp;"C"&amp;$A19))-IF(RTD("tos.rtd",,$A$2,"."&amp;G$2&amp;G$1&amp;"P"&amp;$A19)="N/A",0,RTD("tos.rtd",,$A$2,"."&amp;G$2&amp;G$1&amp;"P"&amp;$A19))</f>
        <v>0</v>
      </c>
      <c r="H19" s="56">
        <f ca="1">IF(RTD("tos.rtd",,$A$2,"."&amp;H$2&amp;H$1&amp;"C"&amp;$A19)="N/A",0,RTD("tos.rtd",,$A$2,"."&amp;H$2&amp;H$1&amp;"C"&amp;$A19))-IF(RTD("tos.rtd",,$A$2,"."&amp;H$2&amp;H$1&amp;"P"&amp;$A19)="N/A",0,RTD("tos.rtd",,$A$2,"."&amp;H$2&amp;H$1&amp;"P"&amp;$A19))</f>
        <v>2466</v>
      </c>
      <c r="I19" s="56">
        <f ca="1">IF(RTD("tos.rtd",,$A$2,"."&amp;I$2&amp;I$1&amp;"C"&amp;$A19)="N/A",0,RTD("tos.rtd",,$A$2,"."&amp;I$2&amp;I$1&amp;"C"&amp;$A19))-IF(RTD("tos.rtd",,$A$2,"."&amp;I$2&amp;I$1&amp;"P"&amp;$A19)="N/A",0,RTD("tos.rtd",,$A$2,"."&amp;I$2&amp;I$1&amp;"P"&amp;$A19))</f>
        <v>548</v>
      </c>
      <c r="J19" s="56">
        <f ca="1">IF(RTD("tos.rtd",,$A$2,"."&amp;J$2&amp;J$1&amp;"C"&amp;$A19)="N/A",0,RTD("tos.rtd",,$A$2,"."&amp;J$2&amp;J$1&amp;"C"&amp;$A19))-IF(RTD("tos.rtd",,$A$2,"."&amp;J$2&amp;J$1&amp;"P"&amp;$A19)="N/A",0,RTD("tos.rtd",,$A$2,"."&amp;J$2&amp;J$1&amp;"P"&amp;$A19))</f>
        <v>104</v>
      </c>
      <c r="K19" s="56">
        <f ca="1">IF(RTD("tos.rtd",,$A$2,"."&amp;K$2&amp;K$1&amp;"C"&amp;$A19)="N/A",0,RTD("tos.rtd",,$A$2,"."&amp;K$2&amp;K$1&amp;"C"&amp;$A19))-IF(RTD("tos.rtd",,$A$2,"."&amp;K$2&amp;K$1&amp;"P"&amp;$A19)="N/A",0,RTD("tos.rtd",,$A$2,"."&amp;K$2&amp;K$1&amp;"P"&amp;$A19))</f>
        <v>1585</v>
      </c>
      <c r="L19" s="56">
        <f ca="1">IF(RTD("tos.rtd",,$A$2,"."&amp;L$2&amp;L$1&amp;"C"&amp;$A19)="N/A",0,RTD("tos.rtd",,$A$2,"."&amp;L$2&amp;L$1&amp;"C"&amp;$A19))-IF(RTD("tos.rtd",,$A$2,"."&amp;L$2&amp;L$1&amp;"P"&amp;$A19)="N/A",0,RTD("tos.rtd",,$A$2,"."&amp;L$2&amp;L$1&amp;"P"&amp;$A19))</f>
        <v>0</v>
      </c>
      <c r="M19" s="56">
        <f ca="1">IF(RTD("tos.rtd",,$A$2,"."&amp;M$2&amp;M$1&amp;"C"&amp;$A19)="N/A",0,RTD("tos.rtd",,$A$2,"."&amp;M$2&amp;M$1&amp;"C"&amp;$A19))-IF(RTD("tos.rtd",,$A$2,"."&amp;M$2&amp;M$1&amp;"P"&amp;$A19)="N/A",0,RTD("tos.rtd",,$A$2,"."&amp;M$2&amp;M$1&amp;"P"&amp;$A19))</f>
        <v>317</v>
      </c>
      <c r="N19" s="56">
        <f ca="1">IF(RTD("tos.rtd",,$A$2,"."&amp;N$2&amp;N$1&amp;"C"&amp;$A19)="N/A",0,RTD("tos.rtd",,$A$2,"."&amp;N$2&amp;N$1&amp;"C"&amp;$A19))-IF(RTD("tos.rtd",,$A$2,"."&amp;N$2&amp;N$1&amp;"P"&amp;$A19)="N/A",0,RTD("tos.rtd",,$A$2,"."&amp;N$2&amp;N$1&amp;"P"&amp;$A19))</f>
        <v>0</v>
      </c>
      <c r="O19" s="56">
        <f ca="1">IF(RTD("tos.rtd",,$A$2,"."&amp;O$2&amp;O$1&amp;"C"&amp;$A19)="N/A",0,RTD("tos.rtd",,$A$2,"."&amp;O$2&amp;O$1&amp;"C"&amp;$A19))-IF(RTD("tos.rtd",,$A$2,"."&amp;O$2&amp;O$1&amp;"P"&amp;$A19)="N/A",0,RTD("tos.rtd",,$A$2,"."&amp;O$2&amp;O$1&amp;"P"&amp;$A19))</f>
        <v>35</v>
      </c>
      <c r="P19" s="56">
        <f ca="1">IF(RTD("tos.rtd",,$A$2,"."&amp;P$2&amp;P$1&amp;"C"&amp;$A19)="N/A",0,RTD("tos.rtd",,$A$2,"."&amp;P$2&amp;P$1&amp;"C"&amp;$A19))-IF(RTD("tos.rtd",,$A$2,"."&amp;P$2&amp;P$1&amp;"P"&amp;$A19)="N/A",0,RTD("tos.rtd",,$A$2,"."&amp;P$2&amp;P$1&amp;"P"&amp;$A19))</f>
        <v>-54</v>
      </c>
      <c r="Q19" s="56">
        <f ca="1">IF(RTD("tos.rtd",,$A$2,"."&amp;Q$2&amp;Q$1&amp;"C"&amp;$A19)="N/A",0,RTD("tos.rtd",,$A$2,"."&amp;Q$2&amp;Q$1&amp;"C"&amp;$A19))-IF(RTD("tos.rtd",,$A$2,"."&amp;Q$2&amp;Q$1&amp;"P"&amp;$A19)="N/A",0,RTD("tos.rtd",,$A$2,"."&amp;Q$2&amp;Q$1&amp;"P"&amp;$A19))</f>
        <v>0</v>
      </c>
      <c r="R19" s="56">
        <f ca="1">IF(RTD("tos.rtd",,$A$2,"."&amp;R$2&amp;R$1&amp;"C"&amp;$A19)="N/A",0,RTD("tos.rtd",,$A$2,"."&amp;R$2&amp;R$1&amp;"C"&amp;$A19))-IF(RTD("tos.rtd",,$A$2,"."&amp;R$2&amp;R$1&amp;"P"&amp;$A19)="N/A",0,RTD("tos.rtd",,$A$2,"."&amp;R$2&amp;R$1&amp;"P"&amp;$A19))</f>
        <v>0</v>
      </c>
      <c r="S19" s="56">
        <f ca="1">IF(RTD("tos.rtd",,$A$2,"."&amp;S$2&amp;S$1&amp;"C"&amp;$A19)="N/A",0,RTD("tos.rtd",,$A$2,"."&amp;S$2&amp;S$1&amp;"C"&amp;$A19))-IF(RTD("tos.rtd",,$A$2,"."&amp;S$2&amp;S$1&amp;"P"&amp;$A19)="N/A",0,RTD("tos.rtd",,$A$2,"."&amp;S$2&amp;S$1&amp;"P"&amp;$A19))</f>
        <v>0</v>
      </c>
      <c r="T19" s="56">
        <f ca="1">IF(RTD("tos.rtd",,$A$2,"."&amp;T$2&amp;T$1&amp;"C"&amp;$A19)="N/A",0,RTD("tos.rtd",,$A$2,"."&amp;T$2&amp;T$1&amp;"C"&amp;$A19))-IF(RTD("tos.rtd",,$A$2,"."&amp;T$2&amp;T$1&amp;"P"&amp;$A19)="N/A",0,RTD("tos.rtd",,$A$2,"."&amp;T$2&amp;T$1&amp;"P"&amp;$A19))</f>
        <v>0</v>
      </c>
      <c r="U19" s="56">
        <f ca="1">IF(RTD("tos.rtd",,$A$2,"."&amp;U$2&amp;U$1&amp;"C"&amp;$A19)="N/A",0,RTD("tos.rtd",,$A$2,"."&amp;U$2&amp;U$1&amp;"C"&amp;$A19))-IF(RTD("tos.rtd",,$A$2,"."&amp;U$2&amp;U$1&amp;"P"&amp;$A19)="N/A",0,RTD("tos.rtd",,$A$2,"."&amp;U$2&amp;U$1&amp;"P"&amp;$A19))</f>
        <v>0</v>
      </c>
      <c r="V19" s="56">
        <f ca="1">IF(RTD("tos.rtd",,$A$2,"."&amp;V$2&amp;V$1&amp;"C"&amp;$A19)="N/A",0,RTD("tos.rtd",,$A$2,"."&amp;V$2&amp;V$1&amp;"C"&amp;$A19))-IF(RTD("tos.rtd",,$A$2,"."&amp;V$2&amp;V$1&amp;"P"&amp;$A19)="N/A",0,RTD("tos.rtd",,$A$2,"."&amp;V$2&amp;V$1&amp;"P"&amp;$A19))</f>
        <v>0</v>
      </c>
      <c r="W19" s="56">
        <f ca="1">IF(RTD("tos.rtd",,$A$2,"."&amp;W$2&amp;W$1&amp;"C"&amp;$A19)="N/A",0,RTD("tos.rtd",,$A$2,"."&amp;W$2&amp;W$1&amp;"C"&amp;$A19))-IF(RTD("tos.rtd",,$A$2,"."&amp;W$2&amp;W$1&amp;"P"&amp;$A19)="N/A",0,RTD("tos.rtd",,$A$2,"."&amp;W$2&amp;W$1&amp;"P"&amp;$A19))</f>
        <v>0</v>
      </c>
      <c r="X19" s="56">
        <f ca="1">IF(RTD("tos.rtd",,$A$2,"."&amp;X$2&amp;X$1&amp;"C"&amp;$A19)="N/A",0,RTD("tos.rtd",,$A$2,"."&amp;X$2&amp;X$1&amp;"C"&amp;$A19))-IF(RTD("tos.rtd",,$A$2,"."&amp;X$2&amp;X$1&amp;"P"&amp;$A19)="N/A",0,RTD("tos.rtd",,$A$2,"."&amp;X$2&amp;X$1&amp;"P"&amp;$A19))</f>
        <v>0</v>
      </c>
      <c r="Y19" s="63">
        <f t="shared" ca="1" si="5"/>
        <v>52381</v>
      </c>
    </row>
    <row r="20" spans="1:25" x14ac:dyDescent="0.25">
      <c r="A20" s="58">
        <f>+Hoja1!A19</f>
        <v>674</v>
      </c>
      <c r="B20" s="56">
        <f ca="1">IF(RTD("tos.rtd",,$A$2,"."&amp;B$2&amp;B$1&amp;"C"&amp;$A20)="N/A",0,RTD("tos.rtd",,$A$2,"."&amp;B$2&amp;B$1&amp;"C"&amp;$A20))-IF(RTD("tos.rtd",,$A$2,"."&amp;B$2&amp;B$1&amp;"P"&amp;$A20)="N/A",0,RTD("tos.rtd",,$A$2,"."&amp;B$2&amp;B$1&amp;"P"&amp;$A20))</f>
        <v>24078</v>
      </c>
      <c r="C20" s="56">
        <f ca="1">IF(RTD("tos.rtd",,$A$2,"."&amp;C$2&amp;C$1&amp;"C"&amp;$A20)="N/A",0,RTD("tos.rtd",,$A$2,"."&amp;C$2&amp;C$1&amp;"C"&amp;$A20))-IF(RTD("tos.rtd",,$A$2,"."&amp;C$2&amp;C$1&amp;"P"&amp;$A20)="N/A",0,RTD("tos.rtd",,$A$2,"."&amp;C$2&amp;C$1&amp;"P"&amp;$A20))</f>
        <v>6465</v>
      </c>
      <c r="D20" s="56">
        <f ca="1">IF(RTD("tos.rtd",,$A$2,"."&amp;D$2&amp;D$1&amp;"C"&amp;$A20)="N/A",0,RTD("tos.rtd",,$A$2,"."&amp;D$2&amp;D$1&amp;"C"&amp;$A20))-IF(RTD("tos.rtd",,$A$2,"."&amp;D$2&amp;D$1&amp;"P"&amp;$A20)="N/A",0,RTD("tos.rtd",,$A$2,"."&amp;D$2&amp;D$1&amp;"P"&amp;$A20))</f>
        <v>3640</v>
      </c>
      <c r="E20" s="56">
        <f ca="1">IF(RTD("tos.rtd",,$A$2,"."&amp;E$2&amp;E$1&amp;"C"&amp;$A20)="N/A",0,RTD("tos.rtd",,$A$2,"."&amp;E$2&amp;E$1&amp;"C"&amp;$A20))-IF(RTD("tos.rtd",,$A$2,"."&amp;E$2&amp;E$1&amp;"P"&amp;$A20)="N/A",0,RTD("tos.rtd",,$A$2,"."&amp;E$2&amp;E$1&amp;"P"&amp;$A20))</f>
        <v>290</v>
      </c>
      <c r="F20" s="56">
        <f ca="1">IF(RTD("tos.rtd",,$A$2,"."&amp;F$2&amp;F$1&amp;"C"&amp;$A20)="N/A",0,RTD("tos.rtd",,$A$2,"."&amp;F$2&amp;F$1&amp;"C"&amp;$A20))-IF(RTD("tos.rtd",,$A$2,"."&amp;F$2&amp;F$1&amp;"P"&amp;$A20)="N/A",0,RTD("tos.rtd",,$A$2,"."&amp;F$2&amp;F$1&amp;"P"&amp;$A20))</f>
        <v>0</v>
      </c>
      <c r="G20" s="56">
        <f ca="1">IF(RTD("tos.rtd",,$A$2,"."&amp;G$2&amp;G$1&amp;"C"&amp;$A20)="N/A",0,RTD("tos.rtd",,$A$2,"."&amp;G$2&amp;G$1&amp;"C"&amp;$A20))-IF(RTD("tos.rtd",,$A$2,"."&amp;G$2&amp;G$1&amp;"P"&amp;$A20)="N/A",0,RTD("tos.rtd",,$A$2,"."&amp;G$2&amp;G$1&amp;"P"&amp;$A20))</f>
        <v>0</v>
      </c>
      <c r="H20" s="56">
        <f ca="1">IF(RTD("tos.rtd",,$A$2,"."&amp;H$2&amp;H$1&amp;"C"&amp;$A20)="N/A",0,RTD("tos.rtd",,$A$2,"."&amp;H$2&amp;H$1&amp;"C"&amp;$A20))-IF(RTD("tos.rtd",,$A$2,"."&amp;H$2&amp;H$1&amp;"P"&amp;$A20)="N/A",0,RTD("tos.rtd",,$A$2,"."&amp;H$2&amp;H$1&amp;"P"&amp;$A20))</f>
        <v>136</v>
      </c>
      <c r="I20" s="56">
        <f ca="1">IF(RTD("tos.rtd",,$A$2,"."&amp;I$2&amp;I$1&amp;"C"&amp;$A20)="N/A",0,RTD("tos.rtd",,$A$2,"."&amp;I$2&amp;I$1&amp;"C"&amp;$A20))-IF(RTD("tos.rtd",,$A$2,"."&amp;I$2&amp;I$1&amp;"P"&amp;$A20)="N/A",0,RTD("tos.rtd",,$A$2,"."&amp;I$2&amp;I$1&amp;"P"&amp;$A20))</f>
        <v>-18</v>
      </c>
      <c r="J20" s="56">
        <f ca="1">IF(RTD("tos.rtd",,$A$2,"."&amp;J$2&amp;J$1&amp;"C"&amp;$A20)="N/A",0,RTD("tos.rtd",,$A$2,"."&amp;J$2&amp;J$1&amp;"C"&amp;$A20))-IF(RTD("tos.rtd",,$A$2,"."&amp;J$2&amp;J$1&amp;"P"&amp;$A20)="N/A",0,RTD("tos.rtd",,$A$2,"."&amp;J$2&amp;J$1&amp;"P"&amp;$A20))</f>
        <v>236</v>
      </c>
      <c r="K20" s="56">
        <f ca="1">IF(RTD("tos.rtd",,$A$2,"."&amp;K$2&amp;K$1&amp;"C"&amp;$A20)="N/A",0,RTD("tos.rtd",,$A$2,"."&amp;K$2&amp;K$1&amp;"C"&amp;$A20))-IF(RTD("tos.rtd",,$A$2,"."&amp;K$2&amp;K$1&amp;"P"&amp;$A20)="N/A",0,RTD("tos.rtd",,$A$2,"."&amp;K$2&amp;K$1&amp;"P"&amp;$A20))</f>
        <v>362</v>
      </c>
      <c r="L20" s="56">
        <f ca="1">IF(RTD("tos.rtd",,$A$2,"."&amp;L$2&amp;L$1&amp;"C"&amp;$A20)="N/A",0,RTD("tos.rtd",,$A$2,"."&amp;L$2&amp;L$1&amp;"C"&amp;$A20))-IF(RTD("tos.rtd",,$A$2,"."&amp;L$2&amp;L$1&amp;"P"&amp;$A20)="N/A",0,RTD("tos.rtd",,$A$2,"."&amp;L$2&amp;L$1&amp;"P"&amp;$A20))</f>
        <v>0</v>
      </c>
      <c r="M20" s="56">
        <f ca="1">IF(RTD("tos.rtd",,$A$2,"."&amp;M$2&amp;M$1&amp;"C"&amp;$A20)="N/A",0,RTD("tos.rtd",,$A$2,"."&amp;M$2&amp;M$1&amp;"C"&amp;$A20))-IF(RTD("tos.rtd",,$A$2,"."&amp;M$2&amp;M$1&amp;"P"&amp;$A20)="N/A",0,RTD("tos.rtd",,$A$2,"."&amp;M$2&amp;M$1&amp;"P"&amp;$A20))</f>
        <v>105</v>
      </c>
      <c r="N20" s="56">
        <f ca="1">IF(RTD("tos.rtd",,$A$2,"."&amp;N$2&amp;N$1&amp;"C"&amp;$A20)="N/A",0,RTD("tos.rtd",,$A$2,"."&amp;N$2&amp;N$1&amp;"C"&amp;$A20))-IF(RTD("tos.rtd",,$A$2,"."&amp;N$2&amp;N$1&amp;"P"&amp;$A20)="N/A",0,RTD("tos.rtd",,$A$2,"."&amp;N$2&amp;N$1&amp;"P"&amp;$A20))</f>
        <v>0</v>
      </c>
      <c r="O20" s="56">
        <f ca="1">IF(RTD("tos.rtd",,$A$2,"."&amp;O$2&amp;O$1&amp;"C"&amp;$A20)="N/A",0,RTD("tos.rtd",,$A$2,"."&amp;O$2&amp;O$1&amp;"C"&amp;$A20))-IF(RTD("tos.rtd",,$A$2,"."&amp;O$2&amp;O$1&amp;"P"&amp;$A20)="N/A",0,RTD("tos.rtd",,$A$2,"."&amp;O$2&amp;O$1&amp;"P"&amp;$A20))</f>
        <v>-101</v>
      </c>
      <c r="P20" s="56">
        <f ca="1">IF(RTD("tos.rtd",,$A$2,"."&amp;P$2&amp;P$1&amp;"C"&amp;$A20)="N/A",0,RTD("tos.rtd",,$A$2,"."&amp;P$2&amp;P$1&amp;"C"&amp;$A20))-IF(RTD("tos.rtd",,$A$2,"."&amp;P$2&amp;P$1&amp;"P"&amp;$A20)="N/A",0,RTD("tos.rtd",,$A$2,"."&amp;P$2&amp;P$1&amp;"P"&amp;$A20))</f>
        <v>-1</v>
      </c>
      <c r="Q20" s="56">
        <f ca="1">IF(RTD("tos.rtd",,$A$2,"."&amp;Q$2&amp;Q$1&amp;"C"&amp;$A20)="N/A",0,RTD("tos.rtd",,$A$2,"."&amp;Q$2&amp;Q$1&amp;"C"&amp;$A20))-IF(RTD("tos.rtd",,$A$2,"."&amp;Q$2&amp;Q$1&amp;"P"&amp;$A20)="N/A",0,RTD("tos.rtd",,$A$2,"."&amp;Q$2&amp;Q$1&amp;"P"&amp;$A20))</f>
        <v>0</v>
      </c>
      <c r="R20" s="56">
        <f ca="1">IF(RTD("tos.rtd",,$A$2,"."&amp;R$2&amp;R$1&amp;"C"&amp;$A20)="N/A",0,RTD("tos.rtd",,$A$2,"."&amp;R$2&amp;R$1&amp;"C"&amp;$A20))-IF(RTD("tos.rtd",,$A$2,"."&amp;R$2&amp;R$1&amp;"P"&amp;$A20)="N/A",0,RTD("tos.rtd",,$A$2,"."&amp;R$2&amp;R$1&amp;"P"&amp;$A20))</f>
        <v>0</v>
      </c>
      <c r="S20" s="56">
        <f ca="1">IF(RTD("tos.rtd",,$A$2,"."&amp;S$2&amp;S$1&amp;"C"&amp;$A20)="N/A",0,RTD("tos.rtd",,$A$2,"."&amp;S$2&amp;S$1&amp;"C"&amp;$A20))-IF(RTD("tos.rtd",,$A$2,"."&amp;S$2&amp;S$1&amp;"P"&amp;$A20)="N/A",0,RTD("tos.rtd",,$A$2,"."&amp;S$2&amp;S$1&amp;"P"&amp;$A20))</f>
        <v>0</v>
      </c>
      <c r="T20" s="56">
        <f ca="1">IF(RTD("tos.rtd",,$A$2,"."&amp;T$2&amp;T$1&amp;"C"&amp;$A20)="N/A",0,RTD("tos.rtd",,$A$2,"."&amp;T$2&amp;T$1&amp;"C"&amp;$A20))-IF(RTD("tos.rtd",,$A$2,"."&amp;T$2&amp;T$1&amp;"P"&amp;$A20)="N/A",0,RTD("tos.rtd",,$A$2,"."&amp;T$2&amp;T$1&amp;"P"&amp;$A20))</f>
        <v>0</v>
      </c>
      <c r="U20" s="56">
        <f ca="1">IF(RTD("tos.rtd",,$A$2,"."&amp;U$2&amp;U$1&amp;"C"&amp;$A20)="N/A",0,RTD("tos.rtd",,$A$2,"."&amp;U$2&amp;U$1&amp;"C"&amp;$A20))-IF(RTD("tos.rtd",,$A$2,"."&amp;U$2&amp;U$1&amp;"P"&amp;$A20)="N/A",0,RTD("tos.rtd",,$A$2,"."&amp;U$2&amp;U$1&amp;"P"&amp;$A20))</f>
        <v>0</v>
      </c>
      <c r="V20" s="56">
        <f ca="1">IF(RTD("tos.rtd",,$A$2,"."&amp;V$2&amp;V$1&amp;"C"&amp;$A20)="N/A",0,RTD("tos.rtd",,$A$2,"."&amp;V$2&amp;V$1&amp;"C"&amp;$A20))-IF(RTD("tos.rtd",,$A$2,"."&amp;V$2&amp;V$1&amp;"P"&amp;$A20)="N/A",0,RTD("tos.rtd",,$A$2,"."&amp;V$2&amp;V$1&amp;"P"&amp;$A20))</f>
        <v>0</v>
      </c>
      <c r="W20" s="56">
        <f ca="1">IF(RTD("tos.rtd",,$A$2,"."&amp;W$2&amp;W$1&amp;"C"&amp;$A20)="N/A",0,RTD("tos.rtd",,$A$2,"."&amp;W$2&amp;W$1&amp;"C"&amp;$A20))-IF(RTD("tos.rtd",,$A$2,"."&amp;W$2&amp;W$1&amp;"P"&amp;$A20)="N/A",0,RTD("tos.rtd",,$A$2,"."&amp;W$2&amp;W$1&amp;"P"&amp;$A20))</f>
        <v>0</v>
      </c>
      <c r="X20" s="56">
        <f ca="1">IF(RTD("tos.rtd",,$A$2,"."&amp;X$2&amp;X$1&amp;"C"&amp;$A20)="N/A",0,RTD("tos.rtd",,$A$2,"."&amp;X$2&amp;X$1&amp;"C"&amp;$A20))-IF(RTD("tos.rtd",,$A$2,"."&amp;X$2&amp;X$1&amp;"P"&amp;$A20)="N/A",0,RTD("tos.rtd",,$A$2,"."&amp;X$2&amp;X$1&amp;"P"&amp;$A20))</f>
        <v>0</v>
      </c>
      <c r="Y20" s="63">
        <f t="shared" ca="1" si="5"/>
        <v>35192</v>
      </c>
    </row>
    <row r="21" spans="1:25" x14ac:dyDescent="0.25">
      <c r="A21" s="58">
        <f>+Hoja1!A20</f>
        <v>673</v>
      </c>
      <c r="B21" s="56">
        <f ca="1">IF(RTD("tos.rtd",,$A$2,"."&amp;B$2&amp;B$1&amp;"C"&amp;$A21)="N/A",0,RTD("tos.rtd",,$A$2,"."&amp;B$2&amp;B$1&amp;"C"&amp;$A21))-IF(RTD("tos.rtd",,$A$2,"."&amp;B$2&amp;B$1&amp;"P"&amp;$A21)="N/A",0,RTD("tos.rtd",,$A$2,"."&amp;B$2&amp;B$1&amp;"P"&amp;$A21))</f>
        <v>54208</v>
      </c>
      <c r="C21" s="56">
        <f ca="1">IF(RTD("tos.rtd",,$A$2,"."&amp;C$2&amp;C$1&amp;"C"&amp;$A21)="N/A",0,RTD("tos.rtd",,$A$2,"."&amp;C$2&amp;C$1&amp;"C"&amp;$A21))-IF(RTD("tos.rtd",,$A$2,"."&amp;C$2&amp;C$1&amp;"P"&amp;$A21)="N/A",0,RTD("tos.rtd",,$A$2,"."&amp;C$2&amp;C$1&amp;"P"&amp;$A21))</f>
        <v>4545</v>
      </c>
      <c r="D21" s="56">
        <f ca="1">IF(RTD("tos.rtd",,$A$2,"."&amp;D$2&amp;D$1&amp;"C"&amp;$A21)="N/A",0,RTD("tos.rtd",,$A$2,"."&amp;D$2&amp;D$1&amp;"C"&amp;$A21))-IF(RTD("tos.rtd",,$A$2,"."&amp;D$2&amp;D$1&amp;"P"&amp;$A21)="N/A",0,RTD("tos.rtd",,$A$2,"."&amp;D$2&amp;D$1&amp;"P"&amp;$A21))</f>
        <v>2810</v>
      </c>
      <c r="E21" s="56">
        <f ca="1">IF(RTD("tos.rtd",,$A$2,"."&amp;E$2&amp;E$1&amp;"C"&amp;$A21)="N/A",0,RTD("tos.rtd",,$A$2,"."&amp;E$2&amp;E$1&amp;"C"&amp;$A21))-IF(RTD("tos.rtd",,$A$2,"."&amp;E$2&amp;E$1&amp;"P"&amp;$A21)="N/A",0,RTD("tos.rtd",,$A$2,"."&amp;E$2&amp;E$1&amp;"P"&amp;$A21))</f>
        <v>686</v>
      </c>
      <c r="F21" s="56">
        <f ca="1">IF(RTD("tos.rtd",,$A$2,"."&amp;F$2&amp;F$1&amp;"C"&amp;$A21)="N/A",0,RTD("tos.rtd",,$A$2,"."&amp;F$2&amp;F$1&amp;"C"&amp;$A21))-IF(RTD("tos.rtd",,$A$2,"."&amp;F$2&amp;F$1&amp;"P"&amp;$A21)="N/A",0,RTD("tos.rtd",,$A$2,"."&amp;F$2&amp;F$1&amp;"P"&amp;$A21))</f>
        <v>0</v>
      </c>
      <c r="G21" s="56">
        <f ca="1">IF(RTD("tos.rtd",,$A$2,"."&amp;G$2&amp;G$1&amp;"C"&amp;$A21)="N/A",0,RTD("tos.rtd",,$A$2,"."&amp;G$2&amp;G$1&amp;"C"&amp;$A21))-IF(RTD("tos.rtd",,$A$2,"."&amp;G$2&amp;G$1&amp;"P"&amp;$A21)="N/A",0,RTD("tos.rtd",,$A$2,"."&amp;G$2&amp;G$1&amp;"P"&amp;$A21))</f>
        <v>0</v>
      </c>
      <c r="H21" s="56">
        <f ca="1">IF(RTD("tos.rtd",,$A$2,"."&amp;H$2&amp;H$1&amp;"C"&amp;$A21)="N/A",0,RTD("tos.rtd",,$A$2,"."&amp;H$2&amp;H$1&amp;"C"&amp;$A21))-IF(RTD("tos.rtd",,$A$2,"."&amp;H$2&amp;H$1&amp;"P"&amp;$A21)="N/A",0,RTD("tos.rtd",,$A$2,"."&amp;H$2&amp;H$1&amp;"P"&amp;$A21))</f>
        <v>541</v>
      </c>
      <c r="I21" s="56">
        <f ca="1">IF(RTD("tos.rtd",,$A$2,"."&amp;I$2&amp;I$1&amp;"C"&amp;$A21)="N/A",0,RTD("tos.rtd",,$A$2,"."&amp;I$2&amp;I$1&amp;"C"&amp;$A21))-IF(RTD("tos.rtd",,$A$2,"."&amp;I$2&amp;I$1&amp;"P"&amp;$A21)="N/A",0,RTD("tos.rtd",,$A$2,"."&amp;I$2&amp;I$1&amp;"P"&amp;$A21))</f>
        <v>302</v>
      </c>
      <c r="J21" s="56">
        <f ca="1">IF(RTD("tos.rtd",,$A$2,"."&amp;J$2&amp;J$1&amp;"C"&amp;$A21)="N/A",0,RTD("tos.rtd",,$A$2,"."&amp;J$2&amp;J$1&amp;"C"&amp;$A21))-IF(RTD("tos.rtd",,$A$2,"."&amp;J$2&amp;J$1&amp;"P"&amp;$A21)="N/A",0,RTD("tos.rtd",,$A$2,"."&amp;J$2&amp;J$1&amp;"P"&amp;$A21))</f>
        <v>-59</v>
      </c>
      <c r="K21" s="56">
        <f ca="1">IF(RTD("tos.rtd",,$A$2,"."&amp;K$2&amp;K$1&amp;"C"&amp;$A21)="N/A",0,RTD("tos.rtd",,$A$2,"."&amp;K$2&amp;K$1&amp;"C"&amp;$A21))-IF(RTD("tos.rtd",,$A$2,"."&amp;K$2&amp;K$1&amp;"P"&amp;$A21)="N/A",0,RTD("tos.rtd",,$A$2,"."&amp;K$2&amp;K$1&amp;"P"&amp;$A21))</f>
        <v>452</v>
      </c>
      <c r="L21" s="56">
        <f ca="1">IF(RTD("tos.rtd",,$A$2,"."&amp;L$2&amp;L$1&amp;"C"&amp;$A21)="N/A",0,RTD("tos.rtd",,$A$2,"."&amp;L$2&amp;L$1&amp;"C"&amp;$A21))-IF(RTD("tos.rtd",,$A$2,"."&amp;L$2&amp;L$1&amp;"P"&amp;$A21)="N/A",0,RTD("tos.rtd",,$A$2,"."&amp;L$2&amp;L$1&amp;"P"&amp;$A21))</f>
        <v>0</v>
      </c>
      <c r="M21" s="56">
        <f ca="1">IF(RTD("tos.rtd",,$A$2,"."&amp;M$2&amp;M$1&amp;"C"&amp;$A21)="N/A",0,RTD("tos.rtd",,$A$2,"."&amp;M$2&amp;M$1&amp;"C"&amp;$A21))-IF(RTD("tos.rtd",,$A$2,"."&amp;M$2&amp;M$1&amp;"P"&amp;$A21)="N/A",0,RTD("tos.rtd",,$A$2,"."&amp;M$2&amp;M$1&amp;"P"&amp;$A21))</f>
        <v>-95</v>
      </c>
      <c r="N21" s="56">
        <f ca="1">IF(RTD("tos.rtd",,$A$2,"."&amp;N$2&amp;N$1&amp;"C"&amp;$A21)="N/A",0,RTD("tos.rtd",,$A$2,"."&amp;N$2&amp;N$1&amp;"C"&amp;$A21))-IF(RTD("tos.rtd",,$A$2,"."&amp;N$2&amp;N$1&amp;"P"&amp;$A21)="N/A",0,RTD("tos.rtd",,$A$2,"."&amp;N$2&amp;N$1&amp;"P"&amp;$A21))</f>
        <v>0</v>
      </c>
      <c r="O21" s="56">
        <f ca="1">IF(RTD("tos.rtd",,$A$2,"."&amp;O$2&amp;O$1&amp;"C"&amp;$A21)="N/A",0,RTD("tos.rtd",,$A$2,"."&amp;O$2&amp;O$1&amp;"C"&amp;$A21))-IF(RTD("tos.rtd",,$A$2,"."&amp;O$2&amp;O$1&amp;"P"&amp;$A21)="N/A",0,RTD("tos.rtd",,$A$2,"."&amp;O$2&amp;O$1&amp;"P"&amp;$A21))</f>
        <v>-53</v>
      </c>
      <c r="P21" s="56">
        <f ca="1">IF(RTD("tos.rtd",,$A$2,"."&amp;P$2&amp;P$1&amp;"C"&amp;$A21)="N/A",0,RTD("tos.rtd",,$A$2,"."&amp;P$2&amp;P$1&amp;"C"&amp;$A21))-IF(RTD("tos.rtd",,$A$2,"."&amp;P$2&amp;P$1&amp;"P"&amp;$A21)="N/A",0,RTD("tos.rtd",,$A$2,"."&amp;P$2&amp;P$1&amp;"P"&amp;$A21))</f>
        <v>-126</v>
      </c>
      <c r="Q21" s="56">
        <f ca="1">IF(RTD("tos.rtd",,$A$2,"."&amp;Q$2&amp;Q$1&amp;"C"&amp;$A21)="N/A",0,RTD("tos.rtd",,$A$2,"."&amp;Q$2&amp;Q$1&amp;"C"&amp;$A21))-IF(RTD("tos.rtd",,$A$2,"."&amp;Q$2&amp;Q$1&amp;"P"&amp;$A21)="N/A",0,RTD("tos.rtd",,$A$2,"."&amp;Q$2&amp;Q$1&amp;"P"&amp;$A21))</f>
        <v>0</v>
      </c>
      <c r="R21" s="56">
        <f ca="1">IF(RTD("tos.rtd",,$A$2,"."&amp;R$2&amp;R$1&amp;"C"&amp;$A21)="N/A",0,RTD("tos.rtd",,$A$2,"."&amp;R$2&amp;R$1&amp;"C"&amp;$A21))-IF(RTD("tos.rtd",,$A$2,"."&amp;R$2&amp;R$1&amp;"P"&amp;$A21)="N/A",0,RTD("tos.rtd",,$A$2,"."&amp;R$2&amp;R$1&amp;"P"&amp;$A21))</f>
        <v>0</v>
      </c>
      <c r="S21" s="56">
        <f ca="1">IF(RTD("tos.rtd",,$A$2,"."&amp;S$2&amp;S$1&amp;"C"&amp;$A21)="N/A",0,RTD("tos.rtd",,$A$2,"."&amp;S$2&amp;S$1&amp;"C"&amp;$A21))-IF(RTD("tos.rtd",,$A$2,"."&amp;S$2&amp;S$1&amp;"P"&amp;$A21)="N/A",0,RTD("tos.rtd",,$A$2,"."&amp;S$2&amp;S$1&amp;"P"&amp;$A21))</f>
        <v>0</v>
      </c>
      <c r="T21" s="56">
        <f ca="1">IF(RTD("tos.rtd",,$A$2,"."&amp;T$2&amp;T$1&amp;"C"&amp;$A21)="N/A",0,RTD("tos.rtd",,$A$2,"."&amp;T$2&amp;T$1&amp;"C"&amp;$A21))-IF(RTD("tos.rtd",,$A$2,"."&amp;T$2&amp;T$1&amp;"P"&amp;$A21)="N/A",0,RTD("tos.rtd",,$A$2,"."&amp;T$2&amp;T$1&amp;"P"&amp;$A21))</f>
        <v>0</v>
      </c>
      <c r="U21" s="56">
        <f ca="1">IF(RTD("tos.rtd",,$A$2,"."&amp;U$2&amp;U$1&amp;"C"&amp;$A21)="N/A",0,RTD("tos.rtd",,$A$2,"."&amp;U$2&amp;U$1&amp;"C"&amp;$A21))-IF(RTD("tos.rtd",,$A$2,"."&amp;U$2&amp;U$1&amp;"P"&amp;$A21)="N/A",0,RTD("tos.rtd",,$A$2,"."&amp;U$2&amp;U$1&amp;"P"&amp;$A21))</f>
        <v>0</v>
      </c>
      <c r="V21" s="56">
        <f ca="1">IF(RTD("tos.rtd",,$A$2,"."&amp;V$2&amp;V$1&amp;"C"&amp;$A21)="N/A",0,RTD("tos.rtd",,$A$2,"."&amp;V$2&amp;V$1&amp;"C"&amp;$A21))-IF(RTD("tos.rtd",,$A$2,"."&amp;V$2&amp;V$1&amp;"P"&amp;$A21)="N/A",0,RTD("tos.rtd",,$A$2,"."&amp;V$2&amp;V$1&amp;"P"&amp;$A21))</f>
        <v>0</v>
      </c>
      <c r="W21" s="56">
        <f ca="1">IF(RTD("tos.rtd",,$A$2,"."&amp;W$2&amp;W$1&amp;"C"&amp;$A21)="N/A",0,RTD("tos.rtd",,$A$2,"."&amp;W$2&amp;W$1&amp;"C"&amp;$A21))-IF(RTD("tos.rtd",,$A$2,"."&amp;W$2&amp;W$1&amp;"P"&amp;$A21)="N/A",0,RTD("tos.rtd",,$A$2,"."&amp;W$2&amp;W$1&amp;"P"&amp;$A21))</f>
        <v>0</v>
      </c>
      <c r="X21" s="56">
        <f ca="1">IF(RTD("tos.rtd",,$A$2,"."&amp;X$2&amp;X$1&amp;"C"&amp;$A21)="N/A",0,RTD("tos.rtd",,$A$2,"."&amp;X$2&amp;X$1&amp;"C"&amp;$A21))-IF(RTD("tos.rtd",,$A$2,"."&amp;X$2&amp;X$1&amp;"P"&amp;$A21)="N/A",0,RTD("tos.rtd",,$A$2,"."&amp;X$2&amp;X$1&amp;"P"&amp;$A21))</f>
        <v>0</v>
      </c>
      <c r="Y21" s="63">
        <f t="shared" ca="1" si="5"/>
        <v>63211</v>
      </c>
    </row>
    <row r="22" spans="1:25" x14ac:dyDescent="0.25">
      <c r="A22" s="58">
        <f>+Hoja1!A21</f>
        <v>672</v>
      </c>
      <c r="B22" s="56">
        <f ca="1">IF(RTD("tos.rtd",,$A$2,"."&amp;B$2&amp;B$1&amp;"C"&amp;$A22)="N/A",0,RTD("tos.rtd",,$A$2,"."&amp;B$2&amp;B$1&amp;"C"&amp;$A22))-IF(RTD("tos.rtd",,$A$2,"."&amp;B$2&amp;B$1&amp;"P"&amp;$A22)="N/A",0,RTD("tos.rtd",,$A$2,"."&amp;B$2&amp;B$1&amp;"P"&amp;$A22))</f>
        <v>28868</v>
      </c>
      <c r="C22" s="56">
        <f ca="1">IF(RTD("tos.rtd",,$A$2,"."&amp;C$2&amp;C$1&amp;"C"&amp;$A22)="N/A",0,RTD("tos.rtd",,$A$2,"."&amp;C$2&amp;C$1&amp;"C"&amp;$A22))-IF(RTD("tos.rtd",,$A$2,"."&amp;C$2&amp;C$1&amp;"P"&amp;$A22)="N/A",0,RTD("tos.rtd",,$A$2,"."&amp;C$2&amp;C$1&amp;"P"&amp;$A22))</f>
        <v>7036</v>
      </c>
      <c r="D22" s="56">
        <f ca="1">IF(RTD("tos.rtd",,$A$2,"."&amp;D$2&amp;D$1&amp;"C"&amp;$A22)="N/A",0,RTD("tos.rtd",,$A$2,"."&amp;D$2&amp;D$1&amp;"C"&amp;$A22))-IF(RTD("tos.rtd",,$A$2,"."&amp;D$2&amp;D$1&amp;"P"&amp;$A22)="N/A",0,RTD("tos.rtd",,$A$2,"."&amp;D$2&amp;D$1&amp;"P"&amp;$A22))</f>
        <v>8712</v>
      </c>
      <c r="E22" s="56">
        <f ca="1">IF(RTD("tos.rtd",,$A$2,"."&amp;E$2&amp;E$1&amp;"C"&amp;$A22)="N/A",0,RTD("tos.rtd",,$A$2,"."&amp;E$2&amp;E$1&amp;"C"&amp;$A22))-IF(RTD("tos.rtd",,$A$2,"."&amp;E$2&amp;E$1&amp;"P"&amp;$A22)="N/A",0,RTD("tos.rtd",,$A$2,"."&amp;E$2&amp;E$1&amp;"P"&amp;$A22))</f>
        <v>3635</v>
      </c>
      <c r="F22" s="56">
        <f ca="1">IF(RTD("tos.rtd",,$A$2,"."&amp;F$2&amp;F$1&amp;"C"&amp;$A22)="N/A",0,RTD("tos.rtd",,$A$2,"."&amp;F$2&amp;F$1&amp;"C"&amp;$A22))-IF(RTD("tos.rtd",,$A$2,"."&amp;F$2&amp;F$1&amp;"P"&amp;$A22)="N/A",0,RTD("tos.rtd",,$A$2,"."&amp;F$2&amp;F$1&amp;"P"&amp;$A22))</f>
        <v>0</v>
      </c>
      <c r="G22" s="56">
        <f ca="1">IF(RTD("tos.rtd",,$A$2,"."&amp;G$2&amp;G$1&amp;"C"&amp;$A22)="N/A",0,RTD("tos.rtd",,$A$2,"."&amp;G$2&amp;G$1&amp;"C"&amp;$A22))-IF(RTD("tos.rtd",,$A$2,"."&amp;G$2&amp;G$1&amp;"P"&amp;$A22)="N/A",0,RTD("tos.rtd",,$A$2,"."&amp;G$2&amp;G$1&amp;"P"&amp;$A22))</f>
        <v>0</v>
      </c>
      <c r="H22" s="56">
        <f ca="1">IF(RTD("tos.rtd",,$A$2,"."&amp;H$2&amp;H$1&amp;"C"&amp;$A22)="N/A",0,RTD("tos.rtd",,$A$2,"."&amp;H$2&amp;H$1&amp;"C"&amp;$A22))-IF(RTD("tos.rtd",,$A$2,"."&amp;H$2&amp;H$1&amp;"P"&amp;$A22)="N/A",0,RTD("tos.rtd",,$A$2,"."&amp;H$2&amp;H$1&amp;"P"&amp;$A22))</f>
        <v>50</v>
      </c>
      <c r="I22" s="56">
        <f ca="1">IF(RTD("tos.rtd",,$A$2,"."&amp;I$2&amp;I$1&amp;"C"&amp;$A22)="N/A",0,RTD("tos.rtd",,$A$2,"."&amp;I$2&amp;I$1&amp;"C"&amp;$A22))-IF(RTD("tos.rtd",,$A$2,"."&amp;I$2&amp;I$1&amp;"P"&amp;$A22)="N/A",0,RTD("tos.rtd",,$A$2,"."&amp;I$2&amp;I$1&amp;"P"&amp;$A22))</f>
        <v>246</v>
      </c>
      <c r="J22" s="56">
        <f ca="1">IF(RTD("tos.rtd",,$A$2,"."&amp;J$2&amp;J$1&amp;"C"&amp;$A22)="N/A",0,RTD("tos.rtd",,$A$2,"."&amp;J$2&amp;J$1&amp;"C"&amp;$A22))-IF(RTD("tos.rtd",,$A$2,"."&amp;J$2&amp;J$1&amp;"P"&amp;$A22)="N/A",0,RTD("tos.rtd",,$A$2,"."&amp;J$2&amp;J$1&amp;"P"&amp;$A22))</f>
        <v>144</v>
      </c>
      <c r="K22" s="56">
        <f ca="1">IF(RTD("tos.rtd",,$A$2,"."&amp;K$2&amp;K$1&amp;"C"&amp;$A22)="N/A",0,RTD("tos.rtd",,$A$2,"."&amp;K$2&amp;K$1&amp;"C"&amp;$A22))-IF(RTD("tos.rtd",,$A$2,"."&amp;K$2&amp;K$1&amp;"P"&amp;$A22)="N/A",0,RTD("tos.rtd",,$A$2,"."&amp;K$2&amp;K$1&amp;"P"&amp;$A22))</f>
        <v>106</v>
      </c>
      <c r="L22" s="56">
        <f ca="1">IF(RTD("tos.rtd",,$A$2,"."&amp;L$2&amp;L$1&amp;"C"&amp;$A22)="N/A",0,RTD("tos.rtd",,$A$2,"."&amp;L$2&amp;L$1&amp;"C"&amp;$A22))-IF(RTD("tos.rtd",,$A$2,"."&amp;L$2&amp;L$1&amp;"P"&amp;$A22)="N/A",0,RTD("tos.rtd",,$A$2,"."&amp;L$2&amp;L$1&amp;"P"&amp;$A22))</f>
        <v>0</v>
      </c>
      <c r="M22" s="56">
        <f ca="1">IF(RTD("tos.rtd",,$A$2,"."&amp;M$2&amp;M$1&amp;"C"&amp;$A22)="N/A",0,RTD("tos.rtd",,$A$2,"."&amp;M$2&amp;M$1&amp;"C"&amp;$A22))-IF(RTD("tos.rtd",,$A$2,"."&amp;M$2&amp;M$1&amp;"P"&amp;$A22)="N/A",0,RTD("tos.rtd",,$A$2,"."&amp;M$2&amp;M$1&amp;"P"&amp;$A22))</f>
        <v>-219</v>
      </c>
      <c r="N22" s="56">
        <f ca="1">IF(RTD("tos.rtd",,$A$2,"."&amp;N$2&amp;N$1&amp;"C"&amp;$A22)="N/A",0,RTD("tos.rtd",,$A$2,"."&amp;N$2&amp;N$1&amp;"C"&amp;$A22))-IF(RTD("tos.rtd",,$A$2,"."&amp;N$2&amp;N$1&amp;"P"&amp;$A22)="N/A",0,RTD("tos.rtd",,$A$2,"."&amp;N$2&amp;N$1&amp;"P"&amp;$A22))</f>
        <v>0</v>
      </c>
      <c r="O22" s="56">
        <f ca="1">IF(RTD("tos.rtd",,$A$2,"."&amp;O$2&amp;O$1&amp;"C"&amp;$A22)="N/A",0,RTD("tos.rtd",,$A$2,"."&amp;O$2&amp;O$1&amp;"C"&amp;$A22))-IF(RTD("tos.rtd",,$A$2,"."&amp;O$2&amp;O$1&amp;"P"&amp;$A22)="N/A",0,RTD("tos.rtd",,$A$2,"."&amp;O$2&amp;O$1&amp;"P"&amp;$A22))</f>
        <v>-12</v>
      </c>
      <c r="P22" s="56">
        <f ca="1">IF(RTD("tos.rtd",,$A$2,"."&amp;P$2&amp;P$1&amp;"C"&amp;$A22)="N/A",0,RTD("tos.rtd",,$A$2,"."&amp;P$2&amp;P$1&amp;"C"&amp;$A22))-IF(RTD("tos.rtd",,$A$2,"."&amp;P$2&amp;P$1&amp;"P"&amp;$A22)="N/A",0,RTD("tos.rtd",,$A$2,"."&amp;P$2&amp;P$1&amp;"P"&amp;$A22))</f>
        <v>1</v>
      </c>
      <c r="Q22" s="56">
        <f ca="1">IF(RTD("tos.rtd",,$A$2,"."&amp;Q$2&amp;Q$1&amp;"C"&amp;$A22)="N/A",0,RTD("tos.rtd",,$A$2,"."&amp;Q$2&amp;Q$1&amp;"C"&amp;$A22))-IF(RTD("tos.rtd",,$A$2,"."&amp;Q$2&amp;Q$1&amp;"P"&amp;$A22)="N/A",0,RTD("tos.rtd",,$A$2,"."&amp;Q$2&amp;Q$1&amp;"P"&amp;$A22))</f>
        <v>0</v>
      </c>
      <c r="R22" s="56">
        <f ca="1">IF(RTD("tos.rtd",,$A$2,"."&amp;R$2&amp;R$1&amp;"C"&amp;$A22)="N/A",0,RTD("tos.rtd",,$A$2,"."&amp;R$2&amp;R$1&amp;"C"&amp;$A22))-IF(RTD("tos.rtd",,$A$2,"."&amp;R$2&amp;R$1&amp;"P"&amp;$A22)="N/A",0,RTD("tos.rtd",,$A$2,"."&amp;R$2&amp;R$1&amp;"P"&amp;$A22))</f>
        <v>0</v>
      </c>
      <c r="S22" s="56">
        <f ca="1">IF(RTD("tos.rtd",,$A$2,"."&amp;S$2&amp;S$1&amp;"C"&amp;$A22)="N/A",0,RTD("tos.rtd",,$A$2,"."&amp;S$2&amp;S$1&amp;"C"&amp;$A22))-IF(RTD("tos.rtd",,$A$2,"."&amp;S$2&amp;S$1&amp;"P"&amp;$A22)="N/A",0,RTD("tos.rtd",,$A$2,"."&amp;S$2&amp;S$1&amp;"P"&amp;$A22))</f>
        <v>0</v>
      </c>
      <c r="T22" s="56">
        <f ca="1">IF(RTD("tos.rtd",,$A$2,"."&amp;T$2&amp;T$1&amp;"C"&amp;$A22)="N/A",0,RTD("tos.rtd",,$A$2,"."&amp;T$2&amp;T$1&amp;"C"&amp;$A22))-IF(RTD("tos.rtd",,$A$2,"."&amp;T$2&amp;T$1&amp;"P"&amp;$A22)="N/A",0,RTD("tos.rtd",,$A$2,"."&amp;T$2&amp;T$1&amp;"P"&amp;$A22))</f>
        <v>0</v>
      </c>
      <c r="U22" s="56">
        <f ca="1">IF(RTD("tos.rtd",,$A$2,"."&amp;U$2&amp;U$1&amp;"C"&amp;$A22)="N/A",0,RTD("tos.rtd",,$A$2,"."&amp;U$2&amp;U$1&amp;"C"&amp;$A22))-IF(RTD("tos.rtd",,$A$2,"."&amp;U$2&amp;U$1&amp;"P"&amp;$A22)="N/A",0,RTD("tos.rtd",,$A$2,"."&amp;U$2&amp;U$1&amp;"P"&amp;$A22))</f>
        <v>0</v>
      </c>
      <c r="V22" s="56">
        <f ca="1">IF(RTD("tos.rtd",,$A$2,"."&amp;V$2&amp;V$1&amp;"C"&amp;$A22)="N/A",0,RTD("tos.rtd",,$A$2,"."&amp;V$2&amp;V$1&amp;"C"&amp;$A22))-IF(RTD("tos.rtd",,$A$2,"."&amp;V$2&amp;V$1&amp;"P"&amp;$A22)="N/A",0,RTD("tos.rtd",,$A$2,"."&amp;V$2&amp;V$1&amp;"P"&amp;$A22))</f>
        <v>0</v>
      </c>
      <c r="W22" s="56">
        <f ca="1">IF(RTD("tos.rtd",,$A$2,"."&amp;W$2&amp;W$1&amp;"C"&amp;$A22)="N/A",0,RTD("tos.rtd",,$A$2,"."&amp;W$2&amp;W$1&amp;"C"&amp;$A22))-IF(RTD("tos.rtd",,$A$2,"."&amp;W$2&amp;W$1&amp;"P"&amp;$A22)="N/A",0,RTD("tos.rtd",,$A$2,"."&amp;W$2&amp;W$1&amp;"P"&amp;$A22))</f>
        <v>0</v>
      </c>
      <c r="X22" s="56">
        <f ca="1">IF(RTD("tos.rtd",,$A$2,"."&amp;X$2&amp;X$1&amp;"C"&amp;$A22)="N/A",0,RTD("tos.rtd",,$A$2,"."&amp;X$2&amp;X$1&amp;"C"&amp;$A22))-IF(RTD("tos.rtd",,$A$2,"."&amp;X$2&amp;X$1&amp;"P"&amp;$A22)="N/A",0,RTD("tos.rtd",,$A$2,"."&amp;X$2&amp;X$1&amp;"P"&amp;$A22))</f>
        <v>0</v>
      </c>
      <c r="Y22" s="63">
        <f t="shared" ca="1" si="5"/>
        <v>48567</v>
      </c>
    </row>
    <row r="23" spans="1:25" x14ac:dyDescent="0.25">
      <c r="A23" s="58">
        <f>+Hoja1!A22</f>
        <v>671</v>
      </c>
      <c r="B23" s="56">
        <f ca="1">IF(RTD("tos.rtd",,$A$2,"."&amp;B$2&amp;B$1&amp;"C"&amp;$A23)="N/A",0,RTD("tos.rtd",,$A$2,"."&amp;B$2&amp;B$1&amp;"C"&amp;$A23))-IF(RTD("tos.rtd",,$A$2,"."&amp;B$2&amp;B$1&amp;"P"&amp;$A23)="N/A",0,RTD("tos.rtd",,$A$2,"."&amp;B$2&amp;B$1&amp;"P"&amp;$A23))</f>
        <v>25689</v>
      </c>
      <c r="C23" s="56">
        <f ca="1">IF(RTD("tos.rtd",,$A$2,"."&amp;C$2&amp;C$1&amp;"C"&amp;$A23)="N/A",0,RTD("tos.rtd",,$A$2,"."&amp;C$2&amp;C$1&amp;"C"&amp;$A23))-IF(RTD("tos.rtd",,$A$2,"."&amp;C$2&amp;C$1&amp;"P"&amp;$A23)="N/A",0,RTD("tos.rtd",,$A$2,"."&amp;C$2&amp;C$1&amp;"P"&amp;$A23))</f>
        <v>15337</v>
      </c>
      <c r="D23" s="56">
        <f ca="1">IF(RTD("tos.rtd",,$A$2,"."&amp;D$2&amp;D$1&amp;"C"&amp;$A23)="N/A",0,RTD("tos.rtd",,$A$2,"."&amp;D$2&amp;D$1&amp;"C"&amp;$A23))-IF(RTD("tos.rtd",,$A$2,"."&amp;D$2&amp;D$1&amp;"P"&amp;$A23)="N/A",0,RTD("tos.rtd",,$A$2,"."&amp;D$2&amp;D$1&amp;"P"&amp;$A23))</f>
        <v>4051</v>
      </c>
      <c r="E23" s="56">
        <f ca="1">IF(RTD("tos.rtd",,$A$2,"."&amp;E$2&amp;E$1&amp;"C"&amp;$A23)="N/A",0,RTD("tos.rtd",,$A$2,"."&amp;E$2&amp;E$1&amp;"C"&amp;$A23))-IF(RTD("tos.rtd",,$A$2,"."&amp;E$2&amp;E$1&amp;"P"&amp;$A23)="N/A",0,RTD("tos.rtd",,$A$2,"."&amp;E$2&amp;E$1&amp;"P"&amp;$A23))</f>
        <v>228</v>
      </c>
      <c r="F23" s="56">
        <f ca="1">IF(RTD("tos.rtd",,$A$2,"."&amp;F$2&amp;F$1&amp;"C"&amp;$A23)="N/A",0,RTD("tos.rtd",,$A$2,"."&amp;F$2&amp;F$1&amp;"C"&amp;$A23))-IF(RTD("tos.rtd",,$A$2,"."&amp;F$2&amp;F$1&amp;"P"&amp;$A23)="N/A",0,RTD("tos.rtd",,$A$2,"."&amp;F$2&amp;F$1&amp;"P"&amp;$A23))</f>
        <v>0</v>
      </c>
      <c r="G23" s="56">
        <f ca="1">IF(RTD("tos.rtd",,$A$2,"."&amp;G$2&amp;G$1&amp;"C"&amp;$A23)="N/A",0,RTD("tos.rtd",,$A$2,"."&amp;G$2&amp;G$1&amp;"C"&amp;$A23))-IF(RTD("tos.rtd",,$A$2,"."&amp;G$2&amp;G$1&amp;"P"&amp;$A23)="N/A",0,RTD("tos.rtd",,$A$2,"."&amp;G$2&amp;G$1&amp;"P"&amp;$A23))</f>
        <v>0</v>
      </c>
      <c r="H23" s="56">
        <f ca="1">IF(RTD("tos.rtd",,$A$2,"."&amp;H$2&amp;H$1&amp;"C"&amp;$A23)="N/A",0,RTD("tos.rtd",,$A$2,"."&amp;H$2&amp;H$1&amp;"C"&amp;$A23))-IF(RTD("tos.rtd",,$A$2,"."&amp;H$2&amp;H$1&amp;"P"&amp;$A23)="N/A",0,RTD("tos.rtd",,$A$2,"."&amp;H$2&amp;H$1&amp;"P"&amp;$A23))</f>
        <v>61</v>
      </c>
      <c r="I23" s="56">
        <f ca="1">IF(RTD("tos.rtd",,$A$2,"."&amp;I$2&amp;I$1&amp;"C"&amp;$A23)="N/A",0,RTD("tos.rtd",,$A$2,"."&amp;I$2&amp;I$1&amp;"C"&amp;$A23))-IF(RTD("tos.rtd",,$A$2,"."&amp;I$2&amp;I$1&amp;"P"&amp;$A23)="N/A",0,RTD("tos.rtd",,$A$2,"."&amp;I$2&amp;I$1&amp;"P"&amp;$A23))</f>
        <v>72</v>
      </c>
      <c r="J23" s="56">
        <f ca="1">IF(RTD("tos.rtd",,$A$2,"."&amp;J$2&amp;J$1&amp;"C"&amp;$A23)="N/A",0,RTD("tos.rtd",,$A$2,"."&amp;J$2&amp;J$1&amp;"C"&amp;$A23))-IF(RTD("tos.rtd",,$A$2,"."&amp;J$2&amp;J$1&amp;"P"&amp;$A23)="N/A",0,RTD("tos.rtd",,$A$2,"."&amp;J$2&amp;J$1&amp;"P"&amp;$A23))</f>
        <v>75</v>
      </c>
      <c r="K23" s="56">
        <f ca="1">IF(RTD("tos.rtd",,$A$2,"."&amp;K$2&amp;K$1&amp;"C"&amp;$A23)="N/A",0,RTD("tos.rtd",,$A$2,"."&amp;K$2&amp;K$1&amp;"C"&amp;$A23))-IF(RTD("tos.rtd",,$A$2,"."&amp;K$2&amp;K$1&amp;"P"&amp;$A23)="N/A",0,RTD("tos.rtd",,$A$2,"."&amp;K$2&amp;K$1&amp;"P"&amp;$A23))</f>
        <v>534</v>
      </c>
      <c r="L23" s="56">
        <f ca="1">IF(RTD("tos.rtd",,$A$2,"."&amp;L$2&amp;L$1&amp;"C"&amp;$A23)="N/A",0,RTD("tos.rtd",,$A$2,"."&amp;L$2&amp;L$1&amp;"C"&amp;$A23))-IF(RTD("tos.rtd",,$A$2,"."&amp;L$2&amp;L$1&amp;"P"&amp;$A23)="N/A",0,RTD("tos.rtd",,$A$2,"."&amp;L$2&amp;L$1&amp;"P"&amp;$A23))</f>
        <v>0</v>
      </c>
      <c r="M23" s="56">
        <f ca="1">IF(RTD("tos.rtd",,$A$2,"."&amp;M$2&amp;M$1&amp;"C"&amp;$A23)="N/A",0,RTD("tos.rtd",,$A$2,"."&amp;M$2&amp;M$1&amp;"C"&amp;$A23))-IF(RTD("tos.rtd",,$A$2,"."&amp;M$2&amp;M$1&amp;"P"&amp;$A23)="N/A",0,RTD("tos.rtd",,$A$2,"."&amp;M$2&amp;M$1&amp;"P"&amp;$A23))</f>
        <v>18</v>
      </c>
      <c r="N23" s="56">
        <f ca="1">IF(RTD("tos.rtd",,$A$2,"."&amp;N$2&amp;N$1&amp;"C"&amp;$A23)="N/A",0,RTD("tos.rtd",,$A$2,"."&amp;N$2&amp;N$1&amp;"C"&amp;$A23))-IF(RTD("tos.rtd",,$A$2,"."&amp;N$2&amp;N$1&amp;"P"&amp;$A23)="N/A",0,RTD("tos.rtd",,$A$2,"."&amp;N$2&amp;N$1&amp;"P"&amp;$A23))</f>
        <v>0</v>
      </c>
      <c r="O23" s="56">
        <f ca="1">IF(RTD("tos.rtd",,$A$2,"."&amp;O$2&amp;O$1&amp;"C"&amp;$A23)="N/A",0,RTD("tos.rtd",,$A$2,"."&amp;O$2&amp;O$1&amp;"C"&amp;$A23))-IF(RTD("tos.rtd",,$A$2,"."&amp;O$2&amp;O$1&amp;"P"&amp;$A23)="N/A",0,RTD("tos.rtd",,$A$2,"."&amp;O$2&amp;O$1&amp;"P"&amp;$A23))</f>
        <v>508</v>
      </c>
      <c r="P23" s="56">
        <f ca="1">IF(RTD("tos.rtd",,$A$2,"."&amp;P$2&amp;P$1&amp;"C"&amp;$A23)="N/A",0,RTD("tos.rtd",,$A$2,"."&amp;P$2&amp;P$1&amp;"C"&amp;$A23))-IF(RTD("tos.rtd",,$A$2,"."&amp;P$2&amp;P$1&amp;"P"&amp;$A23)="N/A",0,RTD("tos.rtd",,$A$2,"."&amp;P$2&amp;P$1&amp;"P"&amp;$A23))</f>
        <v>22</v>
      </c>
      <c r="Q23" s="56">
        <f ca="1">IF(RTD("tos.rtd",,$A$2,"."&amp;Q$2&amp;Q$1&amp;"C"&amp;$A23)="N/A",0,RTD("tos.rtd",,$A$2,"."&amp;Q$2&amp;Q$1&amp;"C"&amp;$A23))-IF(RTD("tos.rtd",,$A$2,"."&amp;Q$2&amp;Q$1&amp;"P"&amp;$A23)="N/A",0,RTD("tos.rtd",,$A$2,"."&amp;Q$2&amp;Q$1&amp;"P"&amp;$A23))</f>
        <v>0</v>
      </c>
      <c r="R23" s="56">
        <f ca="1">IF(RTD("tos.rtd",,$A$2,"."&amp;R$2&amp;R$1&amp;"C"&amp;$A23)="N/A",0,RTD("tos.rtd",,$A$2,"."&amp;R$2&amp;R$1&amp;"C"&amp;$A23))-IF(RTD("tos.rtd",,$A$2,"."&amp;R$2&amp;R$1&amp;"P"&amp;$A23)="N/A",0,RTD("tos.rtd",,$A$2,"."&amp;R$2&amp;R$1&amp;"P"&amp;$A23))</f>
        <v>0</v>
      </c>
      <c r="S23" s="56">
        <f ca="1">IF(RTD("tos.rtd",,$A$2,"."&amp;S$2&amp;S$1&amp;"C"&amp;$A23)="N/A",0,RTD("tos.rtd",,$A$2,"."&amp;S$2&amp;S$1&amp;"C"&amp;$A23))-IF(RTD("tos.rtd",,$A$2,"."&amp;S$2&amp;S$1&amp;"P"&amp;$A23)="N/A",0,RTD("tos.rtd",,$A$2,"."&amp;S$2&amp;S$1&amp;"P"&amp;$A23))</f>
        <v>0</v>
      </c>
      <c r="T23" s="56">
        <f ca="1">IF(RTD("tos.rtd",,$A$2,"."&amp;T$2&amp;T$1&amp;"C"&amp;$A23)="N/A",0,RTD("tos.rtd",,$A$2,"."&amp;T$2&amp;T$1&amp;"C"&amp;$A23))-IF(RTD("tos.rtd",,$A$2,"."&amp;T$2&amp;T$1&amp;"P"&amp;$A23)="N/A",0,RTD("tos.rtd",,$A$2,"."&amp;T$2&amp;T$1&amp;"P"&amp;$A23))</f>
        <v>0</v>
      </c>
      <c r="U23" s="56">
        <f ca="1">IF(RTD("tos.rtd",,$A$2,"."&amp;U$2&amp;U$1&amp;"C"&amp;$A23)="N/A",0,RTD("tos.rtd",,$A$2,"."&amp;U$2&amp;U$1&amp;"C"&amp;$A23))-IF(RTD("tos.rtd",,$A$2,"."&amp;U$2&amp;U$1&amp;"P"&amp;$A23)="N/A",0,RTD("tos.rtd",,$A$2,"."&amp;U$2&amp;U$1&amp;"P"&amp;$A23))</f>
        <v>0</v>
      </c>
      <c r="V23" s="56">
        <f ca="1">IF(RTD("tos.rtd",,$A$2,"."&amp;V$2&amp;V$1&amp;"C"&amp;$A23)="N/A",0,RTD("tos.rtd",,$A$2,"."&amp;V$2&amp;V$1&amp;"C"&amp;$A23))-IF(RTD("tos.rtd",,$A$2,"."&amp;V$2&amp;V$1&amp;"P"&amp;$A23)="N/A",0,RTD("tos.rtd",,$A$2,"."&amp;V$2&amp;V$1&amp;"P"&amp;$A23))</f>
        <v>0</v>
      </c>
      <c r="W23" s="56">
        <f ca="1">IF(RTD("tos.rtd",,$A$2,"."&amp;W$2&amp;W$1&amp;"C"&amp;$A23)="N/A",0,RTD("tos.rtd",,$A$2,"."&amp;W$2&amp;W$1&amp;"C"&amp;$A23))-IF(RTD("tos.rtd",,$A$2,"."&amp;W$2&amp;W$1&amp;"P"&amp;$A23)="N/A",0,RTD("tos.rtd",,$A$2,"."&amp;W$2&amp;W$1&amp;"P"&amp;$A23))</f>
        <v>0</v>
      </c>
      <c r="X23" s="56">
        <f ca="1">IF(RTD("tos.rtd",,$A$2,"."&amp;X$2&amp;X$1&amp;"C"&amp;$A23)="N/A",0,RTD("tos.rtd",,$A$2,"."&amp;X$2&amp;X$1&amp;"C"&amp;$A23))-IF(RTD("tos.rtd",,$A$2,"."&amp;X$2&amp;X$1&amp;"P"&amp;$A23)="N/A",0,RTD("tos.rtd",,$A$2,"."&amp;X$2&amp;X$1&amp;"P"&amp;$A23))</f>
        <v>0</v>
      </c>
      <c r="Y23" s="63">
        <f t="shared" ca="1" si="5"/>
        <v>46595</v>
      </c>
    </row>
    <row r="24" spans="1:25" x14ac:dyDescent="0.25">
      <c r="A24" s="58">
        <f>+Hoja1!A23</f>
        <v>670</v>
      </c>
      <c r="B24" s="56">
        <f ca="1">IF(RTD("tos.rtd",,$A$2,"."&amp;B$2&amp;B$1&amp;"C"&amp;$A24)="N/A",0,RTD("tos.rtd",,$A$2,"."&amp;B$2&amp;B$1&amp;"C"&amp;$A24))-IF(RTD("tos.rtd",,$A$2,"."&amp;B$2&amp;B$1&amp;"P"&amp;$A24)="N/A",0,RTD("tos.rtd",,$A$2,"."&amp;B$2&amp;B$1&amp;"P"&amp;$A24))</f>
        <v>83563</v>
      </c>
      <c r="C24" s="56">
        <f ca="1">IF(RTD("tos.rtd",,$A$2,"."&amp;C$2&amp;C$1&amp;"C"&amp;$A24)="N/A",0,RTD("tos.rtd",,$A$2,"."&amp;C$2&amp;C$1&amp;"C"&amp;$A24))-IF(RTD("tos.rtd",,$A$2,"."&amp;C$2&amp;C$1&amp;"P"&amp;$A24)="N/A",0,RTD("tos.rtd",,$A$2,"."&amp;C$2&amp;C$1&amp;"P"&amp;$A24))</f>
        <v>13002</v>
      </c>
      <c r="D24" s="56">
        <f ca="1">IF(RTD("tos.rtd",,$A$2,"."&amp;D$2&amp;D$1&amp;"C"&amp;$A24)="N/A",0,RTD("tos.rtd",,$A$2,"."&amp;D$2&amp;D$1&amp;"C"&amp;$A24))-IF(RTD("tos.rtd",,$A$2,"."&amp;D$2&amp;D$1&amp;"P"&amp;$A24)="N/A",0,RTD("tos.rtd",,$A$2,"."&amp;D$2&amp;D$1&amp;"P"&amp;$A24))</f>
        <v>5070</v>
      </c>
      <c r="E24" s="56">
        <f ca="1">IF(RTD("tos.rtd",,$A$2,"."&amp;E$2&amp;E$1&amp;"C"&amp;$A24)="N/A",0,RTD("tos.rtd",,$A$2,"."&amp;E$2&amp;E$1&amp;"C"&amp;$A24))-IF(RTD("tos.rtd",,$A$2,"."&amp;E$2&amp;E$1&amp;"P"&amp;$A24)="N/A",0,RTD("tos.rtd",,$A$2,"."&amp;E$2&amp;E$1&amp;"P"&amp;$A24))</f>
        <v>2610</v>
      </c>
      <c r="F24" s="56">
        <f ca="1">IF(RTD("tos.rtd",,$A$2,"."&amp;F$2&amp;F$1&amp;"C"&amp;$A24)="N/A",0,RTD("tos.rtd",,$A$2,"."&amp;F$2&amp;F$1&amp;"C"&amp;$A24))-IF(RTD("tos.rtd",,$A$2,"."&amp;F$2&amp;F$1&amp;"P"&amp;$A24)="N/A",0,RTD("tos.rtd",,$A$2,"."&amp;F$2&amp;F$1&amp;"P"&amp;$A24))</f>
        <v>0</v>
      </c>
      <c r="G24" s="56">
        <f ca="1">IF(RTD("tos.rtd",,$A$2,"."&amp;G$2&amp;G$1&amp;"C"&amp;$A24)="N/A",0,RTD("tos.rtd",,$A$2,"."&amp;G$2&amp;G$1&amp;"C"&amp;$A24))-IF(RTD("tos.rtd",,$A$2,"."&amp;G$2&amp;G$1&amp;"P"&amp;$A24)="N/A",0,RTD("tos.rtd",,$A$2,"."&amp;G$2&amp;G$1&amp;"P"&amp;$A24))</f>
        <v>0</v>
      </c>
      <c r="H24" s="56">
        <f ca="1">IF(RTD("tos.rtd",,$A$2,"."&amp;H$2&amp;H$1&amp;"C"&amp;$A24)="N/A",0,RTD("tos.rtd",,$A$2,"."&amp;H$2&amp;H$1&amp;"C"&amp;$A24))-IF(RTD("tos.rtd",,$A$2,"."&amp;H$2&amp;H$1&amp;"P"&amp;$A24)="N/A",0,RTD("tos.rtd",,$A$2,"."&amp;H$2&amp;H$1&amp;"P"&amp;$A24))</f>
        <v>-818</v>
      </c>
      <c r="I24" s="56">
        <f ca="1">IF(RTD("tos.rtd",,$A$2,"."&amp;I$2&amp;I$1&amp;"C"&amp;$A24)="N/A",0,RTD("tos.rtd",,$A$2,"."&amp;I$2&amp;I$1&amp;"C"&amp;$A24))-IF(RTD("tos.rtd",,$A$2,"."&amp;I$2&amp;I$1&amp;"P"&amp;$A24)="N/A",0,RTD("tos.rtd",,$A$2,"."&amp;I$2&amp;I$1&amp;"P"&amp;$A24))</f>
        <v>41</v>
      </c>
      <c r="J24" s="56">
        <f ca="1">IF(RTD("tos.rtd",,$A$2,"."&amp;J$2&amp;J$1&amp;"C"&amp;$A24)="N/A",0,RTD("tos.rtd",,$A$2,"."&amp;J$2&amp;J$1&amp;"C"&amp;$A24))-IF(RTD("tos.rtd",,$A$2,"."&amp;J$2&amp;J$1&amp;"P"&amp;$A24)="N/A",0,RTD("tos.rtd",,$A$2,"."&amp;J$2&amp;J$1&amp;"P"&amp;$A24))</f>
        <v>703</v>
      </c>
      <c r="K24" s="56">
        <f ca="1">IF(RTD("tos.rtd",,$A$2,"."&amp;K$2&amp;K$1&amp;"C"&amp;$A24)="N/A",0,RTD("tos.rtd",,$A$2,"."&amp;K$2&amp;K$1&amp;"C"&amp;$A24))-IF(RTD("tos.rtd",,$A$2,"."&amp;K$2&amp;K$1&amp;"P"&amp;$A24)="N/A",0,RTD("tos.rtd",,$A$2,"."&amp;K$2&amp;K$1&amp;"P"&amp;$A24))</f>
        <v>-20</v>
      </c>
      <c r="L24" s="56">
        <f ca="1">IF(RTD("tos.rtd",,$A$2,"."&amp;L$2&amp;L$1&amp;"C"&amp;$A24)="N/A",0,RTD("tos.rtd",,$A$2,"."&amp;L$2&amp;L$1&amp;"C"&amp;$A24))-IF(RTD("tos.rtd",,$A$2,"."&amp;L$2&amp;L$1&amp;"P"&amp;$A24)="N/A",0,RTD("tos.rtd",,$A$2,"."&amp;L$2&amp;L$1&amp;"P"&amp;$A24))</f>
        <v>0</v>
      </c>
      <c r="M24" s="56">
        <f ca="1">IF(RTD("tos.rtd",,$A$2,"."&amp;M$2&amp;M$1&amp;"C"&amp;$A24)="N/A",0,RTD("tos.rtd",,$A$2,"."&amp;M$2&amp;M$1&amp;"C"&amp;$A24))-IF(RTD("tos.rtd",,$A$2,"."&amp;M$2&amp;M$1&amp;"P"&amp;$A24)="N/A",0,RTD("tos.rtd",,$A$2,"."&amp;M$2&amp;M$1&amp;"P"&amp;$A24))</f>
        <v>-183</v>
      </c>
      <c r="N24" s="56">
        <f ca="1">IF(RTD("tos.rtd",,$A$2,"."&amp;N$2&amp;N$1&amp;"C"&amp;$A24)="N/A",0,RTD("tos.rtd",,$A$2,"."&amp;N$2&amp;N$1&amp;"C"&amp;$A24))-IF(RTD("tos.rtd",,$A$2,"."&amp;N$2&amp;N$1&amp;"P"&amp;$A24)="N/A",0,RTD("tos.rtd",,$A$2,"."&amp;N$2&amp;N$1&amp;"P"&amp;$A24))</f>
        <v>0</v>
      </c>
      <c r="O24" s="56">
        <f ca="1">IF(RTD("tos.rtd",,$A$2,"."&amp;O$2&amp;O$1&amp;"C"&amp;$A24)="N/A",0,RTD("tos.rtd",,$A$2,"."&amp;O$2&amp;O$1&amp;"C"&amp;$A24))-IF(RTD("tos.rtd",,$A$2,"."&amp;O$2&amp;O$1&amp;"P"&amp;$A24)="N/A",0,RTD("tos.rtd",,$A$2,"."&amp;O$2&amp;O$1&amp;"P"&amp;$A24))</f>
        <v>-3574</v>
      </c>
      <c r="P24" s="56">
        <f ca="1">IF(RTD("tos.rtd",,$A$2,"."&amp;P$2&amp;P$1&amp;"C"&amp;$A24)="N/A",0,RTD("tos.rtd",,$A$2,"."&amp;P$2&amp;P$1&amp;"C"&amp;$A24))-IF(RTD("tos.rtd",,$A$2,"."&amp;P$2&amp;P$1&amp;"P"&amp;$A24)="N/A",0,RTD("tos.rtd",,$A$2,"."&amp;P$2&amp;P$1&amp;"P"&amp;$A24))</f>
        <v>31</v>
      </c>
      <c r="Q24" s="56">
        <f ca="1">IF(RTD("tos.rtd",,$A$2,"."&amp;Q$2&amp;Q$1&amp;"C"&amp;$A24)="N/A",0,RTD("tos.rtd",,$A$2,"."&amp;Q$2&amp;Q$1&amp;"C"&amp;$A24))-IF(RTD("tos.rtd",,$A$2,"."&amp;Q$2&amp;Q$1&amp;"P"&amp;$A24)="N/A",0,RTD("tos.rtd",,$A$2,"."&amp;Q$2&amp;Q$1&amp;"P"&amp;$A24))</f>
        <v>0</v>
      </c>
      <c r="R24" s="56">
        <f ca="1">IF(RTD("tos.rtd",,$A$2,"."&amp;R$2&amp;R$1&amp;"C"&amp;$A24)="N/A",0,RTD("tos.rtd",,$A$2,"."&amp;R$2&amp;R$1&amp;"C"&amp;$A24))-IF(RTD("tos.rtd",,$A$2,"."&amp;R$2&amp;R$1&amp;"P"&amp;$A24)="N/A",0,RTD("tos.rtd",,$A$2,"."&amp;R$2&amp;R$1&amp;"P"&amp;$A24))</f>
        <v>0</v>
      </c>
      <c r="S24" s="56">
        <f ca="1">IF(RTD("tos.rtd",,$A$2,"."&amp;S$2&amp;S$1&amp;"C"&amp;$A24)="N/A",0,RTD("tos.rtd",,$A$2,"."&amp;S$2&amp;S$1&amp;"C"&amp;$A24))-IF(RTD("tos.rtd",,$A$2,"."&amp;S$2&amp;S$1&amp;"P"&amp;$A24)="N/A",0,RTD("tos.rtd",,$A$2,"."&amp;S$2&amp;S$1&amp;"P"&amp;$A24))</f>
        <v>0</v>
      </c>
      <c r="T24" s="56">
        <f ca="1">IF(RTD("tos.rtd",,$A$2,"."&amp;T$2&amp;T$1&amp;"C"&amp;$A24)="N/A",0,RTD("tos.rtd",,$A$2,"."&amp;T$2&amp;T$1&amp;"C"&amp;$A24))-IF(RTD("tos.rtd",,$A$2,"."&amp;T$2&amp;T$1&amp;"P"&amp;$A24)="N/A",0,RTD("tos.rtd",,$A$2,"."&amp;T$2&amp;T$1&amp;"P"&amp;$A24))</f>
        <v>0</v>
      </c>
      <c r="U24" s="56">
        <f ca="1">IF(RTD("tos.rtd",,$A$2,"."&amp;U$2&amp;U$1&amp;"C"&amp;$A24)="N/A",0,RTD("tos.rtd",,$A$2,"."&amp;U$2&amp;U$1&amp;"C"&amp;$A24))-IF(RTD("tos.rtd",,$A$2,"."&amp;U$2&amp;U$1&amp;"P"&amp;$A24)="N/A",0,RTD("tos.rtd",,$A$2,"."&amp;U$2&amp;U$1&amp;"P"&amp;$A24))</f>
        <v>0</v>
      </c>
      <c r="V24" s="56">
        <f ca="1">IF(RTD("tos.rtd",,$A$2,"."&amp;V$2&amp;V$1&amp;"C"&amp;$A24)="N/A",0,RTD("tos.rtd",,$A$2,"."&amp;V$2&amp;V$1&amp;"C"&amp;$A24))-IF(RTD("tos.rtd",,$A$2,"."&amp;V$2&amp;V$1&amp;"P"&amp;$A24)="N/A",0,RTD("tos.rtd",,$A$2,"."&amp;V$2&amp;V$1&amp;"P"&amp;$A24))</f>
        <v>0</v>
      </c>
      <c r="W24" s="56">
        <f ca="1">IF(RTD("tos.rtd",,$A$2,"."&amp;W$2&amp;W$1&amp;"C"&amp;$A24)="N/A",0,RTD("tos.rtd",,$A$2,"."&amp;W$2&amp;W$1&amp;"C"&amp;$A24))-IF(RTD("tos.rtd",,$A$2,"."&amp;W$2&amp;W$1&amp;"P"&amp;$A24)="N/A",0,RTD("tos.rtd",,$A$2,"."&amp;W$2&amp;W$1&amp;"P"&amp;$A24))</f>
        <v>0</v>
      </c>
      <c r="X24" s="56">
        <f ca="1">IF(RTD("tos.rtd",,$A$2,"."&amp;X$2&amp;X$1&amp;"C"&amp;$A24)="N/A",0,RTD("tos.rtd",,$A$2,"."&amp;X$2&amp;X$1&amp;"C"&amp;$A24))-IF(RTD("tos.rtd",,$A$2,"."&amp;X$2&amp;X$1&amp;"P"&amp;$A24)="N/A",0,RTD("tos.rtd",,$A$2,"."&amp;X$2&amp;X$1&amp;"P"&amp;$A24))</f>
        <v>0</v>
      </c>
      <c r="Y24" s="63">
        <f t="shared" ca="1" si="5"/>
        <v>100425</v>
      </c>
    </row>
    <row r="25" spans="1:25" x14ac:dyDescent="0.25">
      <c r="A25" s="58">
        <f>+Hoja1!A24</f>
        <v>669</v>
      </c>
      <c r="B25" s="56">
        <f ca="1">IF(RTD("tos.rtd",,$A$2,"."&amp;B$2&amp;B$1&amp;"C"&amp;$A25)="N/A",0,RTD("tos.rtd",,$A$2,"."&amp;B$2&amp;B$1&amp;"C"&amp;$A25))-IF(RTD("tos.rtd",,$A$2,"."&amp;B$2&amp;B$1&amp;"P"&amp;$A25)="N/A",0,RTD("tos.rtd",,$A$2,"."&amp;B$2&amp;B$1&amp;"P"&amp;$A25))</f>
        <v>-4430</v>
      </c>
      <c r="C25" s="56">
        <f ca="1">IF(RTD("tos.rtd",,$A$2,"."&amp;C$2&amp;C$1&amp;"C"&amp;$A25)="N/A",0,RTD("tos.rtd",,$A$2,"."&amp;C$2&amp;C$1&amp;"C"&amp;$A25))-IF(RTD("tos.rtd",,$A$2,"."&amp;C$2&amp;C$1&amp;"P"&amp;$A25)="N/A",0,RTD("tos.rtd",,$A$2,"."&amp;C$2&amp;C$1&amp;"P"&amp;$A25))</f>
        <v>713</v>
      </c>
      <c r="D25" s="56">
        <f ca="1">IF(RTD("tos.rtd",,$A$2,"."&amp;D$2&amp;D$1&amp;"C"&amp;$A25)="N/A",0,RTD("tos.rtd",,$A$2,"."&amp;D$2&amp;D$1&amp;"C"&amp;$A25))-IF(RTD("tos.rtd",,$A$2,"."&amp;D$2&amp;D$1&amp;"P"&amp;$A25)="N/A",0,RTD("tos.rtd",,$A$2,"."&amp;D$2&amp;D$1&amp;"P"&amp;$A25))</f>
        <v>731</v>
      </c>
      <c r="E25" s="56">
        <f ca="1">IF(RTD("tos.rtd",,$A$2,"."&amp;E$2&amp;E$1&amp;"C"&amp;$A25)="N/A",0,RTD("tos.rtd",,$A$2,"."&amp;E$2&amp;E$1&amp;"C"&amp;$A25))-IF(RTD("tos.rtd",,$A$2,"."&amp;E$2&amp;E$1&amp;"P"&amp;$A25)="N/A",0,RTD("tos.rtd",,$A$2,"."&amp;E$2&amp;E$1&amp;"P"&amp;$A25))</f>
        <v>795</v>
      </c>
      <c r="F25" s="56">
        <f ca="1">IF(RTD("tos.rtd",,$A$2,"."&amp;F$2&amp;F$1&amp;"C"&amp;$A25)="N/A",0,RTD("tos.rtd",,$A$2,"."&amp;F$2&amp;F$1&amp;"C"&amp;$A25))-IF(RTD("tos.rtd",,$A$2,"."&amp;F$2&amp;F$1&amp;"P"&amp;$A25)="N/A",0,RTD("tos.rtd",,$A$2,"."&amp;F$2&amp;F$1&amp;"P"&amp;$A25))</f>
        <v>0</v>
      </c>
      <c r="G25" s="56">
        <f ca="1">IF(RTD("tos.rtd",,$A$2,"."&amp;G$2&amp;G$1&amp;"C"&amp;$A25)="N/A",0,RTD("tos.rtd",,$A$2,"."&amp;G$2&amp;G$1&amp;"C"&amp;$A25))-IF(RTD("tos.rtd",,$A$2,"."&amp;G$2&amp;G$1&amp;"P"&amp;$A25)="N/A",0,RTD("tos.rtd",,$A$2,"."&amp;G$2&amp;G$1&amp;"P"&amp;$A25))</f>
        <v>0</v>
      </c>
      <c r="H25" s="56">
        <f ca="1">IF(RTD("tos.rtd",,$A$2,"."&amp;H$2&amp;H$1&amp;"C"&amp;$A25)="N/A",0,RTD("tos.rtd",,$A$2,"."&amp;H$2&amp;H$1&amp;"C"&amp;$A25))-IF(RTD("tos.rtd",,$A$2,"."&amp;H$2&amp;H$1&amp;"P"&amp;$A25)="N/A",0,RTD("tos.rtd",,$A$2,"."&amp;H$2&amp;H$1&amp;"P"&amp;$A25))</f>
        <v>111</v>
      </c>
      <c r="I25" s="56">
        <f ca="1">IF(RTD("tos.rtd",,$A$2,"."&amp;I$2&amp;I$1&amp;"C"&amp;$A25)="N/A",0,RTD("tos.rtd",,$A$2,"."&amp;I$2&amp;I$1&amp;"C"&amp;$A25))-IF(RTD("tos.rtd",,$A$2,"."&amp;I$2&amp;I$1&amp;"P"&amp;$A25)="N/A",0,RTD("tos.rtd",,$A$2,"."&amp;I$2&amp;I$1&amp;"P"&amp;$A25))</f>
        <v>100</v>
      </c>
      <c r="J25" s="56">
        <f ca="1">IF(RTD("tos.rtd",,$A$2,"."&amp;J$2&amp;J$1&amp;"C"&amp;$A25)="N/A",0,RTD("tos.rtd",,$A$2,"."&amp;J$2&amp;J$1&amp;"C"&amp;$A25))-IF(RTD("tos.rtd",,$A$2,"."&amp;J$2&amp;J$1&amp;"P"&amp;$A25)="N/A",0,RTD("tos.rtd",,$A$2,"."&amp;J$2&amp;J$1&amp;"P"&amp;$A25))</f>
        <v>185</v>
      </c>
      <c r="K25" s="56">
        <f ca="1">IF(RTD("tos.rtd",,$A$2,"."&amp;K$2&amp;K$1&amp;"C"&amp;$A25)="N/A",0,RTD("tos.rtd",,$A$2,"."&amp;K$2&amp;K$1&amp;"C"&amp;$A25))-IF(RTD("tos.rtd",,$A$2,"."&amp;K$2&amp;K$1&amp;"P"&amp;$A25)="N/A",0,RTD("tos.rtd",,$A$2,"."&amp;K$2&amp;K$1&amp;"P"&amp;$A25))</f>
        <v>-140</v>
      </c>
      <c r="L25" s="56">
        <f ca="1">IF(RTD("tos.rtd",,$A$2,"."&amp;L$2&amp;L$1&amp;"C"&amp;$A25)="N/A",0,RTD("tos.rtd",,$A$2,"."&amp;L$2&amp;L$1&amp;"C"&amp;$A25))-IF(RTD("tos.rtd",,$A$2,"."&amp;L$2&amp;L$1&amp;"P"&amp;$A25)="N/A",0,RTD("tos.rtd",,$A$2,"."&amp;L$2&amp;L$1&amp;"P"&amp;$A25))</f>
        <v>0</v>
      </c>
      <c r="M25" s="56">
        <f ca="1">IF(RTD("tos.rtd",,$A$2,"."&amp;M$2&amp;M$1&amp;"C"&amp;$A25)="N/A",0,RTD("tos.rtd",,$A$2,"."&amp;M$2&amp;M$1&amp;"C"&amp;$A25))-IF(RTD("tos.rtd",,$A$2,"."&amp;M$2&amp;M$1&amp;"P"&amp;$A25)="N/A",0,RTD("tos.rtd",,$A$2,"."&amp;M$2&amp;M$1&amp;"P"&amp;$A25))</f>
        <v>-33</v>
      </c>
      <c r="N25" s="56">
        <f ca="1">IF(RTD("tos.rtd",,$A$2,"."&amp;N$2&amp;N$1&amp;"C"&amp;$A25)="N/A",0,RTD("tos.rtd",,$A$2,"."&amp;N$2&amp;N$1&amp;"C"&amp;$A25))-IF(RTD("tos.rtd",,$A$2,"."&amp;N$2&amp;N$1&amp;"P"&amp;$A25)="N/A",0,RTD("tos.rtd",,$A$2,"."&amp;N$2&amp;N$1&amp;"P"&amp;$A25))</f>
        <v>0</v>
      </c>
      <c r="O25" s="56">
        <f ca="1">IF(RTD("tos.rtd",,$A$2,"."&amp;O$2&amp;O$1&amp;"C"&amp;$A25)="N/A",0,RTD("tos.rtd",,$A$2,"."&amp;O$2&amp;O$1&amp;"C"&amp;$A25))-IF(RTD("tos.rtd",,$A$2,"."&amp;O$2&amp;O$1&amp;"P"&amp;$A25)="N/A",0,RTD("tos.rtd",,$A$2,"."&amp;O$2&amp;O$1&amp;"P"&amp;$A25))</f>
        <v>90</v>
      </c>
      <c r="P25" s="56">
        <f ca="1">IF(RTD("tos.rtd",,$A$2,"."&amp;P$2&amp;P$1&amp;"C"&amp;$A25)="N/A",0,RTD("tos.rtd",,$A$2,"."&amp;P$2&amp;P$1&amp;"C"&amp;$A25))-IF(RTD("tos.rtd",,$A$2,"."&amp;P$2&amp;P$1&amp;"P"&amp;$A25)="N/A",0,RTD("tos.rtd",,$A$2,"."&amp;P$2&amp;P$1&amp;"P"&amp;$A25))</f>
        <v>34</v>
      </c>
      <c r="Q25" s="56">
        <f ca="1">IF(RTD("tos.rtd",,$A$2,"."&amp;Q$2&amp;Q$1&amp;"C"&amp;$A25)="N/A",0,RTD("tos.rtd",,$A$2,"."&amp;Q$2&amp;Q$1&amp;"C"&amp;$A25))-IF(RTD("tos.rtd",,$A$2,"."&amp;Q$2&amp;Q$1&amp;"P"&amp;$A25)="N/A",0,RTD("tos.rtd",,$A$2,"."&amp;Q$2&amp;Q$1&amp;"P"&amp;$A25))</f>
        <v>0</v>
      </c>
      <c r="R25" s="56">
        <f ca="1">IF(RTD("tos.rtd",,$A$2,"."&amp;R$2&amp;R$1&amp;"C"&amp;$A25)="N/A",0,RTD("tos.rtd",,$A$2,"."&amp;R$2&amp;R$1&amp;"C"&amp;$A25))-IF(RTD("tos.rtd",,$A$2,"."&amp;R$2&amp;R$1&amp;"P"&amp;$A25)="N/A",0,RTD("tos.rtd",,$A$2,"."&amp;R$2&amp;R$1&amp;"P"&amp;$A25))</f>
        <v>0</v>
      </c>
      <c r="S25" s="56">
        <f ca="1">IF(RTD("tos.rtd",,$A$2,"."&amp;S$2&amp;S$1&amp;"C"&amp;$A25)="N/A",0,RTD("tos.rtd",,$A$2,"."&amp;S$2&amp;S$1&amp;"C"&amp;$A25))-IF(RTD("tos.rtd",,$A$2,"."&amp;S$2&amp;S$1&amp;"P"&amp;$A25)="N/A",0,RTD("tos.rtd",,$A$2,"."&amp;S$2&amp;S$1&amp;"P"&amp;$A25))</f>
        <v>0</v>
      </c>
      <c r="T25" s="56">
        <f ca="1">IF(RTD("tos.rtd",,$A$2,"."&amp;T$2&amp;T$1&amp;"C"&amp;$A25)="N/A",0,RTD("tos.rtd",,$A$2,"."&amp;T$2&amp;T$1&amp;"C"&amp;$A25))-IF(RTD("tos.rtd",,$A$2,"."&amp;T$2&amp;T$1&amp;"P"&amp;$A25)="N/A",0,RTD("tos.rtd",,$A$2,"."&amp;T$2&amp;T$1&amp;"P"&amp;$A25))</f>
        <v>0</v>
      </c>
      <c r="U25" s="56">
        <f ca="1">IF(RTD("tos.rtd",,$A$2,"."&amp;U$2&amp;U$1&amp;"C"&amp;$A25)="N/A",0,RTD("tos.rtd",,$A$2,"."&amp;U$2&amp;U$1&amp;"C"&amp;$A25))-IF(RTD("tos.rtd",,$A$2,"."&amp;U$2&amp;U$1&amp;"P"&amp;$A25)="N/A",0,RTD("tos.rtd",,$A$2,"."&amp;U$2&amp;U$1&amp;"P"&amp;$A25))</f>
        <v>0</v>
      </c>
      <c r="V25" s="56">
        <f ca="1">IF(RTD("tos.rtd",,$A$2,"."&amp;V$2&amp;V$1&amp;"C"&amp;$A25)="N/A",0,RTD("tos.rtd",,$A$2,"."&amp;V$2&amp;V$1&amp;"C"&amp;$A25))-IF(RTD("tos.rtd",,$A$2,"."&amp;V$2&amp;V$1&amp;"P"&amp;$A25)="N/A",0,RTD("tos.rtd",,$A$2,"."&amp;V$2&amp;V$1&amp;"P"&amp;$A25))</f>
        <v>0</v>
      </c>
      <c r="W25" s="56">
        <f ca="1">IF(RTD("tos.rtd",,$A$2,"."&amp;W$2&amp;W$1&amp;"C"&amp;$A25)="N/A",0,RTD("tos.rtd",,$A$2,"."&amp;W$2&amp;W$1&amp;"C"&amp;$A25))-IF(RTD("tos.rtd",,$A$2,"."&amp;W$2&amp;W$1&amp;"P"&amp;$A25)="N/A",0,RTD("tos.rtd",,$A$2,"."&amp;W$2&amp;W$1&amp;"P"&amp;$A25))</f>
        <v>0</v>
      </c>
      <c r="X25" s="56">
        <f ca="1">IF(RTD("tos.rtd",,$A$2,"."&amp;X$2&amp;X$1&amp;"C"&amp;$A25)="N/A",0,RTD("tos.rtd",,$A$2,"."&amp;X$2&amp;X$1&amp;"C"&amp;$A25))-IF(RTD("tos.rtd",,$A$2,"."&amp;X$2&amp;X$1&amp;"P"&amp;$A25)="N/A",0,RTD("tos.rtd",,$A$2,"."&amp;X$2&amp;X$1&amp;"P"&amp;$A25))</f>
        <v>0</v>
      </c>
      <c r="Y25" s="63">
        <f t="shared" ca="1" si="5"/>
        <v>-1844</v>
      </c>
    </row>
    <row r="26" spans="1:25" x14ac:dyDescent="0.25">
      <c r="A26" s="58">
        <f>+Hoja1!A25</f>
        <v>668</v>
      </c>
      <c r="B26" s="56">
        <f ca="1">IF(RTD("tos.rtd",,$A$2,"."&amp;B$2&amp;B$1&amp;"C"&amp;$A26)="N/A",0,RTD("tos.rtd",,$A$2,"."&amp;B$2&amp;B$1&amp;"C"&amp;$A26))-IF(RTD("tos.rtd",,$A$2,"."&amp;B$2&amp;B$1&amp;"P"&amp;$A26)="N/A",0,RTD("tos.rtd",,$A$2,"."&amp;B$2&amp;B$1&amp;"P"&amp;$A26))</f>
        <v>12265</v>
      </c>
      <c r="C26" s="56">
        <f ca="1">IF(RTD("tos.rtd",,$A$2,"."&amp;C$2&amp;C$1&amp;"C"&amp;$A26)="N/A",0,RTD("tos.rtd",,$A$2,"."&amp;C$2&amp;C$1&amp;"C"&amp;$A26))-IF(RTD("tos.rtd",,$A$2,"."&amp;C$2&amp;C$1&amp;"P"&amp;$A26)="N/A",0,RTD("tos.rtd",,$A$2,"."&amp;C$2&amp;C$1&amp;"P"&amp;$A26))</f>
        <v>3291</v>
      </c>
      <c r="D26" s="56">
        <f ca="1">IF(RTD("tos.rtd",,$A$2,"."&amp;D$2&amp;D$1&amp;"C"&amp;$A26)="N/A",0,RTD("tos.rtd",,$A$2,"."&amp;D$2&amp;D$1&amp;"C"&amp;$A26))-IF(RTD("tos.rtd",,$A$2,"."&amp;D$2&amp;D$1&amp;"P"&amp;$A26)="N/A",0,RTD("tos.rtd",,$A$2,"."&amp;D$2&amp;D$1&amp;"P"&amp;$A26))</f>
        <v>2573</v>
      </c>
      <c r="E26" s="56">
        <f ca="1">IF(RTD("tos.rtd",,$A$2,"."&amp;E$2&amp;E$1&amp;"C"&amp;$A26)="N/A",0,RTD("tos.rtd",,$A$2,"."&amp;E$2&amp;E$1&amp;"C"&amp;$A26))-IF(RTD("tos.rtd",,$A$2,"."&amp;E$2&amp;E$1&amp;"P"&amp;$A26)="N/A",0,RTD("tos.rtd",,$A$2,"."&amp;E$2&amp;E$1&amp;"P"&amp;$A26))</f>
        <v>1095</v>
      </c>
      <c r="F26" s="56">
        <f ca="1">IF(RTD("tos.rtd",,$A$2,"."&amp;F$2&amp;F$1&amp;"C"&amp;$A26)="N/A",0,RTD("tos.rtd",,$A$2,"."&amp;F$2&amp;F$1&amp;"C"&amp;$A26))-IF(RTD("tos.rtd",,$A$2,"."&amp;F$2&amp;F$1&amp;"P"&amp;$A26)="N/A",0,RTD("tos.rtd",,$A$2,"."&amp;F$2&amp;F$1&amp;"P"&amp;$A26))</f>
        <v>0</v>
      </c>
      <c r="G26" s="56">
        <f ca="1">IF(RTD("tos.rtd",,$A$2,"."&amp;G$2&amp;G$1&amp;"C"&amp;$A26)="N/A",0,RTD("tos.rtd",,$A$2,"."&amp;G$2&amp;G$1&amp;"C"&amp;$A26))-IF(RTD("tos.rtd",,$A$2,"."&amp;G$2&amp;G$1&amp;"P"&amp;$A26)="N/A",0,RTD("tos.rtd",,$A$2,"."&amp;G$2&amp;G$1&amp;"P"&amp;$A26))</f>
        <v>0</v>
      </c>
      <c r="H26" s="56">
        <f ca="1">IF(RTD("tos.rtd",,$A$2,"."&amp;H$2&amp;H$1&amp;"C"&amp;$A26)="N/A",0,RTD("tos.rtd",,$A$2,"."&amp;H$2&amp;H$1&amp;"C"&amp;$A26))-IF(RTD("tos.rtd",,$A$2,"."&amp;H$2&amp;H$1&amp;"P"&amp;$A26)="N/A",0,RTD("tos.rtd",,$A$2,"."&amp;H$2&amp;H$1&amp;"P"&amp;$A26))</f>
        <v>1202</v>
      </c>
      <c r="I26" s="56">
        <f ca="1">IF(RTD("tos.rtd",,$A$2,"."&amp;I$2&amp;I$1&amp;"C"&amp;$A26)="N/A",0,RTD("tos.rtd",,$A$2,"."&amp;I$2&amp;I$1&amp;"C"&amp;$A26))-IF(RTD("tos.rtd",,$A$2,"."&amp;I$2&amp;I$1&amp;"P"&amp;$A26)="N/A",0,RTD("tos.rtd",,$A$2,"."&amp;I$2&amp;I$1&amp;"P"&amp;$A26))</f>
        <v>-442</v>
      </c>
      <c r="J26" s="56">
        <f ca="1">IF(RTD("tos.rtd",,$A$2,"."&amp;J$2&amp;J$1&amp;"C"&amp;$A26)="N/A",0,RTD("tos.rtd",,$A$2,"."&amp;J$2&amp;J$1&amp;"C"&amp;$A26))-IF(RTD("tos.rtd",,$A$2,"."&amp;J$2&amp;J$1&amp;"P"&amp;$A26)="N/A",0,RTD("tos.rtd",,$A$2,"."&amp;J$2&amp;J$1&amp;"P"&amp;$A26))</f>
        <v>25</v>
      </c>
      <c r="K26" s="56">
        <f ca="1">IF(RTD("tos.rtd",,$A$2,"."&amp;K$2&amp;K$1&amp;"C"&amp;$A26)="N/A",0,RTD("tos.rtd",,$A$2,"."&amp;K$2&amp;K$1&amp;"C"&amp;$A26))-IF(RTD("tos.rtd",,$A$2,"."&amp;K$2&amp;K$1&amp;"P"&amp;$A26)="N/A",0,RTD("tos.rtd",,$A$2,"."&amp;K$2&amp;K$1&amp;"P"&amp;$A26))</f>
        <v>80</v>
      </c>
      <c r="L26" s="56">
        <f ca="1">IF(RTD("tos.rtd",,$A$2,"."&amp;L$2&amp;L$1&amp;"C"&amp;$A26)="N/A",0,RTD("tos.rtd",,$A$2,"."&amp;L$2&amp;L$1&amp;"C"&amp;$A26))-IF(RTD("tos.rtd",,$A$2,"."&amp;L$2&amp;L$1&amp;"P"&amp;$A26)="N/A",0,RTD("tos.rtd",,$A$2,"."&amp;L$2&amp;L$1&amp;"P"&amp;$A26))</f>
        <v>0</v>
      </c>
      <c r="M26" s="56">
        <f ca="1">IF(RTD("tos.rtd",,$A$2,"."&amp;M$2&amp;M$1&amp;"C"&amp;$A26)="N/A",0,RTD("tos.rtd",,$A$2,"."&amp;M$2&amp;M$1&amp;"C"&amp;$A26))-IF(RTD("tos.rtd",,$A$2,"."&amp;M$2&amp;M$1&amp;"P"&amp;$A26)="N/A",0,RTD("tos.rtd",,$A$2,"."&amp;M$2&amp;M$1&amp;"P"&amp;$A26))</f>
        <v>3</v>
      </c>
      <c r="N26" s="56">
        <f ca="1">IF(RTD("tos.rtd",,$A$2,"."&amp;N$2&amp;N$1&amp;"C"&amp;$A26)="N/A",0,RTD("tos.rtd",,$A$2,"."&amp;N$2&amp;N$1&amp;"C"&amp;$A26))-IF(RTD("tos.rtd",,$A$2,"."&amp;N$2&amp;N$1&amp;"P"&amp;$A26)="N/A",0,RTD("tos.rtd",,$A$2,"."&amp;N$2&amp;N$1&amp;"P"&amp;$A26))</f>
        <v>0</v>
      </c>
      <c r="O26" s="56">
        <f ca="1">IF(RTD("tos.rtd",,$A$2,"."&amp;O$2&amp;O$1&amp;"C"&amp;$A26)="N/A",0,RTD("tos.rtd",,$A$2,"."&amp;O$2&amp;O$1&amp;"C"&amp;$A26))-IF(RTD("tos.rtd",,$A$2,"."&amp;O$2&amp;O$1&amp;"P"&amp;$A26)="N/A",0,RTD("tos.rtd",,$A$2,"."&amp;O$2&amp;O$1&amp;"P"&amp;$A26))</f>
        <v>31</v>
      </c>
      <c r="P26" s="56">
        <f ca="1">IF(RTD("tos.rtd",,$A$2,"."&amp;P$2&amp;P$1&amp;"C"&amp;$A26)="N/A",0,RTD("tos.rtd",,$A$2,"."&amp;P$2&amp;P$1&amp;"C"&amp;$A26))-IF(RTD("tos.rtd",,$A$2,"."&amp;P$2&amp;P$1&amp;"P"&amp;$A26)="N/A",0,RTD("tos.rtd",,$A$2,"."&amp;P$2&amp;P$1&amp;"P"&amp;$A26))</f>
        <v>4</v>
      </c>
      <c r="Q26" s="56">
        <f ca="1">IF(RTD("tos.rtd",,$A$2,"."&amp;Q$2&amp;Q$1&amp;"C"&amp;$A26)="N/A",0,RTD("tos.rtd",,$A$2,"."&amp;Q$2&amp;Q$1&amp;"C"&amp;$A26))-IF(RTD("tos.rtd",,$A$2,"."&amp;Q$2&amp;Q$1&amp;"P"&amp;$A26)="N/A",0,RTD("tos.rtd",,$A$2,"."&amp;Q$2&amp;Q$1&amp;"P"&amp;$A26))</f>
        <v>0</v>
      </c>
      <c r="R26" s="56">
        <f ca="1">IF(RTD("tos.rtd",,$A$2,"."&amp;R$2&amp;R$1&amp;"C"&amp;$A26)="N/A",0,RTD("tos.rtd",,$A$2,"."&amp;R$2&amp;R$1&amp;"C"&amp;$A26))-IF(RTD("tos.rtd",,$A$2,"."&amp;R$2&amp;R$1&amp;"P"&amp;$A26)="N/A",0,RTD("tos.rtd",,$A$2,"."&amp;R$2&amp;R$1&amp;"P"&amp;$A26))</f>
        <v>0</v>
      </c>
      <c r="S26" s="56">
        <f ca="1">IF(RTD("tos.rtd",,$A$2,"."&amp;S$2&amp;S$1&amp;"C"&amp;$A26)="N/A",0,RTD("tos.rtd",,$A$2,"."&amp;S$2&amp;S$1&amp;"C"&amp;$A26))-IF(RTD("tos.rtd",,$A$2,"."&amp;S$2&amp;S$1&amp;"P"&amp;$A26)="N/A",0,RTD("tos.rtd",,$A$2,"."&amp;S$2&amp;S$1&amp;"P"&amp;$A26))</f>
        <v>0</v>
      </c>
      <c r="T26" s="56">
        <f ca="1">IF(RTD("tos.rtd",,$A$2,"."&amp;T$2&amp;T$1&amp;"C"&amp;$A26)="N/A",0,RTD("tos.rtd",,$A$2,"."&amp;T$2&amp;T$1&amp;"C"&amp;$A26))-IF(RTD("tos.rtd",,$A$2,"."&amp;T$2&amp;T$1&amp;"P"&amp;$A26)="N/A",0,RTD("tos.rtd",,$A$2,"."&amp;T$2&amp;T$1&amp;"P"&amp;$A26))</f>
        <v>0</v>
      </c>
      <c r="U26" s="56">
        <f ca="1">IF(RTD("tos.rtd",,$A$2,"."&amp;U$2&amp;U$1&amp;"C"&amp;$A26)="N/A",0,RTD("tos.rtd",,$A$2,"."&amp;U$2&amp;U$1&amp;"C"&amp;$A26))-IF(RTD("tos.rtd",,$A$2,"."&amp;U$2&amp;U$1&amp;"P"&amp;$A26)="N/A",0,RTD("tos.rtd",,$A$2,"."&amp;U$2&amp;U$1&amp;"P"&amp;$A26))</f>
        <v>0</v>
      </c>
      <c r="V26" s="56">
        <f ca="1">IF(RTD("tos.rtd",,$A$2,"."&amp;V$2&amp;V$1&amp;"C"&amp;$A26)="N/A",0,RTD("tos.rtd",,$A$2,"."&amp;V$2&amp;V$1&amp;"C"&amp;$A26))-IF(RTD("tos.rtd",,$A$2,"."&amp;V$2&amp;V$1&amp;"P"&amp;$A26)="N/A",0,RTD("tos.rtd",,$A$2,"."&amp;V$2&amp;V$1&amp;"P"&amp;$A26))</f>
        <v>0</v>
      </c>
      <c r="W26" s="56">
        <f ca="1">IF(RTD("tos.rtd",,$A$2,"."&amp;W$2&amp;W$1&amp;"C"&amp;$A26)="N/A",0,RTD("tos.rtd",,$A$2,"."&amp;W$2&amp;W$1&amp;"C"&amp;$A26))-IF(RTD("tos.rtd",,$A$2,"."&amp;W$2&amp;W$1&amp;"P"&amp;$A26)="N/A",0,RTD("tos.rtd",,$A$2,"."&amp;W$2&amp;W$1&amp;"P"&amp;$A26))</f>
        <v>0</v>
      </c>
      <c r="X26" s="56">
        <f ca="1">IF(RTD("tos.rtd",,$A$2,"."&amp;X$2&amp;X$1&amp;"C"&amp;$A26)="N/A",0,RTD("tos.rtd",,$A$2,"."&amp;X$2&amp;X$1&amp;"C"&amp;$A26))-IF(RTD("tos.rtd",,$A$2,"."&amp;X$2&amp;X$1&amp;"P"&amp;$A26)="N/A",0,RTD("tos.rtd",,$A$2,"."&amp;X$2&amp;X$1&amp;"P"&amp;$A26))</f>
        <v>0</v>
      </c>
      <c r="Y26" s="63">
        <f t="shared" ca="1" si="5"/>
        <v>20127</v>
      </c>
    </row>
    <row r="27" spans="1:25" x14ac:dyDescent="0.25">
      <c r="A27" s="58">
        <f>+Hoja1!A26</f>
        <v>667</v>
      </c>
      <c r="B27" s="56">
        <f ca="1">IF(RTD("tos.rtd",,$A$2,"."&amp;B$2&amp;B$1&amp;"C"&amp;$A27)="N/A",0,RTD("tos.rtd",,$A$2,"."&amp;B$2&amp;B$1&amp;"C"&amp;$A27))-IF(RTD("tos.rtd",,$A$2,"."&amp;B$2&amp;B$1&amp;"P"&amp;$A27)="N/A",0,RTD("tos.rtd",,$A$2,"."&amp;B$2&amp;B$1&amp;"P"&amp;$A27))</f>
        <v>18577</v>
      </c>
      <c r="C27" s="56">
        <f ca="1">IF(RTD("tos.rtd",,$A$2,"."&amp;C$2&amp;C$1&amp;"C"&amp;$A27)="N/A",0,RTD("tos.rtd",,$A$2,"."&amp;C$2&amp;C$1&amp;"C"&amp;$A27))-IF(RTD("tos.rtd",,$A$2,"."&amp;C$2&amp;C$1&amp;"P"&amp;$A27)="N/A",0,RTD("tos.rtd",,$A$2,"."&amp;C$2&amp;C$1&amp;"P"&amp;$A27))</f>
        <v>-860</v>
      </c>
      <c r="D27" s="56">
        <f ca="1">IF(RTD("tos.rtd",,$A$2,"."&amp;D$2&amp;D$1&amp;"C"&amp;$A27)="N/A",0,RTD("tos.rtd",,$A$2,"."&amp;D$2&amp;D$1&amp;"C"&amp;$A27))-IF(RTD("tos.rtd",,$A$2,"."&amp;D$2&amp;D$1&amp;"P"&amp;$A27)="N/A",0,RTD("tos.rtd",,$A$2,"."&amp;D$2&amp;D$1&amp;"P"&amp;$A27))</f>
        <v>-1725</v>
      </c>
      <c r="E27" s="56">
        <f ca="1">IF(RTD("tos.rtd",,$A$2,"."&amp;E$2&amp;E$1&amp;"C"&amp;$A27)="N/A",0,RTD("tos.rtd",,$A$2,"."&amp;E$2&amp;E$1&amp;"C"&amp;$A27))-IF(RTD("tos.rtd",,$A$2,"."&amp;E$2&amp;E$1&amp;"P"&amp;$A27)="N/A",0,RTD("tos.rtd",,$A$2,"."&amp;E$2&amp;E$1&amp;"P"&amp;$A27))</f>
        <v>835</v>
      </c>
      <c r="F27" s="56">
        <f ca="1">IF(RTD("tos.rtd",,$A$2,"."&amp;F$2&amp;F$1&amp;"C"&amp;$A27)="N/A",0,RTD("tos.rtd",,$A$2,"."&amp;F$2&amp;F$1&amp;"C"&amp;$A27))-IF(RTD("tos.rtd",,$A$2,"."&amp;F$2&amp;F$1&amp;"P"&amp;$A27)="N/A",0,RTD("tos.rtd",,$A$2,"."&amp;F$2&amp;F$1&amp;"P"&amp;$A27))</f>
        <v>0</v>
      </c>
      <c r="G27" s="56">
        <f ca="1">IF(RTD("tos.rtd",,$A$2,"."&amp;G$2&amp;G$1&amp;"C"&amp;$A27)="N/A",0,RTD("tos.rtd",,$A$2,"."&amp;G$2&amp;G$1&amp;"C"&amp;$A27))-IF(RTD("tos.rtd",,$A$2,"."&amp;G$2&amp;G$1&amp;"P"&amp;$A27)="N/A",0,RTD("tos.rtd",,$A$2,"."&amp;G$2&amp;G$1&amp;"P"&amp;$A27))</f>
        <v>0</v>
      </c>
      <c r="H27" s="56">
        <f ca="1">IF(RTD("tos.rtd",,$A$2,"."&amp;H$2&amp;H$1&amp;"C"&amp;$A27)="N/A",0,RTD("tos.rtd",,$A$2,"."&amp;H$2&amp;H$1&amp;"C"&amp;$A27))-IF(RTD("tos.rtd",,$A$2,"."&amp;H$2&amp;H$1&amp;"P"&amp;$A27)="N/A",0,RTD("tos.rtd",,$A$2,"."&amp;H$2&amp;H$1&amp;"P"&amp;$A27))</f>
        <v>11</v>
      </c>
      <c r="I27" s="56">
        <f ca="1">IF(RTD("tos.rtd",,$A$2,"."&amp;I$2&amp;I$1&amp;"C"&amp;$A27)="N/A",0,RTD("tos.rtd",,$A$2,"."&amp;I$2&amp;I$1&amp;"C"&amp;$A27))-IF(RTD("tos.rtd",,$A$2,"."&amp;I$2&amp;I$1&amp;"P"&amp;$A27)="N/A",0,RTD("tos.rtd",,$A$2,"."&amp;I$2&amp;I$1&amp;"P"&amp;$A27))</f>
        <v>-5</v>
      </c>
      <c r="J27" s="56">
        <f ca="1">IF(RTD("tos.rtd",,$A$2,"."&amp;J$2&amp;J$1&amp;"C"&amp;$A27)="N/A",0,RTD("tos.rtd",,$A$2,"."&amp;J$2&amp;J$1&amp;"C"&amp;$A27))-IF(RTD("tos.rtd",,$A$2,"."&amp;J$2&amp;J$1&amp;"P"&amp;$A27)="N/A",0,RTD("tos.rtd",,$A$2,"."&amp;J$2&amp;J$1&amp;"P"&amp;$A27))</f>
        <v>118</v>
      </c>
      <c r="K27" s="56">
        <f ca="1">IF(RTD("tos.rtd",,$A$2,"."&amp;K$2&amp;K$1&amp;"C"&amp;$A27)="N/A",0,RTD("tos.rtd",,$A$2,"."&amp;K$2&amp;K$1&amp;"C"&amp;$A27))-IF(RTD("tos.rtd",,$A$2,"."&amp;K$2&amp;K$1&amp;"P"&amp;$A27)="N/A",0,RTD("tos.rtd",,$A$2,"."&amp;K$2&amp;K$1&amp;"P"&amp;$A27))</f>
        <v>603</v>
      </c>
      <c r="L27" s="56">
        <f ca="1">IF(RTD("tos.rtd",,$A$2,"."&amp;L$2&amp;L$1&amp;"C"&amp;$A27)="N/A",0,RTD("tos.rtd",,$A$2,"."&amp;L$2&amp;L$1&amp;"C"&amp;$A27))-IF(RTD("tos.rtd",,$A$2,"."&amp;L$2&amp;L$1&amp;"P"&amp;$A27)="N/A",0,RTD("tos.rtd",,$A$2,"."&amp;L$2&amp;L$1&amp;"P"&amp;$A27))</f>
        <v>0</v>
      </c>
      <c r="M27" s="56">
        <f ca="1">IF(RTD("tos.rtd",,$A$2,"."&amp;M$2&amp;M$1&amp;"C"&amp;$A27)="N/A",0,RTD("tos.rtd",,$A$2,"."&amp;M$2&amp;M$1&amp;"C"&amp;$A27))-IF(RTD("tos.rtd",,$A$2,"."&amp;M$2&amp;M$1&amp;"P"&amp;$A27)="N/A",0,RTD("tos.rtd",,$A$2,"."&amp;M$2&amp;M$1&amp;"P"&amp;$A27))</f>
        <v>59</v>
      </c>
      <c r="N27" s="56">
        <f ca="1">IF(RTD("tos.rtd",,$A$2,"."&amp;N$2&amp;N$1&amp;"C"&amp;$A27)="N/A",0,RTD("tos.rtd",,$A$2,"."&amp;N$2&amp;N$1&amp;"C"&amp;$A27))-IF(RTD("tos.rtd",,$A$2,"."&amp;N$2&amp;N$1&amp;"P"&amp;$A27)="N/A",0,RTD("tos.rtd",,$A$2,"."&amp;N$2&amp;N$1&amp;"P"&amp;$A27))</f>
        <v>0</v>
      </c>
      <c r="O27" s="56">
        <f ca="1">IF(RTD("tos.rtd",,$A$2,"."&amp;O$2&amp;O$1&amp;"C"&amp;$A27)="N/A",0,RTD("tos.rtd",,$A$2,"."&amp;O$2&amp;O$1&amp;"C"&amp;$A27))-IF(RTD("tos.rtd",,$A$2,"."&amp;O$2&amp;O$1&amp;"P"&amp;$A27)="N/A",0,RTD("tos.rtd",,$A$2,"."&amp;O$2&amp;O$1&amp;"P"&amp;$A27))</f>
        <v>-15</v>
      </c>
      <c r="P27" s="56">
        <f ca="1">IF(RTD("tos.rtd",,$A$2,"."&amp;P$2&amp;P$1&amp;"C"&amp;$A27)="N/A",0,RTD("tos.rtd",,$A$2,"."&amp;P$2&amp;P$1&amp;"C"&amp;$A27))-IF(RTD("tos.rtd",,$A$2,"."&amp;P$2&amp;P$1&amp;"P"&amp;$A27)="N/A",0,RTD("tos.rtd",,$A$2,"."&amp;P$2&amp;P$1&amp;"P"&amp;$A27))</f>
        <v>12</v>
      </c>
      <c r="Q27" s="56">
        <f ca="1">IF(RTD("tos.rtd",,$A$2,"."&amp;Q$2&amp;Q$1&amp;"C"&amp;$A27)="N/A",0,RTD("tos.rtd",,$A$2,"."&amp;Q$2&amp;Q$1&amp;"C"&amp;$A27))-IF(RTD("tos.rtd",,$A$2,"."&amp;Q$2&amp;Q$1&amp;"P"&amp;$A27)="N/A",0,RTD("tos.rtd",,$A$2,"."&amp;Q$2&amp;Q$1&amp;"P"&amp;$A27))</f>
        <v>0</v>
      </c>
      <c r="R27" s="56">
        <f ca="1">IF(RTD("tos.rtd",,$A$2,"."&amp;R$2&amp;R$1&amp;"C"&amp;$A27)="N/A",0,RTD("tos.rtd",,$A$2,"."&amp;R$2&amp;R$1&amp;"C"&amp;$A27))-IF(RTD("tos.rtd",,$A$2,"."&amp;R$2&amp;R$1&amp;"P"&amp;$A27)="N/A",0,RTD("tos.rtd",,$A$2,"."&amp;R$2&amp;R$1&amp;"P"&amp;$A27))</f>
        <v>0</v>
      </c>
      <c r="S27" s="56">
        <f ca="1">IF(RTD("tos.rtd",,$A$2,"."&amp;S$2&amp;S$1&amp;"C"&amp;$A27)="N/A",0,RTD("tos.rtd",,$A$2,"."&amp;S$2&amp;S$1&amp;"C"&amp;$A27))-IF(RTD("tos.rtd",,$A$2,"."&amp;S$2&amp;S$1&amp;"P"&amp;$A27)="N/A",0,RTD("tos.rtd",,$A$2,"."&amp;S$2&amp;S$1&amp;"P"&amp;$A27))</f>
        <v>0</v>
      </c>
      <c r="T27" s="56">
        <f ca="1">IF(RTD("tos.rtd",,$A$2,"."&amp;T$2&amp;T$1&amp;"C"&amp;$A27)="N/A",0,RTD("tos.rtd",,$A$2,"."&amp;T$2&amp;T$1&amp;"C"&amp;$A27))-IF(RTD("tos.rtd",,$A$2,"."&amp;T$2&amp;T$1&amp;"P"&amp;$A27)="N/A",0,RTD("tos.rtd",,$A$2,"."&amp;T$2&amp;T$1&amp;"P"&amp;$A27))</f>
        <v>0</v>
      </c>
      <c r="U27" s="56">
        <f ca="1">IF(RTD("tos.rtd",,$A$2,"."&amp;U$2&amp;U$1&amp;"C"&amp;$A27)="N/A",0,RTD("tos.rtd",,$A$2,"."&amp;U$2&amp;U$1&amp;"C"&amp;$A27))-IF(RTD("tos.rtd",,$A$2,"."&amp;U$2&amp;U$1&amp;"P"&amp;$A27)="N/A",0,RTD("tos.rtd",,$A$2,"."&amp;U$2&amp;U$1&amp;"P"&amp;$A27))</f>
        <v>0</v>
      </c>
      <c r="V27" s="56">
        <f ca="1">IF(RTD("tos.rtd",,$A$2,"."&amp;V$2&amp;V$1&amp;"C"&amp;$A27)="N/A",0,RTD("tos.rtd",,$A$2,"."&amp;V$2&amp;V$1&amp;"C"&amp;$A27))-IF(RTD("tos.rtd",,$A$2,"."&amp;V$2&amp;V$1&amp;"P"&amp;$A27)="N/A",0,RTD("tos.rtd",,$A$2,"."&amp;V$2&amp;V$1&amp;"P"&amp;$A27))</f>
        <v>0</v>
      </c>
      <c r="W27" s="56">
        <f ca="1">IF(RTD("tos.rtd",,$A$2,"."&amp;W$2&amp;W$1&amp;"C"&amp;$A27)="N/A",0,RTD("tos.rtd",,$A$2,"."&amp;W$2&amp;W$1&amp;"C"&amp;$A27))-IF(RTD("tos.rtd",,$A$2,"."&amp;W$2&amp;W$1&amp;"P"&amp;$A27)="N/A",0,RTD("tos.rtd",,$A$2,"."&amp;W$2&amp;W$1&amp;"P"&amp;$A27))</f>
        <v>0</v>
      </c>
      <c r="X27" s="56">
        <f ca="1">IF(RTD("tos.rtd",,$A$2,"."&amp;X$2&amp;X$1&amp;"C"&amp;$A27)="N/A",0,RTD("tos.rtd",,$A$2,"."&amp;X$2&amp;X$1&amp;"C"&amp;$A27))-IF(RTD("tos.rtd",,$A$2,"."&amp;X$2&amp;X$1&amp;"P"&amp;$A27)="N/A",0,RTD("tos.rtd",,$A$2,"."&amp;X$2&amp;X$1&amp;"P"&amp;$A27))</f>
        <v>0</v>
      </c>
      <c r="Y27" s="63">
        <f t="shared" ca="1" si="5"/>
        <v>17610</v>
      </c>
    </row>
    <row r="28" spans="1:25" x14ac:dyDescent="0.25">
      <c r="A28" s="58">
        <f>+Hoja1!A27</f>
        <v>666</v>
      </c>
      <c r="B28" s="56">
        <f ca="1">IF(RTD("tos.rtd",,$A$2,"."&amp;B$2&amp;B$1&amp;"C"&amp;$A28)="N/A",0,RTD("tos.rtd",,$A$2,"."&amp;B$2&amp;B$1&amp;"C"&amp;$A28))-IF(RTD("tos.rtd",,$A$2,"."&amp;B$2&amp;B$1&amp;"P"&amp;$A28)="N/A",0,RTD("tos.rtd",,$A$2,"."&amp;B$2&amp;B$1&amp;"P"&amp;$A28))</f>
        <v>-1114</v>
      </c>
      <c r="C28" s="56">
        <f ca="1">IF(RTD("tos.rtd",,$A$2,"."&amp;C$2&amp;C$1&amp;"C"&amp;$A28)="N/A",0,RTD("tos.rtd",,$A$2,"."&amp;C$2&amp;C$1&amp;"C"&amp;$A28))-IF(RTD("tos.rtd",,$A$2,"."&amp;C$2&amp;C$1&amp;"P"&amp;$A28)="N/A",0,RTD("tos.rtd",,$A$2,"."&amp;C$2&amp;C$1&amp;"P"&amp;$A28))</f>
        <v>-1489</v>
      </c>
      <c r="D28" s="56">
        <f ca="1">IF(RTD("tos.rtd",,$A$2,"."&amp;D$2&amp;D$1&amp;"C"&amp;$A28)="N/A",0,RTD("tos.rtd",,$A$2,"."&amp;D$2&amp;D$1&amp;"C"&amp;$A28))-IF(RTD("tos.rtd",,$A$2,"."&amp;D$2&amp;D$1&amp;"P"&amp;$A28)="N/A",0,RTD("tos.rtd",,$A$2,"."&amp;D$2&amp;D$1&amp;"P"&amp;$A28))</f>
        <v>975</v>
      </c>
      <c r="E28" s="56">
        <f ca="1">IF(RTD("tos.rtd",,$A$2,"."&amp;E$2&amp;E$1&amp;"C"&amp;$A28)="N/A",0,RTD("tos.rtd",,$A$2,"."&amp;E$2&amp;E$1&amp;"C"&amp;$A28))-IF(RTD("tos.rtd",,$A$2,"."&amp;E$2&amp;E$1&amp;"P"&amp;$A28)="N/A",0,RTD("tos.rtd",,$A$2,"."&amp;E$2&amp;E$1&amp;"P"&amp;$A28))</f>
        <v>-1114</v>
      </c>
      <c r="F28" s="56">
        <f ca="1">IF(RTD("tos.rtd",,$A$2,"."&amp;F$2&amp;F$1&amp;"C"&amp;$A28)="N/A",0,RTD("tos.rtd",,$A$2,"."&amp;F$2&amp;F$1&amp;"C"&amp;$A28))-IF(RTD("tos.rtd",,$A$2,"."&amp;F$2&amp;F$1&amp;"P"&amp;$A28)="N/A",0,RTD("tos.rtd",,$A$2,"."&amp;F$2&amp;F$1&amp;"P"&amp;$A28))</f>
        <v>0</v>
      </c>
      <c r="G28" s="56">
        <f ca="1">IF(RTD("tos.rtd",,$A$2,"."&amp;G$2&amp;G$1&amp;"C"&amp;$A28)="N/A",0,RTD("tos.rtd",,$A$2,"."&amp;G$2&amp;G$1&amp;"C"&amp;$A28))-IF(RTD("tos.rtd",,$A$2,"."&amp;G$2&amp;G$1&amp;"P"&amp;$A28)="N/A",0,RTD("tos.rtd",,$A$2,"."&amp;G$2&amp;G$1&amp;"P"&amp;$A28))</f>
        <v>0</v>
      </c>
      <c r="H28" s="56">
        <f ca="1">IF(RTD("tos.rtd",,$A$2,"."&amp;H$2&amp;H$1&amp;"C"&amp;$A28)="N/A",0,RTD("tos.rtd",,$A$2,"."&amp;H$2&amp;H$1&amp;"C"&amp;$A28))-IF(RTD("tos.rtd",,$A$2,"."&amp;H$2&amp;H$1&amp;"P"&amp;$A28)="N/A",0,RTD("tos.rtd",,$A$2,"."&amp;H$2&amp;H$1&amp;"P"&amp;$A28))</f>
        <v>617</v>
      </c>
      <c r="I28" s="56">
        <f ca="1">IF(RTD("tos.rtd",,$A$2,"."&amp;I$2&amp;I$1&amp;"C"&amp;$A28)="N/A",0,RTD("tos.rtd",,$A$2,"."&amp;I$2&amp;I$1&amp;"C"&amp;$A28))-IF(RTD("tos.rtd",,$A$2,"."&amp;I$2&amp;I$1&amp;"P"&amp;$A28)="N/A",0,RTD("tos.rtd",,$A$2,"."&amp;I$2&amp;I$1&amp;"P"&amp;$A28))</f>
        <v>-1557</v>
      </c>
      <c r="J28" s="56">
        <f ca="1">IF(RTD("tos.rtd",,$A$2,"."&amp;J$2&amp;J$1&amp;"C"&amp;$A28)="N/A",0,RTD("tos.rtd",,$A$2,"."&amp;J$2&amp;J$1&amp;"C"&amp;$A28))-IF(RTD("tos.rtd",,$A$2,"."&amp;J$2&amp;J$1&amp;"P"&amp;$A28)="N/A",0,RTD("tos.rtd",,$A$2,"."&amp;J$2&amp;J$1&amp;"P"&amp;$A28))</f>
        <v>-235</v>
      </c>
      <c r="K28" s="56">
        <f ca="1">IF(RTD("tos.rtd",,$A$2,"."&amp;K$2&amp;K$1&amp;"C"&amp;$A28)="N/A",0,RTD("tos.rtd",,$A$2,"."&amp;K$2&amp;K$1&amp;"C"&amp;$A28))-IF(RTD("tos.rtd",,$A$2,"."&amp;K$2&amp;K$1&amp;"P"&amp;$A28)="N/A",0,RTD("tos.rtd",,$A$2,"."&amp;K$2&amp;K$1&amp;"P"&amp;$A28))</f>
        <v>648</v>
      </c>
      <c r="L28" s="56">
        <f ca="1">IF(RTD("tos.rtd",,$A$2,"."&amp;L$2&amp;L$1&amp;"C"&amp;$A28)="N/A",0,RTD("tos.rtd",,$A$2,"."&amp;L$2&amp;L$1&amp;"C"&amp;$A28))-IF(RTD("tos.rtd",,$A$2,"."&amp;L$2&amp;L$1&amp;"P"&amp;$A28)="N/A",0,RTD("tos.rtd",,$A$2,"."&amp;L$2&amp;L$1&amp;"P"&amp;$A28))</f>
        <v>0</v>
      </c>
      <c r="M28" s="56">
        <f ca="1">IF(RTD("tos.rtd",,$A$2,"."&amp;M$2&amp;M$1&amp;"C"&amp;$A28)="N/A",0,RTD("tos.rtd",,$A$2,"."&amp;M$2&amp;M$1&amp;"C"&amp;$A28))-IF(RTD("tos.rtd",,$A$2,"."&amp;M$2&amp;M$1&amp;"P"&amp;$A28)="N/A",0,RTD("tos.rtd",,$A$2,"."&amp;M$2&amp;M$1&amp;"P"&amp;$A28))</f>
        <v>-8</v>
      </c>
      <c r="N28" s="56">
        <f ca="1">IF(RTD("tos.rtd",,$A$2,"."&amp;N$2&amp;N$1&amp;"C"&amp;$A28)="N/A",0,RTD("tos.rtd",,$A$2,"."&amp;N$2&amp;N$1&amp;"C"&amp;$A28))-IF(RTD("tos.rtd",,$A$2,"."&amp;N$2&amp;N$1&amp;"P"&amp;$A28)="N/A",0,RTD("tos.rtd",,$A$2,"."&amp;N$2&amp;N$1&amp;"P"&amp;$A28))</f>
        <v>0</v>
      </c>
      <c r="O28" s="56">
        <f ca="1">IF(RTD("tos.rtd",,$A$2,"."&amp;O$2&amp;O$1&amp;"C"&amp;$A28)="N/A",0,RTD("tos.rtd",,$A$2,"."&amp;O$2&amp;O$1&amp;"C"&amp;$A28))-IF(RTD("tos.rtd",,$A$2,"."&amp;O$2&amp;O$1&amp;"P"&amp;$A28)="N/A",0,RTD("tos.rtd",,$A$2,"."&amp;O$2&amp;O$1&amp;"P"&amp;$A28))</f>
        <v>-241</v>
      </c>
      <c r="P28" s="56">
        <f ca="1">IF(RTD("tos.rtd",,$A$2,"."&amp;P$2&amp;P$1&amp;"C"&amp;$A28)="N/A",0,RTD("tos.rtd",,$A$2,"."&amp;P$2&amp;P$1&amp;"C"&amp;$A28))-IF(RTD("tos.rtd",,$A$2,"."&amp;P$2&amp;P$1&amp;"P"&amp;$A28)="N/A",0,RTD("tos.rtd",,$A$2,"."&amp;P$2&amp;P$1&amp;"P"&amp;$A28))</f>
        <v>3</v>
      </c>
      <c r="Q28" s="56">
        <f ca="1">IF(RTD("tos.rtd",,$A$2,"."&amp;Q$2&amp;Q$1&amp;"C"&amp;$A28)="N/A",0,RTD("tos.rtd",,$A$2,"."&amp;Q$2&amp;Q$1&amp;"C"&amp;$A28))-IF(RTD("tos.rtd",,$A$2,"."&amp;Q$2&amp;Q$1&amp;"P"&amp;$A28)="N/A",0,RTD("tos.rtd",,$A$2,"."&amp;Q$2&amp;Q$1&amp;"P"&amp;$A28))</f>
        <v>0</v>
      </c>
      <c r="R28" s="56">
        <f ca="1">IF(RTD("tos.rtd",,$A$2,"."&amp;R$2&amp;R$1&amp;"C"&amp;$A28)="N/A",0,RTD("tos.rtd",,$A$2,"."&amp;R$2&amp;R$1&amp;"C"&amp;$A28))-IF(RTD("tos.rtd",,$A$2,"."&amp;R$2&amp;R$1&amp;"P"&amp;$A28)="N/A",0,RTD("tos.rtd",,$A$2,"."&amp;R$2&amp;R$1&amp;"P"&amp;$A28))</f>
        <v>0</v>
      </c>
      <c r="S28" s="56">
        <f ca="1">IF(RTD("tos.rtd",,$A$2,"."&amp;S$2&amp;S$1&amp;"C"&amp;$A28)="N/A",0,RTD("tos.rtd",,$A$2,"."&amp;S$2&amp;S$1&amp;"C"&amp;$A28))-IF(RTD("tos.rtd",,$A$2,"."&amp;S$2&amp;S$1&amp;"P"&amp;$A28)="N/A",0,RTD("tos.rtd",,$A$2,"."&amp;S$2&amp;S$1&amp;"P"&amp;$A28))</f>
        <v>0</v>
      </c>
      <c r="T28" s="56">
        <f ca="1">IF(RTD("tos.rtd",,$A$2,"."&amp;T$2&amp;T$1&amp;"C"&amp;$A28)="N/A",0,RTD("tos.rtd",,$A$2,"."&amp;T$2&amp;T$1&amp;"C"&amp;$A28))-IF(RTD("tos.rtd",,$A$2,"."&amp;T$2&amp;T$1&amp;"P"&amp;$A28)="N/A",0,RTD("tos.rtd",,$A$2,"."&amp;T$2&amp;T$1&amp;"P"&amp;$A28))</f>
        <v>0</v>
      </c>
      <c r="U28" s="56">
        <f ca="1">IF(RTD("tos.rtd",,$A$2,"."&amp;U$2&amp;U$1&amp;"C"&amp;$A28)="N/A",0,RTD("tos.rtd",,$A$2,"."&amp;U$2&amp;U$1&amp;"C"&amp;$A28))-IF(RTD("tos.rtd",,$A$2,"."&amp;U$2&amp;U$1&amp;"P"&amp;$A28)="N/A",0,RTD("tos.rtd",,$A$2,"."&amp;U$2&amp;U$1&amp;"P"&amp;$A28))</f>
        <v>0</v>
      </c>
      <c r="V28" s="56">
        <f ca="1">IF(RTD("tos.rtd",,$A$2,"."&amp;V$2&amp;V$1&amp;"C"&amp;$A28)="N/A",0,RTD("tos.rtd",,$A$2,"."&amp;V$2&amp;V$1&amp;"C"&amp;$A28))-IF(RTD("tos.rtd",,$A$2,"."&amp;V$2&amp;V$1&amp;"P"&amp;$A28)="N/A",0,RTD("tos.rtd",,$A$2,"."&amp;V$2&amp;V$1&amp;"P"&amp;$A28))</f>
        <v>0</v>
      </c>
      <c r="W28" s="56">
        <f ca="1">IF(RTD("tos.rtd",,$A$2,"."&amp;W$2&amp;W$1&amp;"C"&amp;$A28)="N/A",0,RTD("tos.rtd",,$A$2,"."&amp;W$2&amp;W$1&amp;"C"&amp;$A28))-IF(RTD("tos.rtd",,$A$2,"."&amp;W$2&amp;W$1&amp;"P"&amp;$A28)="N/A",0,RTD("tos.rtd",,$A$2,"."&amp;W$2&amp;W$1&amp;"P"&amp;$A28))</f>
        <v>0</v>
      </c>
      <c r="X28" s="56">
        <f ca="1">IF(RTD("tos.rtd",,$A$2,"."&amp;X$2&amp;X$1&amp;"C"&amp;$A28)="N/A",0,RTD("tos.rtd",,$A$2,"."&amp;X$2&amp;X$1&amp;"C"&amp;$A28))-IF(RTD("tos.rtd",,$A$2,"."&amp;X$2&amp;X$1&amp;"P"&amp;$A28)="N/A",0,RTD("tos.rtd",,$A$2,"."&amp;X$2&amp;X$1&amp;"P"&amp;$A28))</f>
        <v>0</v>
      </c>
      <c r="Y28" s="63">
        <f t="shared" ca="1" si="5"/>
        <v>-3515</v>
      </c>
    </row>
    <row r="29" spans="1:25" x14ac:dyDescent="0.25">
      <c r="A29" s="58">
        <f>+Hoja1!A28</f>
        <v>665</v>
      </c>
      <c r="B29" s="56">
        <f ca="1">IF(RTD("tos.rtd",,$A$2,"."&amp;B$2&amp;B$1&amp;"C"&amp;$A29)="N/A",0,RTD("tos.rtd",,$A$2,"."&amp;B$2&amp;B$1&amp;"C"&amp;$A29))-IF(RTD("tos.rtd",,$A$2,"."&amp;B$2&amp;B$1&amp;"P"&amp;$A29)="N/A",0,RTD("tos.rtd",,$A$2,"."&amp;B$2&amp;B$1&amp;"P"&amp;$A29))</f>
        <v>-32849</v>
      </c>
      <c r="C29" s="56">
        <f ca="1">IF(RTD("tos.rtd",,$A$2,"."&amp;C$2&amp;C$1&amp;"C"&amp;$A29)="N/A",0,RTD("tos.rtd",,$A$2,"."&amp;C$2&amp;C$1&amp;"C"&amp;$A29))-IF(RTD("tos.rtd",,$A$2,"."&amp;C$2&amp;C$1&amp;"P"&amp;$A29)="N/A",0,RTD("tos.rtd",,$A$2,"."&amp;C$2&amp;C$1&amp;"P"&amp;$A29))</f>
        <v>-3600</v>
      </c>
      <c r="D29" s="56">
        <f ca="1">IF(RTD("tos.rtd",,$A$2,"."&amp;D$2&amp;D$1&amp;"C"&amp;$A29)="N/A",0,RTD("tos.rtd",,$A$2,"."&amp;D$2&amp;D$1&amp;"C"&amp;$A29))-IF(RTD("tos.rtd",,$A$2,"."&amp;D$2&amp;D$1&amp;"P"&amp;$A29)="N/A",0,RTD("tos.rtd",,$A$2,"."&amp;D$2&amp;D$1&amp;"P"&amp;$A29))</f>
        <v>275</v>
      </c>
      <c r="E29" s="56">
        <f ca="1">IF(RTD("tos.rtd",,$A$2,"."&amp;E$2&amp;E$1&amp;"C"&amp;$A29)="N/A",0,RTD("tos.rtd",,$A$2,"."&amp;E$2&amp;E$1&amp;"C"&amp;$A29))-IF(RTD("tos.rtd",,$A$2,"."&amp;E$2&amp;E$1&amp;"P"&amp;$A29)="N/A",0,RTD("tos.rtd",,$A$2,"."&amp;E$2&amp;E$1&amp;"P"&amp;$A29))</f>
        <v>-916</v>
      </c>
      <c r="F29" s="56">
        <f ca="1">IF(RTD("tos.rtd",,$A$2,"."&amp;F$2&amp;F$1&amp;"C"&amp;$A29)="N/A",0,RTD("tos.rtd",,$A$2,"."&amp;F$2&amp;F$1&amp;"C"&amp;$A29))-IF(RTD("tos.rtd",,$A$2,"."&amp;F$2&amp;F$1&amp;"P"&amp;$A29)="N/A",0,RTD("tos.rtd",,$A$2,"."&amp;F$2&amp;F$1&amp;"P"&amp;$A29))</f>
        <v>0</v>
      </c>
      <c r="G29" s="56">
        <f ca="1">IF(RTD("tos.rtd",,$A$2,"."&amp;G$2&amp;G$1&amp;"C"&amp;$A29)="N/A",0,RTD("tos.rtd",,$A$2,"."&amp;G$2&amp;G$1&amp;"C"&amp;$A29))-IF(RTD("tos.rtd",,$A$2,"."&amp;G$2&amp;G$1&amp;"P"&amp;$A29)="N/A",0,RTD("tos.rtd",,$A$2,"."&amp;G$2&amp;G$1&amp;"P"&amp;$A29))</f>
        <v>0</v>
      </c>
      <c r="H29" s="56">
        <f ca="1">IF(RTD("tos.rtd",,$A$2,"."&amp;H$2&amp;H$1&amp;"C"&amp;$A29)="N/A",0,RTD("tos.rtd",,$A$2,"."&amp;H$2&amp;H$1&amp;"C"&amp;$A29))-IF(RTD("tos.rtd",,$A$2,"."&amp;H$2&amp;H$1&amp;"P"&amp;$A29)="N/A",0,RTD("tos.rtd",,$A$2,"."&amp;H$2&amp;H$1&amp;"P"&amp;$A29))</f>
        <v>-1123</v>
      </c>
      <c r="I29" s="56">
        <f ca="1">IF(RTD("tos.rtd",,$A$2,"."&amp;I$2&amp;I$1&amp;"C"&amp;$A29)="N/A",0,RTD("tos.rtd",,$A$2,"."&amp;I$2&amp;I$1&amp;"C"&amp;$A29))-IF(RTD("tos.rtd",,$A$2,"."&amp;I$2&amp;I$1&amp;"P"&amp;$A29)="N/A",0,RTD("tos.rtd",,$A$2,"."&amp;I$2&amp;I$1&amp;"P"&amp;$A29))</f>
        <v>54</v>
      </c>
      <c r="J29" s="56">
        <f ca="1">IF(RTD("tos.rtd",,$A$2,"."&amp;J$2&amp;J$1&amp;"C"&amp;$A29)="N/A",0,RTD("tos.rtd",,$A$2,"."&amp;J$2&amp;J$1&amp;"C"&amp;$A29))-IF(RTD("tos.rtd",,$A$2,"."&amp;J$2&amp;J$1&amp;"P"&amp;$A29)="N/A",0,RTD("tos.rtd",,$A$2,"."&amp;J$2&amp;J$1&amp;"P"&amp;$A29))</f>
        <v>-30</v>
      </c>
      <c r="K29" s="56">
        <f ca="1">IF(RTD("tos.rtd",,$A$2,"."&amp;K$2&amp;K$1&amp;"C"&amp;$A29)="N/A",0,RTD("tos.rtd",,$A$2,"."&amp;K$2&amp;K$1&amp;"C"&amp;$A29))-IF(RTD("tos.rtd",,$A$2,"."&amp;K$2&amp;K$1&amp;"P"&amp;$A29)="N/A",0,RTD("tos.rtd",,$A$2,"."&amp;K$2&amp;K$1&amp;"P"&amp;$A29))</f>
        <v>-1243</v>
      </c>
      <c r="L29" s="56">
        <f ca="1">IF(RTD("tos.rtd",,$A$2,"."&amp;L$2&amp;L$1&amp;"C"&amp;$A29)="N/A",0,RTD("tos.rtd",,$A$2,"."&amp;L$2&amp;L$1&amp;"C"&amp;$A29))-IF(RTD("tos.rtd",,$A$2,"."&amp;L$2&amp;L$1&amp;"P"&amp;$A29)="N/A",0,RTD("tos.rtd",,$A$2,"."&amp;L$2&amp;L$1&amp;"P"&amp;$A29))</f>
        <v>0</v>
      </c>
      <c r="M29" s="56">
        <f ca="1">IF(RTD("tos.rtd",,$A$2,"."&amp;M$2&amp;M$1&amp;"C"&amp;$A29)="N/A",0,RTD("tos.rtd",,$A$2,"."&amp;M$2&amp;M$1&amp;"C"&amp;$A29))-IF(RTD("tos.rtd",,$A$2,"."&amp;M$2&amp;M$1&amp;"P"&amp;$A29)="N/A",0,RTD("tos.rtd",,$A$2,"."&amp;M$2&amp;M$1&amp;"P"&amp;$A29))</f>
        <v>61</v>
      </c>
      <c r="N29" s="56">
        <f ca="1">IF(RTD("tos.rtd",,$A$2,"."&amp;N$2&amp;N$1&amp;"C"&amp;$A29)="N/A",0,RTD("tos.rtd",,$A$2,"."&amp;N$2&amp;N$1&amp;"C"&amp;$A29))-IF(RTD("tos.rtd",,$A$2,"."&amp;N$2&amp;N$1&amp;"P"&amp;$A29)="N/A",0,RTD("tos.rtd",,$A$2,"."&amp;N$2&amp;N$1&amp;"P"&amp;$A29))</f>
        <v>0</v>
      </c>
      <c r="O29" s="56">
        <f ca="1">IF(RTD("tos.rtd",,$A$2,"."&amp;O$2&amp;O$1&amp;"C"&amp;$A29)="N/A",0,RTD("tos.rtd",,$A$2,"."&amp;O$2&amp;O$1&amp;"C"&amp;$A29))-IF(RTD("tos.rtd",,$A$2,"."&amp;O$2&amp;O$1&amp;"P"&amp;$A29)="N/A",0,RTD("tos.rtd",,$A$2,"."&amp;O$2&amp;O$1&amp;"P"&amp;$A29))</f>
        <v>-212</v>
      </c>
      <c r="P29" s="56">
        <f ca="1">IF(RTD("tos.rtd",,$A$2,"."&amp;P$2&amp;P$1&amp;"C"&amp;$A29)="N/A",0,RTD("tos.rtd",,$A$2,"."&amp;P$2&amp;P$1&amp;"C"&amp;$A29))-IF(RTD("tos.rtd",,$A$2,"."&amp;P$2&amp;P$1&amp;"P"&amp;$A29)="N/A",0,RTD("tos.rtd",,$A$2,"."&amp;P$2&amp;P$1&amp;"P"&amp;$A29))</f>
        <v>-71</v>
      </c>
      <c r="Q29" s="56">
        <f ca="1">IF(RTD("tos.rtd",,$A$2,"."&amp;Q$2&amp;Q$1&amp;"C"&amp;$A29)="N/A",0,RTD("tos.rtd",,$A$2,"."&amp;Q$2&amp;Q$1&amp;"C"&amp;$A29))-IF(RTD("tos.rtd",,$A$2,"."&amp;Q$2&amp;Q$1&amp;"P"&amp;$A29)="N/A",0,RTD("tos.rtd",,$A$2,"."&amp;Q$2&amp;Q$1&amp;"P"&amp;$A29))</f>
        <v>0</v>
      </c>
      <c r="R29" s="56">
        <f ca="1">IF(RTD("tos.rtd",,$A$2,"."&amp;R$2&amp;R$1&amp;"C"&amp;$A29)="N/A",0,RTD("tos.rtd",,$A$2,"."&amp;R$2&amp;R$1&amp;"C"&amp;$A29))-IF(RTD("tos.rtd",,$A$2,"."&amp;R$2&amp;R$1&amp;"P"&amp;$A29)="N/A",0,RTD("tos.rtd",,$A$2,"."&amp;R$2&amp;R$1&amp;"P"&amp;$A29))</f>
        <v>0</v>
      </c>
      <c r="S29" s="56">
        <f ca="1">IF(RTD("tos.rtd",,$A$2,"."&amp;S$2&amp;S$1&amp;"C"&amp;$A29)="N/A",0,RTD("tos.rtd",,$A$2,"."&amp;S$2&amp;S$1&amp;"C"&amp;$A29))-IF(RTD("tos.rtd",,$A$2,"."&amp;S$2&amp;S$1&amp;"P"&amp;$A29)="N/A",0,RTD("tos.rtd",,$A$2,"."&amp;S$2&amp;S$1&amp;"P"&amp;$A29))</f>
        <v>0</v>
      </c>
      <c r="T29" s="56">
        <f ca="1">IF(RTD("tos.rtd",,$A$2,"."&amp;T$2&amp;T$1&amp;"C"&amp;$A29)="N/A",0,RTD("tos.rtd",,$A$2,"."&amp;T$2&amp;T$1&amp;"C"&amp;$A29))-IF(RTD("tos.rtd",,$A$2,"."&amp;T$2&amp;T$1&amp;"P"&amp;$A29)="N/A",0,RTD("tos.rtd",,$A$2,"."&amp;T$2&amp;T$1&amp;"P"&amp;$A29))</f>
        <v>0</v>
      </c>
      <c r="U29" s="56">
        <f ca="1">IF(RTD("tos.rtd",,$A$2,"."&amp;U$2&amp;U$1&amp;"C"&amp;$A29)="N/A",0,RTD("tos.rtd",,$A$2,"."&amp;U$2&amp;U$1&amp;"C"&amp;$A29))-IF(RTD("tos.rtd",,$A$2,"."&amp;U$2&amp;U$1&amp;"P"&amp;$A29)="N/A",0,RTD("tos.rtd",,$A$2,"."&amp;U$2&amp;U$1&amp;"P"&amp;$A29))</f>
        <v>0</v>
      </c>
      <c r="V29" s="56">
        <f ca="1">IF(RTD("tos.rtd",,$A$2,"."&amp;V$2&amp;V$1&amp;"C"&amp;$A29)="N/A",0,RTD("tos.rtd",,$A$2,"."&amp;V$2&amp;V$1&amp;"C"&amp;$A29))-IF(RTD("tos.rtd",,$A$2,"."&amp;V$2&amp;V$1&amp;"P"&amp;$A29)="N/A",0,RTD("tos.rtd",,$A$2,"."&amp;V$2&amp;V$1&amp;"P"&amp;$A29))</f>
        <v>0</v>
      </c>
      <c r="W29" s="56">
        <f ca="1">IF(RTD("tos.rtd",,$A$2,"."&amp;W$2&amp;W$1&amp;"C"&amp;$A29)="N/A",0,RTD("tos.rtd",,$A$2,"."&amp;W$2&amp;W$1&amp;"C"&amp;$A29))-IF(RTD("tos.rtd",,$A$2,"."&amp;W$2&amp;W$1&amp;"P"&amp;$A29)="N/A",0,RTD("tos.rtd",,$A$2,"."&amp;W$2&amp;W$1&amp;"P"&amp;$A29))</f>
        <v>0</v>
      </c>
      <c r="X29" s="56">
        <f ca="1">IF(RTD("tos.rtd",,$A$2,"."&amp;X$2&amp;X$1&amp;"C"&amp;$A29)="N/A",0,RTD("tos.rtd",,$A$2,"."&amp;X$2&amp;X$1&amp;"C"&amp;$A29))-IF(RTD("tos.rtd",,$A$2,"."&amp;X$2&amp;X$1&amp;"P"&amp;$A29)="N/A",0,RTD("tos.rtd",,$A$2,"."&amp;X$2&amp;X$1&amp;"P"&amp;$A29))</f>
        <v>0</v>
      </c>
      <c r="Y29" s="63">
        <f t="shared" ca="1" si="5"/>
        <v>-39654</v>
      </c>
    </row>
    <row r="30" spans="1:25" x14ac:dyDescent="0.25">
      <c r="A30" s="58">
        <f>+Hoja1!A29</f>
        <v>664</v>
      </c>
      <c r="B30" s="56">
        <f ca="1">IF(RTD("tos.rtd",,$A$2,"."&amp;B$2&amp;B$1&amp;"C"&amp;$A30)="N/A",0,RTD("tos.rtd",,$A$2,"."&amp;B$2&amp;B$1&amp;"C"&amp;$A30))-IF(RTD("tos.rtd",,$A$2,"."&amp;B$2&amp;B$1&amp;"P"&amp;$A30)="N/A",0,RTD("tos.rtd",,$A$2,"."&amp;B$2&amp;B$1&amp;"P"&amp;$A30))</f>
        <v>-21669</v>
      </c>
      <c r="C30" s="56">
        <f ca="1">IF(RTD("tos.rtd",,$A$2,"."&amp;C$2&amp;C$1&amp;"C"&amp;$A30)="N/A",0,RTD("tos.rtd",,$A$2,"."&amp;C$2&amp;C$1&amp;"C"&amp;$A30))-IF(RTD("tos.rtd",,$A$2,"."&amp;C$2&amp;C$1&amp;"P"&amp;$A30)="N/A",0,RTD("tos.rtd",,$A$2,"."&amp;C$2&amp;C$1&amp;"P"&amp;$A30))</f>
        <v>103</v>
      </c>
      <c r="D30" s="56">
        <f ca="1">IF(RTD("tos.rtd",,$A$2,"."&amp;D$2&amp;D$1&amp;"C"&amp;$A30)="N/A",0,RTD("tos.rtd",,$A$2,"."&amp;D$2&amp;D$1&amp;"C"&amp;$A30))-IF(RTD("tos.rtd",,$A$2,"."&amp;D$2&amp;D$1&amp;"P"&amp;$A30)="N/A",0,RTD("tos.rtd",,$A$2,"."&amp;D$2&amp;D$1&amp;"P"&amp;$A30))</f>
        <v>-1812</v>
      </c>
      <c r="E30" s="56">
        <f ca="1">IF(RTD("tos.rtd",,$A$2,"."&amp;E$2&amp;E$1&amp;"C"&amp;$A30)="N/A",0,RTD("tos.rtd",,$A$2,"."&amp;E$2&amp;E$1&amp;"C"&amp;$A30))-IF(RTD("tos.rtd",,$A$2,"."&amp;E$2&amp;E$1&amp;"P"&amp;$A30)="N/A",0,RTD("tos.rtd",,$A$2,"."&amp;E$2&amp;E$1&amp;"P"&amp;$A30))</f>
        <v>566</v>
      </c>
      <c r="F30" s="56">
        <f ca="1">IF(RTD("tos.rtd",,$A$2,"."&amp;F$2&amp;F$1&amp;"C"&amp;$A30)="N/A",0,RTD("tos.rtd",,$A$2,"."&amp;F$2&amp;F$1&amp;"C"&amp;$A30))-IF(RTD("tos.rtd",,$A$2,"."&amp;F$2&amp;F$1&amp;"P"&amp;$A30)="N/A",0,RTD("tos.rtd",,$A$2,"."&amp;F$2&amp;F$1&amp;"P"&amp;$A30))</f>
        <v>0</v>
      </c>
      <c r="G30" s="56">
        <f ca="1">IF(RTD("tos.rtd",,$A$2,"."&amp;G$2&amp;G$1&amp;"C"&amp;$A30)="N/A",0,RTD("tos.rtd",,$A$2,"."&amp;G$2&amp;G$1&amp;"C"&amp;$A30))-IF(RTD("tos.rtd",,$A$2,"."&amp;G$2&amp;G$1&amp;"P"&amp;$A30)="N/A",0,RTD("tos.rtd",,$A$2,"."&amp;G$2&amp;G$1&amp;"P"&amp;$A30))</f>
        <v>0</v>
      </c>
      <c r="H30" s="56">
        <f ca="1">IF(RTD("tos.rtd",,$A$2,"."&amp;H$2&amp;H$1&amp;"C"&amp;$A30)="N/A",0,RTD("tos.rtd",,$A$2,"."&amp;H$2&amp;H$1&amp;"C"&amp;$A30))-IF(RTD("tos.rtd",,$A$2,"."&amp;H$2&amp;H$1&amp;"P"&amp;$A30)="N/A",0,RTD("tos.rtd",,$A$2,"."&amp;H$2&amp;H$1&amp;"P"&amp;$A30))</f>
        <v>267</v>
      </c>
      <c r="I30" s="56">
        <f ca="1">IF(RTD("tos.rtd",,$A$2,"."&amp;I$2&amp;I$1&amp;"C"&amp;$A30)="N/A",0,RTD("tos.rtd",,$A$2,"."&amp;I$2&amp;I$1&amp;"C"&amp;$A30))-IF(RTD("tos.rtd",,$A$2,"."&amp;I$2&amp;I$1&amp;"P"&amp;$A30)="N/A",0,RTD("tos.rtd",,$A$2,"."&amp;I$2&amp;I$1&amp;"P"&amp;$A30))</f>
        <v>36</v>
      </c>
      <c r="J30" s="56">
        <f ca="1">IF(RTD("tos.rtd",,$A$2,"."&amp;J$2&amp;J$1&amp;"C"&amp;$A30)="N/A",0,RTD("tos.rtd",,$A$2,"."&amp;J$2&amp;J$1&amp;"C"&amp;$A30))-IF(RTD("tos.rtd",,$A$2,"."&amp;J$2&amp;J$1&amp;"P"&amp;$A30)="N/A",0,RTD("tos.rtd",,$A$2,"."&amp;J$2&amp;J$1&amp;"P"&amp;$A30))</f>
        <v>-29</v>
      </c>
      <c r="K30" s="56">
        <f ca="1">IF(RTD("tos.rtd",,$A$2,"."&amp;K$2&amp;K$1&amp;"C"&amp;$A30)="N/A",0,RTD("tos.rtd",,$A$2,"."&amp;K$2&amp;K$1&amp;"C"&amp;$A30))-IF(RTD("tos.rtd",,$A$2,"."&amp;K$2&amp;K$1&amp;"P"&amp;$A30)="N/A",0,RTD("tos.rtd",,$A$2,"."&amp;K$2&amp;K$1&amp;"P"&amp;$A30))</f>
        <v>-278</v>
      </c>
      <c r="L30" s="56">
        <f ca="1">IF(RTD("tos.rtd",,$A$2,"."&amp;L$2&amp;L$1&amp;"C"&amp;$A30)="N/A",0,RTD("tos.rtd",,$A$2,"."&amp;L$2&amp;L$1&amp;"C"&amp;$A30))-IF(RTD("tos.rtd",,$A$2,"."&amp;L$2&amp;L$1&amp;"P"&amp;$A30)="N/A",0,RTD("tos.rtd",,$A$2,"."&amp;L$2&amp;L$1&amp;"P"&amp;$A30))</f>
        <v>0</v>
      </c>
      <c r="M30" s="56">
        <f ca="1">IF(RTD("tos.rtd",,$A$2,"."&amp;M$2&amp;M$1&amp;"C"&amp;$A30)="N/A",0,RTD("tos.rtd",,$A$2,"."&amp;M$2&amp;M$1&amp;"C"&amp;$A30))-IF(RTD("tos.rtd",,$A$2,"."&amp;M$2&amp;M$1&amp;"P"&amp;$A30)="N/A",0,RTD("tos.rtd",,$A$2,"."&amp;M$2&amp;M$1&amp;"P"&amp;$A30))</f>
        <v>52</v>
      </c>
      <c r="N30" s="56">
        <f ca="1">IF(RTD("tos.rtd",,$A$2,"."&amp;N$2&amp;N$1&amp;"C"&amp;$A30)="N/A",0,RTD("tos.rtd",,$A$2,"."&amp;N$2&amp;N$1&amp;"C"&amp;$A30))-IF(RTD("tos.rtd",,$A$2,"."&amp;N$2&amp;N$1&amp;"P"&amp;$A30)="N/A",0,RTD("tos.rtd",,$A$2,"."&amp;N$2&amp;N$1&amp;"P"&amp;$A30))</f>
        <v>0</v>
      </c>
      <c r="O30" s="56">
        <f ca="1">IF(RTD("tos.rtd",,$A$2,"."&amp;O$2&amp;O$1&amp;"C"&amp;$A30)="N/A",0,RTD("tos.rtd",,$A$2,"."&amp;O$2&amp;O$1&amp;"C"&amp;$A30))-IF(RTD("tos.rtd",,$A$2,"."&amp;O$2&amp;O$1&amp;"P"&amp;$A30)="N/A",0,RTD("tos.rtd",,$A$2,"."&amp;O$2&amp;O$1&amp;"P"&amp;$A30))</f>
        <v>-555</v>
      </c>
      <c r="P30" s="56">
        <f ca="1">IF(RTD("tos.rtd",,$A$2,"."&amp;P$2&amp;P$1&amp;"C"&amp;$A30)="N/A",0,RTD("tos.rtd",,$A$2,"."&amp;P$2&amp;P$1&amp;"C"&amp;$A30))-IF(RTD("tos.rtd",,$A$2,"."&amp;P$2&amp;P$1&amp;"P"&amp;$A30)="N/A",0,RTD("tos.rtd",,$A$2,"."&amp;P$2&amp;P$1&amp;"P"&amp;$A30))</f>
        <v>-4</v>
      </c>
      <c r="Q30" s="56">
        <f ca="1">IF(RTD("tos.rtd",,$A$2,"."&amp;Q$2&amp;Q$1&amp;"C"&amp;$A30)="N/A",0,RTD("tos.rtd",,$A$2,"."&amp;Q$2&amp;Q$1&amp;"C"&amp;$A30))-IF(RTD("tos.rtd",,$A$2,"."&amp;Q$2&amp;Q$1&amp;"P"&amp;$A30)="N/A",0,RTD("tos.rtd",,$A$2,"."&amp;Q$2&amp;Q$1&amp;"P"&amp;$A30))</f>
        <v>0</v>
      </c>
      <c r="R30" s="56">
        <f ca="1">IF(RTD("tos.rtd",,$A$2,"."&amp;R$2&amp;R$1&amp;"C"&amp;$A30)="N/A",0,RTD("tos.rtd",,$A$2,"."&amp;R$2&amp;R$1&amp;"C"&amp;$A30))-IF(RTD("tos.rtd",,$A$2,"."&amp;R$2&amp;R$1&amp;"P"&amp;$A30)="N/A",0,RTD("tos.rtd",,$A$2,"."&amp;R$2&amp;R$1&amp;"P"&amp;$A30))</f>
        <v>0</v>
      </c>
      <c r="S30" s="56">
        <f ca="1">IF(RTD("tos.rtd",,$A$2,"."&amp;S$2&amp;S$1&amp;"C"&amp;$A30)="N/A",0,RTD("tos.rtd",,$A$2,"."&amp;S$2&amp;S$1&amp;"C"&amp;$A30))-IF(RTD("tos.rtd",,$A$2,"."&amp;S$2&amp;S$1&amp;"P"&amp;$A30)="N/A",0,RTD("tos.rtd",,$A$2,"."&amp;S$2&amp;S$1&amp;"P"&amp;$A30))</f>
        <v>0</v>
      </c>
      <c r="T30" s="56">
        <f ca="1">IF(RTD("tos.rtd",,$A$2,"."&amp;T$2&amp;T$1&amp;"C"&amp;$A30)="N/A",0,RTD("tos.rtd",,$A$2,"."&amp;T$2&amp;T$1&amp;"C"&amp;$A30))-IF(RTD("tos.rtd",,$A$2,"."&amp;T$2&amp;T$1&amp;"P"&amp;$A30)="N/A",0,RTD("tos.rtd",,$A$2,"."&amp;T$2&amp;T$1&amp;"P"&amp;$A30))</f>
        <v>0</v>
      </c>
      <c r="U30" s="56">
        <f ca="1">IF(RTD("tos.rtd",,$A$2,"."&amp;U$2&amp;U$1&amp;"C"&amp;$A30)="N/A",0,RTD("tos.rtd",,$A$2,"."&amp;U$2&amp;U$1&amp;"C"&amp;$A30))-IF(RTD("tos.rtd",,$A$2,"."&amp;U$2&amp;U$1&amp;"P"&amp;$A30)="N/A",0,RTD("tos.rtd",,$A$2,"."&amp;U$2&amp;U$1&amp;"P"&amp;$A30))</f>
        <v>0</v>
      </c>
      <c r="V30" s="56">
        <f ca="1">IF(RTD("tos.rtd",,$A$2,"."&amp;V$2&amp;V$1&amp;"C"&amp;$A30)="N/A",0,RTD("tos.rtd",,$A$2,"."&amp;V$2&amp;V$1&amp;"C"&amp;$A30))-IF(RTD("tos.rtd",,$A$2,"."&amp;V$2&amp;V$1&amp;"P"&amp;$A30)="N/A",0,RTD("tos.rtd",,$A$2,"."&amp;V$2&amp;V$1&amp;"P"&amp;$A30))</f>
        <v>0</v>
      </c>
      <c r="W30" s="56">
        <f ca="1">IF(RTD("tos.rtd",,$A$2,"."&amp;W$2&amp;W$1&amp;"C"&amp;$A30)="N/A",0,RTD("tos.rtd",,$A$2,"."&amp;W$2&amp;W$1&amp;"C"&amp;$A30))-IF(RTD("tos.rtd",,$A$2,"."&amp;W$2&amp;W$1&amp;"P"&amp;$A30)="N/A",0,RTD("tos.rtd",,$A$2,"."&amp;W$2&amp;W$1&amp;"P"&amp;$A30))</f>
        <v>0</v>
      </c>
      <c r="X30" s="56">
        <f ca="1">IF(RTD("tos.rtd",,$A$2,"."&amp;X$2&amp;X$1&amp;"C"&amp;$A30)="N/A",0,RTD("tos.rtd",,$A$2,"."&amp;X$2&amp;X$1&amp;"C"&amp;$A30))-IF(RTD("tos.rtd",,$A$2,"."&amp;X$2&amp;X$1&amp;"P"&amp;$A30)="N/A",0,RTD("tos.rtd",,$A$2,"."&amp;X$2&amp;X$1&amp;"P"&amp;$A30))</f>
        <v>0</v>
      </c>
      <c r="Y30" s="63">
        <f t="shared" ca="1" si="5"/>
        <v>-23323</v>
      </c>
    </row>
    <row r="31" spans="1:25" x14ac:dyDescent="0.25">
      <c r="A31" s="58">
        <f>+Hoja1!A30</f>
        <v>663</v>
      </c>
      <c r="B31" s="56">
        <f ca="1">IF(RTD("tos.rtd",,$A$2,"."&amp;B$2&amp;B$1&amp;"C"&amp;$A31)="N/A",0,RTD("tos.rtd",,$A$2,"."&amp;B$2&amp;B$1&amp;"C"&amp;$A31))-IF(RTD("tos.rtd",,$A$2,"."&amp;B$2&amp;B$1&amp;"P"&amp;$A31)="N/A",0,RTD("tos.rtd",,$A$2,"."&amp;B$2&amp;B$1&amp;"P"&amp;$A31))</f>
        <v>-37565</v>
      </c>
      <c r="C31" s="56">
        <f ca="1">IF(RTD("tos.rtd",,$A$2,"."&amp;C$2&amp;C$1&amp;"C"&amp;$A31)="N/A",0,RTD("tos.rtd",,$A$2,"."&amp;C$2&amp;C$1&amp;"C"&amp;$A31))-IF(RTD("tos.rtd",,$A$2,"."&amp;C$2&amp;C$1&amp;"P"&amp;$A31)="N/A",0,RTD("tos.rtd",,$A$2,"."&amp;C$2&amp;C$1&amp;"P"&amp;$A31))</f>
        <v>-3418</v>
      </c>
      <c r="D31" s="56">
        <f ca="1">IF(RTD("tos.rtd",,$A$2,"."&amp;D$2&amp;D$1&amp;"C"&amp;$A31)="N/A",0,RTD("tos.rtd",,$A$2,"."&amp;D$2&amp;D$1&amp;"C"&amp;$A31))-IF(RTD("tos.rtd",,$A$2,"."&amp;D$2&amp;D$1&amp;"P"&amp;$A31)="N/A",0,RTD("tos.rtd",,$A$2,"."&amp;D$2&amp;D$1&amp;"P"&amp;$A31))</f>
        <v>-6594</v>
      </c>
      <c r="E31" s="56">
        <f ca="1">IF(RTD("tos.rtd",,$A$2,"."&amp;E$2&amp;E$1&amp;"C"&amp;$A31)="N/A",0,RTD("tos.rtd",,$A$2,"."&amp;E$2&amp;E$1&amp;"C"&amp;$A31))-IF(RTD("tos.rtd",,$A$2,"."&amp;E$2&amp;E$1&amp;"P"&amp;$A31)="N/A",0,RTD("tos.rtd",,$A$2,"."&amp;E$2&amp;E$1&amp;"P"&amp;$A31))</f>
        <v>-986</v>
      </c>
      <c r="F31" s="56">
        <f ca="1">IF(RTD("tos.rtd",,$A$2,"."&amp;F$2&amp;F$1&amp;"C"&amp;$A31)="N/A",0,RTD("tos.rtd",,$A$2,"."&amp;F$2&amp;F$1&amp;"C"&amp;$A31))-IF(RTD("tos.rtd",,$A$2,"."&amp;F$2&amp;F$1&amp;"P"&amp;$A31)="N/A",0,RTD("tos.rtd",,$A$2,"."&amp;F$2&amp;F$1&amp;"P"&amp;$A31))</f>
        <v>0</v>
      </c>
      <c r="G31" s="56">
        <f ca="1">IF(RTD("tos.rtd",,$A$2,"."&amp;G$2&amp;G$1&amp;"C"&amp;$A31)="N/A",0,RTD("tos.rtd",,$A$2,"."&amp;G$2&amp;G$1&amp;"C"&amp;$A31))-IF(RTD("tos.rtd",,$A$2,"."&amp;G$2&amp;G$1&amp;"P"&amp;$A31)="N/A",0,RTD("tos.rtd",,$A$2,"."&amp;G$2&amp;G$1&amp;"P"&amp;$A31))</f>
        <v>0</v>
      </c>
      <c r="H31" s="56">
        <f ca="1">IF(RTD("tos.rtd",,$A$2,"."&amp;H$2&amp;H$1&amp;"C"&amp;$A31)="N/A",0,RTD("tos.rtd",,$A$2,"."&amp;H$2&amp;H$1&amp;"C"&amp;$A31))-IF(RTD("tos.rtd",,$A$2,"."&amp;H$2&amp;H$1&amp;"P"&amp;$A31)="N/A",0,RTD("tos.rtd",,$A$2,"."&amp;H$2&amp;H$1&amp;"P"&amp;$A31))</f>
        <v>99</v>
      </c>
      <c r="I31" s="56">
        <f ca="1">IF(RTD("tos.rtd",,$A$2,"."&amp;I$2&amp;I$1&amp;"C"&amp;$A31)="N/A",0,RTD("tos.rtd",,$A$2,"."&amp;I$2&amp;I$1&amp;"C"&amp;$A31))-IF(RTD("tos.rtd",,$A$2,"."&amp;I$2&amp;I$1&amp;"P"&amp;$A31)="N/A",0,RTD("tos.rtd",,$A$2,"."&amp;I$2&amp;I$1&amp;"P"&amp;$A31))</f>
        <v>-155</v>
      </c>
      <c r="J31" s="56">
        <f ca="1">IF(RTD("tos.rtd",,$A$2,"."&amp;J$2&amp;J$1&amp;"C"&amp;$A31)="N/A",0,RTD("tos.rtd",,$A$2,"."&amp;J$2&amp;J$1&amp;"C"&amp;$A31))-IF(RTD("tos.rtd",,$A$2,"."&amp;J$2&amp;J$1&amp;"P"&amp;$A31)="N/A",0,RTD("tos.rtd",,$A$2,"."&amp;J$2&amp;J$1&amp;"P"&amp;$A31))</f>
        <v>-15</v>
      </c>
      <c r="K31" s="56">
        <f ca="1">IF(RTD("tos.rtd",,$A$2,"."&amp;K$2&amp;K$1&amp;"C"&amp;$A31)="N/A",0,RTD("tos.rtd",,$A$2,"."&amp;K$2&amp;K$1&amp;"C"&amp;$A31))-IF(RTD("tos.rtd",,$A$2,"."&amp;K$2&amp;K$1&amp;"P"&amp;$A31)="N/A",0,RTD("tos.rtd",,$A$2,"."&amp;K$2&amp;K$1&amp;"P"&amp;$A31))</f>
        <v>165</v>
      </c>
      <c r="L31" s="56">
        <f ca="1">IF(RTD("tos.rtd",,$A$2,"."&amp;L$2&amp;L$1&amp;"C"&amp;$A31)="N/A",0,RTD("tos.rtd",,$A$2,"."&amp;L$2&amp;L$1&amp;"C"&amp;$A31))-IF(RTD("tos.rtd",,$A$2,"."&amp;L$2&amp;L$1&amp;"P"&amp;$A31)="N/A",0,RTD("tos.rtd",,$A$2,"."&amp;L$2&amp;L$1&amp;"P"&amp;$A31))</f>
        <v>0</v>
      </c>
      <c r="M31" s="56">
        <f ca="1">IF(RTD("tos.rtd",,$A$2,"."&amp;M$2&amp;M$1&amp;"C"&amp;$A31)="N/A",0,RTD("tos.rtd",,$A$2,"."&amp;M$2&amp;M$1&amp;"C"&amp;$A31))-IF(RTD("tos.rtd",,$A$2,"."&amp;M$2&amp;M$1&amp;"P"&amp;$A31)="N/A",0,RTD("tos.rtd",,$A$2,"."&amp;M$2&amp;M$1&amp;"P"&amp;$A31))</f>
        <v>-225</v>
      </c>
      <c r="N31" s="56">
        <f ca="1">IF(RTD("tos.rtd",,$A$2,"."&amp;N$2&amp;N$1&amp;"C"&amp;$A31)="N/A",0,RTD("tos.rtd",,$A$2,"."&amp;N$2&amp;N$1&amp;"C"&amp;$A31))-IF(RTD("tos.rtd",,$A$2,"."&amp;N$2&amp;N$1&amp;"P"&amp;$A31)="N/A",0,RTD("tos.rtd",,$A$2,"."&amp;N$2&amp;N$1&amp;"P"&amp;$A31))</f>
        <v>0</v>
      </c>
      <c r="O31" s="56">
        <f ca="1">IF(RTD("tos.rtd",,$A$2,"."&amp;O$2&amp;O$1&amp;"C"&amp;$A31)="N/A",0,RTD("tos.rtd",,$A$2,"."&amp;O$2&amp;O$1&amp;"C"&amp;$A31))-IF(RTD("tos.rtd",,$A$2,"."&amp;O$2&amp;O$1&amp;"P"&amp;$A31)="N/A",0,RTD("tos.rtd",,$A$2,"."&amp;O$2&amp;O$1&amp;"P"&amp;$A31))</f>
        <v>-250</v>
      </c>
      <c r="P31" s="56">
        <f ca="1">IF(RTD("tos.rtd",,$A$2,"."&amp;P$2&amp;P$1&amp;"C"&amp;$A31)="N/A",0,RTD("tos.rtd",,$A$2,"."&amp;P$2&amp;P$1&amp;"C"&amp;$A31))-IF(RTD("tos.rtd",,$A$2,"."&amp;P$2&amp;P$1&amp;"P"&amp;$A31)="N/A",0,RTD("tos.rtd",,$A$2,"."&amp;P$2&amp;P$1&amp;"P"&amp;$A31))</f>
        <v>9</v>
      </c>
      <c r="Q31" s="56">
        <f ca="1">IF(RTD("tos.rtd",,$A$2,"."&amp;Q$2&amp;Q$1&amp;"C"&amp;$A31)="N/A",0,RTD("tos.rtd",,$A$2,"."&amp;Q$2&amp;Q$1&amp;"C"&amp;$A31))-IF(RTD("tos.rtd",,$A$2,"."&amp;Q$2&amp;Q$1&amp;"P"&amp;$A31)="N/A",0,RTD("tos.rtd",,$A$2,"."&amp;Q$2&amp;Q$1&amp;"P"&amp;$A31))</f>
        <v>0</v>
      </c>
      <c r="R31" s="56">
        <f ca="1">IF(RTD("tos.rtd",,$A$2,"."&amp;R$2&amp;R$1&amp;"C"&amp;$A31)="N/A",0,RTD("tos.rtd",,$A$2,"."&amp;R$2&amp;R$1&amp;"C"&amp;$A31))-IF(RTD("tos.rtd",,$A$2,"."&amp;R$2&amp;R$1&amp;"P"&amp;$A31)="N/A",0,RTD("tos.rtd",,$A$2,"."&amp;R$2&amp;R$1&amp;"P"&amp;$A31))</f>
        <v>0</v>
      </c>
      <c r="S31" s="56">
        <f ca="1">IF(RTD("tos.rtd",,$A$2,"."&amp;S$2&amp;S$1&amp;"C"&amp;$A31)="N/A",0,RTD("tos.rtd",,$A$2,"."&amp;S$2&amp;S$1&amp;"C"&amp;$A31))-IF(RTD("tos.rtd",,$A$2,"."&amp;S$2&amp;S$1&amp;"P"&amp;$A31)="N/A",0,RTD("tos.rtd",,$A$2,"."&amp;S$2&amp;S$1&amp;"P"&amp;$A31))</f>
        <v>0</v>
      </c>
      <c r="T31" s="56">
        <f ca="1">IF(RTD("tos.rtd",,$A$2,"."&amp;T$2&amp;T$1&amp;"C"&amp;$A31)="N/A",0,RTD("tos.rtd",,$A$2,"."&amp;T$2&amp;T$1&amp;"C"&amp;$A31))-IF(RTD("tos.rtd",,$A$2,"."&amp;T$2&amp;T$1&amp;"P"&amp;$A31)="N/A",0,RTD("tos.rtd",,$A$2,"."&amp;T$2&amp;T$1&amp;"P"&amp;$A31))</f>
        <v>0</v>
      </c>
      <c r="U31" s="56">
        <f ca="1">IF(RTD("tos.rtd",,$A$2,"."&amp;U$2&amp;U$1&amp;"C"&amp;$A31)="N/A",0,RTD("tos.rtd",,$A$2,"."&amp;U$2&amp;U$1&amp;"C"&amp;$A31))-IF(RTD("tos.rtd",,$A$2,"."&amp;U$2&amp;U$1&amp;"P"&amp;$A31)="N/A",0,RTD("tos.rtd",,$A$2,"."&amp;U$2&amp;U$1&amp;"P"&amp;$A31))</f>
        <v>0</v>
      </c>
      <c r="V31" s="56">
        <f ca="1">IF(RTD("tos.rtd",,$A$2,"."&amp;V$2&amp;V$1&amp;"C"&amp;$A31)="N/A",0,RTD("tos.rtd",,$A$2,"."&amp;V$2&amp;V$1&amp;"C"&amp;$A31))-IF(RTD("tos.rtd",,$A$2,"."&amp;V$2&amp;V$1&amp;"P"&amp;$A31)="N/A",0,RTD("tos.rtd",,$A$2,"."&amp;V$2&amp;V$1&amp;"P"&amp;$A31))</f>
        <v>0</v>
      </c>
      <c r="W31" s="56">
        <f ca="1">IF(RTD("tos.rtd",,$A$2,"."&amp;W$2&amp;W$1&amp;"C"&amp;$A31)="N/A",0,RTD("tos.rtd",,$A$2,"."&amp;W$2&amp;W$1&amp;"C"&amp;$A31))-IF(RTD("tos.rtd",,$A$2,"."&amp;W$2&amp;W$1&amp;"P"&amp;$A31)="N/A",0,RTD("tos.rtd",,$A$2,"."&amp;W$2&amp;W$1&amp;"P"&amp;$A31))</f>
        <v>0</v>
      </c>
      <c r="X31" s="56">
        <f ca="1">IF(RTD("tos.rtd",,$A$2,"."&amp;X$2&amp;X$1&amp;"C"&amp;$A31)="N/A",0,RTD("tos.rtd",,$A$2,"."&amp;X$2&amp;X$1&amp;"C"&amp;$A31))-IF(RTD("tos.rtd",,$A$2,"."&amp;X$2&amp;X$1&amp;"P"&amp;$A31)="N/A",0,RTD("tos.rtd",,$A$2,"."&amp;X$2&amp;X$1&amp;"P"&amp;$A31))</f>
        <v>0</v>
      </c>
      <c r="Y31" s="63">
        <f t="shared" ca="1" si="5"/>
        <v>-48935</v>
      </c>
    </row>
    <row r="32" spans="1:25" x14ac:dyDescent="0.25">
      <c r="A32" s="58">
        <f>+Hoja1!A31</f>
        <v>662</v>
      </c>
      <c r="B32" s="56">
        <f ca="1">IF(RTD("tos.rtd",,$A$2,"."&amp;B$2&amp;B$1&amp;"C"&amp;$A32)="N/A",0,RTD("tos.rtd",,$A$2,"."&amp;B$2&amp;B$1&amp;"C"&amp;$A32))-IF(RTD("tos.rtd",,$A$2,"."&amp;B$2&amp;B$1&amp;"P"&amp;$A32)="N/A",0,RTD("tos.rtd",,$A$2,"."&amp;B$2&amp;B$1&amp;"P"&amp;$A32))</f>
        <v>-36730</v>
      </c>
      <c r="C32" s="56">
        <f ca="1">IF(RTD("tos.rtd",,$A$2,"."&amp;C$2&amp;C$1&amp;"C"&amp;$A32)="N/A",0,RTD("tos.rtd",,$A$2,"."&amp;C$2&amp;C$1&amp;"C"&amp;$A32))-IF(RTD("tos.rtd",,$A$2,"."&amp;C$2&amp;C$1&amp;"P"&amp;$A32)="N/A",0,RTD("tos.rtd",,$A$2,"."&amp;C$2&amp;C$1&amp;"P"&amp;$A32))</f>
        <v>-8576</v>
      </c>
      <c r="D32" s="56">
        <f ca="1">IF(RTD("tos.rtd",,$A$2,"."&amp;D$2&amp;D$1&amp;"C"&amp;$A32)="N/A",0,RTD("tos.rtd",,$A$2,"."&amp;D$2&amp;D$1&amp;"C"&amp;$A32))-IF(RTD("tos.rtd",,$A$2,"."&amp;D$2&amp;D$1&amp;"P"&amp;$A32)="N/A",0,RTD("tos.rtd",,$A$2,"."&amp;D$2&amp;D$1&amp;"P"&amp;$A32))</f>
        <v>-675</v>
      </c>
      <c r="E32" s="56">
        <f ca="1">IF(RTD("tos.rtd",,$A$2,"."&amp;E$2&amp;E$1&amp;"C"&amp;$A32)="N/A",0,RTD("tos.rtd",,$A$2,"."&amp;E$2&amp;E$1&amp;"C"&amp;$A32))-IF(RTD("tos.rtd",,$A$2,"."&amp;E$2&amp;E$1&amp;"P"&amp;$A32)="N/A",0,RTD("tos.rtd",,$A$2,"."&amp;E$2&amp;E$1&amp;"P"&amp;$A32))</f>
        <v>6285</v>
      </c>
      <c r="F32" s="56">
        <f ca="1">IF(RTD("tos.rtd",,$A$2,"."&amp;F$2&amp;F$1&amp;"C"&amp;$A32)="N/A",0,RTD("tos.rtd",,$A$2,"."&amp;F$2&amp;F$1&amp;"C"&amp;$A32))-IF(RTD("tos.rtd",,$A$2,"."&amp;F$2&amp;F$1&amp;"P"&amp;$A32)="N/A",0,RTD("tos.rtd",,$A$2,"."&amp;F$2&amp;F$1&amp;"P"&amp;$A32))</f>
        <v>0</v>
      </c>
      <c r="G32" s="56">
        <f ca="1">IF(RTD("tos.rtd",,$A$2,"."&amp;G$2&amp;G$1&amp;"C"&amp;$A32)="N/A",0,RTD("tos.rtd",,$A$2,"."&amp;G$2&amp;G$1&amp;"C"&amp;$A32))-IF(RTD("tos.rtd",,$A$2,"."&amp;G$2&amp;G$1&amp;"P"&amp;$A32)="N/A",0,RTD("tos.rtd",,$A$2,"."&amp;G$2&amp;G$1&amp;"P"&amp;$A32))</f>
        <v>0</v>
      </c>
      <c r="H32" s="56">
        <f ca="1">IF(RTD("tos.rtd",,$A$2,"."&amp;H$2&amp;H$1&amp;"C"&amp;$A32)="N/A",0,RTD("tos.rtd",,$A$2,"."&amp;H$2&amp;H$1&amp;"C"&amp;$A32))-IF(RTD("tos.rtd",,$A$2,"."&amp;H$2&amp;H$1&amp;"P"&amp;$A32)="N/A",0,RTD("tos.rtd",,$A$2,"."&amp;H$2&amp;H$1&amp;"P"&amp;$A32))</f>
        <v>23</v>
      </c>
      <c r="I32" s="56">
        <f ca="1">IF(RTD("tos.rtd",,$A$2,"."&amp;I$2&amp;I$1&amp;"C"&amp;$A32)="N/A",0,RTD("tos.rtd",,$A$2,"."&amp;I$2&amp;I$1&amp;"C"&amp;$A32))-IF(RTD("tos.rtd",,$A$2,"."&amp;I$2&amp;I$1&amp;"P"&amp;$A32)="N/A",0,RTD("tos.rtd",,$A$2,"."&amp;I$2&amp;I$1&amp;"P"&amp;$A32))</f>
        <v>201</v>
      </c>
      <c r="J32" s="56">
        <f ca="1">IF(RTD("tos.rtd",,$A$2,"."&amp;J$2&amp;J$1&amp;"C"&amp;$A32)="N/A",0,RTD("tos.rtd",,$A$2,"."&amp;J$2&amp;J$1&amp;"C"&amp;$A32))-IF(RTD("tos.rtd",,$A$2,"."&amp;J$2&amp;J$1&amp;"P"&amp;$A32)="N/A",0,RTD("tos.rtd",,$A$2,"."&amp;J$2&amp;J$1&amp;"P"&amp;$A32))</f>
        <v>-76</v>
      </c>
      <c r="K32" s="56">
        <f ca="1">IF(RTD("tos.rtd",,$A$2,"."&amp;K$2&amp;K$1&amp;"C"&amp;$A32)="N/A",0,RTD("tos.rtd",,$A$2,"."&amp;K$2&amp;K$1&amp;"C"&amp;$A32))-IF(RTD("tos.rtd",,$A$2,"."&amp;K$2&amp;K$1&amp;"P"&amp;$A32)="N/A",0,RTD("tos.rtd",,$A$2,"."&amp;K$2&amp;K$1&amp;"P"&amp;$A32))</f>
        <v>-231</v>
      </c>
      <c r="L32" s="56">
        <f ca="1">IF(RTD("tos.rtd",,$A$2,"."&amp;L$2&amp;L$1&amp;"C"&amp;$A32)="N/A",0,RTD("tos.rtd",,$A$2,"."&amp;L$2&amp;L$1&amp;"C"&amp;$A32))-IF(RTD("tos.rtd",,$A$2,"."&amp;L$2&amp;L$1&amp;"P"&amp;$A32)="N/A",0,RTD("tos.rtd",,$A$2,"."&amp;L$2&amp;L$1&amp;"P"&amp;$A32))</f>
        <v>0</v>
      </c>
      <c r="M32" s="56">
        <f ca="1">IF(RTD("tos.rtd",,$A$2,"."&amp;M$2&amp;M$1&amp;"C"&amp;$A32)="N/A",0,RTD("tos.rtd",,$A$2,"."&amp;M$2&amp;M$1&amp;"C"&amp;$A32))-IF(RTD("tos.rtd",,$A$2,"."&amp;M$2&amp;M$1&amp;"P"&amp;$A32)="N/A",0,RTD("tos.rtd",,$A$2,"."&amp;M$2&amp;M$1&amp;"P"&amp;$A32))</f>
        <v>62</v>
      </c>
      <c r="N32" s="56">
        <f ca="1">IF(RTD("tos.rtd",,$A$2,"."&amp;N$2&amp;N$1&amp;"C"&amp;$A32)="N/A",0,RTD("tos.rtd",,$A$2,"."&amp;N$2&amp;N$1&amp;"C"&amp;$A32))-IF(RTD("tos.rtd",,$A$2,"."&amp;N$2&amp;N$1&amp;"P"&amp;$A32)="N/A",0,RTD("tos.rtd",,$A$2,"."&amp;N$2&amp;N$1&amp;"P"&amp;$A32))</f>
        <v>0</v>
      </c>
      <c r="O32" s="56">
        <f ca="1">IF(RTD("tos.rtd",,$A$2,"."&amp;O$2&amp;O$1&amp;"C"&amp;$A32)="N/A",0,RTD("tos.rtd",,$A$2,"."&amp;O$2&amp;O$1&amp;"C"&amp;$A32))-IF(RTD("tos.rtd",,$A$2,"."&amp;O$2&amp;O$1&amp;"P"&amp;$A32)="N/A",0,RTD("tos.rtd",,$A$2,"."&amp;O$2&amp;O$1&amp;"P"&amp;$A32))</f>
        <v>35</v>
      </c>
      <c r="P32" s="56">
        <f ca="1">IF(RTD("tos.rtd",,$A$2,"."&amp;P$2&amp;P$1&amp;"C"&amp;$A32)="N/A",0,RTD("tos.rtd",,$A$2,"."&amp;P$2&amp;P$1&amp;"C"&amp;$A32))-IF(RTD("tos.rtd",,$A$2,"."&amp;P$2&amp;P$1&amp;"P"&amp;$A32)="N/A",0,RTD("tos.rtd",,$A$2,"."&amp;P$2&amp;P$1&amp;"P"&amp;$A32))</f>
        <v>6</v>
      </c>
      <c r="Q32" s="56">
        <f ca="1">IF(RTD("tos.rtd",,$A$2,"."&amp;Q$2&amp;Q$1&amp;"C"&amp;$A32)="N/A",0,RTD("tos.rtd",,$A$2,"."&amp;Q$2&amp;Q$1&amp;"C"&amp;$A32))-IF(RTD("tos.rtd",,$A$2,"."&amp;Q$2&amp;Q$1&amp;"P"&amp;$A32)="N/A",0,RTD("tos.rtd",,$A$2,"."&amp;Q$2&amp;Q$1&amp;"P"&amp;$A32))</f>
        <v>0</v>
      </c>
      <c r="R32" s="56">
        <f ca="1">IF(RTD("tos.rtd",,$A$2,"."&amp;R$2&amp;R$1&amp;"C"&amp;$A32)="N/A",0,RTD("tos.rtd",,$A$2,"."&amp;R$2&amp;R$1&amp;"C"&amp;$A32))-IF(RTD("tos.rtd",,$A$2,"."&amp;R$2&amp;R$1&amp;"P"&amp;$A32)="N/A",0,RTD("tos.rtd",,$A$2,"."&amp;R$2&amp;R$1&amp;"P"&amp;$A32))</f>
        <v>0</v>
      </c>
      <c r="S32" s="56">
        <f ca="1">IF(RTD("tos.rtd",,$A$2,"."&amp;S$2&amp;S$1&amp;"C"&amp;$A32)="N/A",0,RTD("tos.rtd",,$A$2,"."&amp;S$2&amp;S$1&amp;"C"&amp;$A32))-IF(RTD("tos.rtd",,$A$2,"."&amp;S$2&amp;S$1&amp;"P"&amp;$A32)="N/A",0,RTD("tos.rtd",,$A$2,"."&amp;S$2&amp;S$1&amp;"P"&amp;$A32))</f>
        <v>0</v>
      </c>
      <c r="T32" s="56">
        <f ca="1">IF(RTD("tos.rtd",,$A$2,"."&amp;T$2&amp;T$1&amp;"C"&amp;$A32)="N/A",0,RTD("tos.rtd",,$A$2,"."&amp;T$2&amp;T$1&amp;"C"&amp;$A32))-IF(RTD("tos.rtd",,$A$2,"."&amp;T$2&amp;T$1&amp;"P"&amp;$A32)="N/A",0,RTD("tos.rtd",,$A$2,"."&amp;T$2&amp;T$1&amp;"P"&amp;$A32))</f>
        <v>0</v>
      </c>
      <c r="U32" s="56">
        <f ca="1">IF(RTD("tos.rtd",,$A$2,"."&amp;U$2&amp;U$1&amp;"C"&amp;$A32)="N/A",0,RTD("tos.rtd",,$A$2,"."&amp;U$2&amp;U$1&amp;"C"&amp;$A32))-IF(RTD("tos.rtd",,$A$2,"."&amp;U$2&amp;U$1&amp;"P"&amp;$A32)="N/A",0,RTD("tos.rtd",,$A$2,"."&amp;U$2&amp;U$1&amp;"P"&amp;$A32))</f>
        <v>0</v>
      </c>
      <c r="V32" s="56">
        <f ca="1">IF(RTD("tos.rtd",,$A$2,"."&amp;V$2&amp;V$1&amp;"C"&amp;$A32)="N/A",0,RTD("tos.rtd",,$A$2,"."&amp;V$2&amp;V$1&amp;"C"&amp;$A32))-IF(RTD("tos.rtd",,$A$2,"."&amp;V$2&amp;V$1&amp;"P"&amp;$A32)="N/A",0,RTD("tos.rtd",,$A$2,"."&amp;V$2&amp;V$1&amp;"P"&amp;$A32))</f>
        <v>0</v>
      </c>
      <c r="W32" s="56">
        <f ca="1">IF(RTD("tos.rtd",,$A$2,"."&amp;W$2&amp;W$1&amp;"C"&amp;$A32)="N/A",0,RTD("tos.rtd",,$A$2,"."&amp;W$2&amp;W$1&amp;"C"&amp;$A32))-IF(RTD("tos.rtd",,$A$2,"."&amp;W$2&amp;W$1&amp;"P"&amp;$A32)="N/A",0,RTD("tos.rtd",,$A$2,"."&amp;W$2&amp;W$1&amp;"P"&amp;$A32))</f>
        <v>0</v>
      </c>
      <c r="X32" s="56">
        <f ca="1">IF(RTD("tos.rtd",,$A$2,"."&amp;X$2&amp;X$1&amp;"C"&amp;$A32)="N/A",0,RTD("tos.rtd",,$A$2,"."&amp;X$2&amp;X$1&amp;"C"&amp;$A32))-IF(RTD("tos.rtd",,$A$2,"."&amp;X$2&amp;X$1&amp;"P"&amp;$A32)="N/A",0,RTD("tos.rtd",,$A$2,"."&amp;X$2&amp;X$1&amp;"P"&amp;$A32))</f>
        <v>0</v>
      </c>
      <c r="Y32" s="63">
        <f t="shared" ca="1" si="5"/>
        <v>-39676</v>
      </c>
    </row>
    <row r="33" spans="1:25" x14ac:dyDescent="0.25">
      <c r="A33" s="58">
        <f>+Hoja1!A32</f>
        <v>661</v>
      </c>
      <c r="B33" s="56">
        <f ca="1">IF(RTD("tos.rtd",,$A$2,"."&amp;B$2&amp;B$1&amp;"C"&amp;$A33)="N/A",0,RTD("tos.rtd",,$A$2,"."&amp;B$2&amp;B$1&amp;"C"&amp;$A33))-IF(RTD("tos.rtd",,$A$2,"."&amp;B$2&amp;B$1&amp;"P"&amp;$A33)="N/A",0,RTD("tos.rtd",,$A$2,"."&amp;B$2&amp;B$1&amp;"P"&amp;$A33))</f>
        <v>-20498</v>
      </c>
      <c r="C33" s="56">
        <f ca="1">IF(RTD("tos.rtd",,$A$2,"."&amp;C$2&amp;C$1&amp;"C"&amp;$A33)="N/A",0,RTD("tos.rtd",,$A$2,"."&amp;C$2&amp;C$1&amp;"C"&amp;$A33))-IF(RTD("tos.rtd",,$A$2,"."&amp;C$2&amp;C$1&amp;"P"&amp;$A33)="N/A",0,RTD("tos.rtd",,$A$2,"."&amp;C$2&amp;C$1&amp;"P"&amp;$A33))</f>
        <v>-3011</v>
      </c>
      <c r="D33" s="56">
        <f ca="1">IF(RTD("tos.rtd",,$A$2,"."&amp;D$2&amp;D$1&amp;"C"&amp;$A33)="N/A",0,RTD("tos.rtd",,$A$2,"."&amp;D$2&amp;D$1&amp;"C"&amp;$A33))-IF(RTD("tos.rtd",,$A$2,"."&amp;D$2&amp;D$1&amp;"P"&amp;$A33)="N/A",0,RTD("tos.rtd",,$A$2,"."&amp;D$2&amp;D$1&amp;"P"&amp;$A33))</f>
        <v>-2414</v>
      </c>
      <c r="E33" s="56">
        <f ca="1">IF(RTD("tos.rtd",,$A$2,"."&amp;E$2&amp;E$1&amp;"C"&amp;$A33)="N/A",0,RTD("tos.rtd",,$A$2,"."&amp;E$2&amp;E$1&amp;"C"&amp;$A33))-IF(RTD("tos.rtd",,$A$2,"."&amp;E$2&amp;E$1&amp;"P"&amp;$A33)="N/A",0,RTD("tos.rtd",,$A$2,"."&amp;E$2&amp;E$1&amp;"P"&amp;$A33))</f>
        <v>-170</v>
      </c>
      <c r="F33" s="56">
        <f ca="1">IF(RTD("tos.rtd",,$A$2,"."&amp;F$2&amp;F$1&amp;"C"&amp;$A33)="N/A",0,RTD("tos.rtd",,$A$2,"."&amp;F$2&amp;F$1&amp;"C"&amp;$A33))-IF(RTD("tos.rtd",,$A$2,"."&amp;F$2&amp;F$1&amp;"P"&amp;$A33)="N/A",0,RTD("tos.rtd",,$A$2,"."&amp;F$2&amp;F$1&amp;"P"&amp;$A33))</f>
        <v>0</v>
      </c>
      <c r="G33" s="56">
        <f ca="1">IF(RTD("tos.rtd",,$A$2,"."&amp;G$2&amp;G$1&amp;"C"&amp;$A33)="N/A",0,RTD("tos.rtd",,$A$2,"."&amp;G$2&amp;G$1&amp;"C"&amp;$A33))-IF(RTD("tos.rtd",,$A$2,"."&amp;G$2&amp;G$1&amp;"P"&amp;$A33)="N/A",0,RTD("tos.rtd",,$A$2,"."&amp;G$2&amp;G$1&amp;"P"&amp;$A33))</f>
        <v>0</v>
      </c>
      <c r="H33" s="56">
        <f ca="1">IF(RTD("tos.rtd",,$A$2,"."&amp;H$2&amp;H$1&amp;"C"&amp;$A33)="N/A",0,RTD("tos.rtd",,$A$2,"."&amp;H$2&amp;H$1&amp;"C"&amp;$A33))-IF(RTD("tos.rtd",,$A$2,"."&amp;H$2&amp;H$1&amp;"P"&amp;$A33)="N/A",0,RTD("tos.rtd",,$A$2,"."&amp;H$2&amp;H$1&amp;"P"&amp;$A33))</f>
        <v>-4144</v>
      </c>
      <c r="I33" s="56">
        <f ca="1">IF(RTD("tos.rtd",,$A$2,"."&amp;I$2&amp;I$1&amp;"C"&amp;$A33)="N/A",0,RTD("tos.rtd",,$A$2,"."&amp;I$2&amp;I$1&amp;"C"&amp;$A33))-IF(RTD("tos.rtd",,$A$2,"."&amp;I$2&amp;I$1&amp;"P"&amp;$A33)="N/A",0,RTD("tos.rtd",,$A$2,"."&amp;I$2&amp;I$1&amp;"P"&amp;$A33))</f>
        <v>-8</v>
      </c>
      <c r="J33" s="56">
        <f ca="1">IF(RTD("tos.rtd",,$A$2,"."&amp;J$2&amp;J$1&amp;"C"&amp;$A33)="N/A",0,RTD("tos.rtd",,$A$2,"."&amp;J$2&amp;J$1&amp;"C"&amp;$A33))-IF(RTD("tos.rtd",,$A$2,"."&amp;J$2&amp;J$1&amp;"P"&amp;$A33)="N/A",0,RTD("tos.rtd",,$A$2,"."&amp;J$2&amp;J$1&amp;"P"&amp;$A33))</f>
        <v>-64</v>
      </c>
      <c r="K33" s="56">
        <f ca="1">IF(RTD("tos.rtd",,$A$2,"."&amp;K$2&amp;K$1&amp;"C"&amp;$A33)="N/A",0,RTD("tos.rtd",,$A$2,"."&amp;K$2&amp;K$1&amp;"C"&amp;$A33))-IF(RTD("tos.rtd",,$A$2,"."&amp;K$2&amp;K$1&amp;"P"&amp;$A33)="N/A",0,RTD("tos.rtd",,$A$2,"."&amp;K$2&amp;K$1&amp;"P"&amp;$A33))</f>
        <v>-219</v>
      </c>
      <c r="L33" s="56">
        <f ca="1">IF(RTD("tos.rtd",,$A$2,"."&amp;L$2&amp;L$1&amp;"C"&amp;$A33)="N/A",0,RTD("tos.rtd",,$A$2,"."&amp;L$2&amp;L$1&amp;"C"&amp;$A33))-IF(RTD("tos.rtd",,$A$2,"."&amp;L$2&amp;L$1&amp;"P"&amp;$A33)="N/A",0,RTD("tos.rtd",,$A$2,"."&amp;L$2&amp;L$1&amp;"P"&amp;$A33))</f>
        <v>0</v>
      </c>
      <c r="M33" s="56">
        <f ca="1">IF(RTD("tos.rtd",,$A$2,"."&amp;M$2&amp;M$1&amp;"C"&amp;$A33)="N/A",0,RTD("tos.rtd",,$A$2,"."&amp;M$2&amp;M$1&amp;"C"&amp;$A33))-IF(RTD("tos.rtd",,$A$2,"."&amp;M$2&amp;M$1&amp;"P"&amp;$A33)="N/A",0,RTD("tos.rtd",,$A$2,"."&amp;M$2&amp;M$1&amp;"P"&amp;$A33))</f>
        <v>59</v>
      </c>
      <c r="N33" s="56">
        <f ca="1">IF(RTD("tos.rtd",,$A$2,"."&amp;N$2&amp;N$1&amp;"C"&amp;$A33)="N/A",0,RTD("tos.rtd",,$A$2,"."&amp;N$2&amp;N$1&amp;"C"&amp;$A33))-IF(RTD("tos.rtd",,$A$2,"."&amp;N$2&amp;N$1&amp;"P"&amp;$A33)="N/A",0,RTD("tos.rtd",,$A$2,"."&amp;N$2&amp;N$1&amp;"P"&amp;$A33))</f>
        <v>0</v>
      </c>
      <c r="O33" s="56">
        <f ca="1">IF(RTD("tos.rtd",,$A$2,"."&amp;O$2&amp;O$1&amp;"C"&amp;$A33)="N/A",0,RTD("tos.rtd",,$A$2,"."&amp;O$2&amp;O$1&amp;"C"&amp;$A33))-IF(RTD("tos.rtd",,$A$2,"."&amp;O$2&amp;O$1&amp;"P"&amp;$A33)="N/A",0,RTD("tos.rtd",,$A$2,"."&amp;O$2&amp;O$1&amp;"P"&amp;$A33))</f>
        <v>-10</v>
      </c>
      <c r="P33" s="56">
        <f ca="1">IF(RTD("tos.rtd",,$A$2,"."&amp;P$2&amp;P$1&amp;"C"&amp;$A33)="N/A",0,RTD("tos.rtd",,$A$2,"."&amp;P$2&amp;P$1&amp;"C"&amp;$A33))-IF(RTD("tos.rtd",,$A$2,"."&amp;P$2&amp;P$1&amp;"P"&amp;$A33)="N/A",0,RTD("tos.rtd",,$A$2,"."&amp;P$2&amp;P$1&amp;"P"&amp;$A33))</f>
        <v>239</v>
      </c>
      <c r="Q33" s="56">
        <f ca="1">IF(RTD("tos.rtd",,$A$2,"."&amp;Q$2&amp;Q$1&amp;"C"&amp;$A33)="N/A",0,RTD("tos.rtd",,$A$2,"."&amp;Q$2&amp;Q$1&amp;"C"&amp;$A33))-IF(RTD("tos.rtd",,$A$2,"."&amp;Q$2&amp;Q$1&amp;"P"&amp;$A33)="N/A",0,RTD("tos.rtd",,$A$2,"."&amp;Q$2&amp;Q$1&amp;"P"&amp;$A33))</f>
        <v>0</v>
      </c>
      <c r="R33" s="56">
        <f ca="1">IF(RTD("tos.rtd",,$A$2,"."&amp;R$2&amp;R$1&amp;"C"&amp;$A33)="N/A",0,RTD("tos.rtd",,$A$2,"."&amp;R$2&amp;R$1&amp;"C"&amp;$A33))-IF(RTD("tos.rtd",,$A$2,"."&amp;R$2&amp;R$1&amp;"P"&amp;$A33)="N/A",0,RTD("tos.rtd",,$A$2,"."&amp;R$2&amp;R$1&amp;"P"&amp;$A33))</f>
        <v>0</v>
      </c>
      <c r="S33" s="56">
        <f ca="1">IF(RTD("tos.rtd",,$A$2,"."&amp;S$2&amp;S$1&amp;"C"&amp;$A33)="N/A",0,RTD("tos.rtd",,$A$2,"."&amp;S$2&amp;S$1&amp;"C"&amp;$A33))-IF(RTD("tos.rtd",,$A$2,"."&amp;S$2&amp;S$1&amp;"P"&amp;$A33)="N/A",0,RTD("tos.rtd",,$A$2,"."&amp;S$2&amp;S$1&amp;"P"&amp;$A33))</f>
        <v>0</v>
      </c>
      <c r="T33" s="56">
        <f ca="1">IF(RTD("tos.rtd",,$A$2,"."&amp;T$2&amp;T$1&amp;"C"&amp;$A33)="N/A",0,RTD("tos.rtd",,$A$2,"."&amp;T$2&amp;T$1&amp;"C"&amp;$A33))-IF(RTD("tos.rtd",,$A$2,"."&amp;T$2&amp;T$1&amp;"P"&amp;$A33)="N/A",0,RTD("tos.rtd",,$A$2,"."&amp;T$2&amp;T$1&amp;"P"&amp;$A33))</f>
        <v>0</v>
      </c>
      <c r="U33" s="56">
        <f ca="1">IF(RTD("tos.rtd",,$A$2,"."&amp;U$2&amp;U$1&amp;"C"&amp;$A33)="N/A",0,RTD("tos.rtd",,$A$2,"."&amp;U$2&amp;U$1&amp;"C"&amp;$A33))-IF(RTD("tos.rtd",,$A$2,"."&amp;U$2&amp;U$1&amp;"P"&amp;$A33)="N/A",0,RTD("tos.rtd",,$A$2,"."&amp;U$2&amp;U$1&amp;"P"&amp;$A33))</f>
        <v>0</v>
      </c>
      <c r="V33" s="56">
        <f ca="1">IF(RTD("tos.rtd",,$A$2,"."&amp;V$2&amp;V$1&amp;"C"&amp;$A33)="N/A",0,RTD("tos.rtd",,$A$2,"."&amp;V$2&amp;V$1&amp;"C"&amp;$A33))-IF(RTD("tos.rtd",,$A$2,"."&amp;V$2&amp;V$1&amp;"P"&amp;$A33)="N/A",0,RTD("tos.rtd",,$A$2,"."&amp;V$2&amp;V$1&amp;"P"&amp;$A33))</f>
        <v>0</v>
      </c>
      <c r="W33" s="56">
        <f ca="1">IF(RTD("tos.rtd",,$A$2,"."&amp;W$2&amp;W$1&amp;"C"&amp;$A33)="N/A",0,RTD("tos.rtd",,$A$2,"."&amp;W$2&amp;W$1&amp;"C"&amp;$A33))-IF(RTD("tos.rtd",,$A$2,"."&amp;W$2&amp;W$1&amp;"P"&amp;$A33)="N/A",0,RTD("tos.rtd",,$A$2,"."&amp;W$2&amp;W$1&amp;"P"&amp;$A33))</f>
        <v>0</v>
      </c>
      <c r="X33" s="56">
        <f ca="1">IF(RTD("tos.rtd",,$A$2,"."&amp;X$2&amp;X$1&amp;"C"&amp;$A33)="N/A",0,RTD("tos.rtd",,$A$2,"."&amp;X$2&amp;X$1&amp;"C"&amp;$A33))-IF(RTD("tos.rtd",,$A$2,"."&amp;X$2&amp;X$1&amp;"P"&amp;$A33)="N/A",0,RTD("tos.rtd",,$A$2,"."&amp;X$2&amp;X$1&amp;"P"&amp;$A33))</f>
        <v>0</v>
      </c>
      <c r="Y33" s="63">
        <f t="shared" ca="1" si="5"/>
        <v>-30240</v>
      </c>
    </row>
    <row r="34" spans="1:25" x14ac:dyDescent="0.25">
      <c r="A34" s="58">
        <f>+Hoja1!A33</f>
        <v>660</v>
      </c>
      <c r="B34" s="56">
        <f ca="1">IF(RTD("tos.rtd",,$A$2,"."&amp;B$2&amp;B$1&amp;"C"&amp;$A34)="N/A",0,RTD("tos.rtd",,$A$2,"."&amp;B$2&amp;B$1&amp;"C"&amp;$A34))-IF(RTD("tos.rtd",,$A$2,"."&amp;B$2&amp;B$1&amp;"P"&amp;$A34)="N/A",0,RTD("tos.rtd",,$A$2,"."&amp;B$2&amp;B$1&amp;"P"&amp;$A34))</f>
        <v>-67977</v>
      </c>
      <c r="C34" s="56">
        <f ca="1">IF(RTD("tos.rtd",,$A$2,"."&amp;C$2&amp;C$1&amp;"C"&amp;$A34)="N/A",0,RTD("tos.rtd",,$A$2,"."&amp;C$2&amp;C$1&amp;"C"&amp;$A34))-IF(RTD("tos.rtd",,$A$2,"."&amp;C$2&amp;C$1&amp;"P"&amp;$A34)="N/A",0,RTD("tos.rtd",,$A$2,"."&amp;C$2&amp;C$1&amp;"P"&amp;$A34))</f>
        <v>-17722</v>
      </c>
      <c r="D34" s="56">
        <f ca="1">IF(RTD("tos.rtd",,$A$2,"."&amp;D$2&amp;D$1&amp;"C"&amp;$A34)="N/A",0,RTD("tos.rtd",,$A$2,"."&amp;D$2&amp;D$1&amp;"C"&amp;$A34))-IF(RTD("tos.rtd",,$A$2,"."&amp;D$2&amp;D$1&amp;"P"&amp;$A34)="N/A",0,RTD("tos.rtd",,$A$2,"."&amp;D$2&amp;D$1&amp;"P"&amp;$A34))</f>
        <v>-7442</v>
      </c>
      <c r="E34" s="56">
        <f ca="1">IF(RTD("tos.rtd",,$A$2,"."&amp;E$2&amp;E$1&amp;"C"&amp;$A34)="N/A",0,RTD("tos.rtd",,$A$2,"."&amp;E$2&amp;E$1&amp;"C"&amp;$A34))-IF(RTD("tos.rtd",,$A$2,"."&amp;E$2&amp;E$1&amp;"P"&amp;$A34)="N/A",0,RTD("tos.rtd",,$A$2,"."&amp;E$2&amp;E$1&amp;"P"&amp;$A34))</f>
        <v>-1902</v>
      </c>
      <c r="F34" s="56">
        <f ca="1">IF(RTD("tos.rtd",,$A$2,"."&amp;F$2&amp;F$1&amp;"C"&amp;$A34)="N/A",0,RTD("tos.rtd",,$A$2,"."&amp;F$2&amp;F$1&amp;"C"&amp;$A34))-IF(RTD("tos.rtd",,$A$2,"."&amp;F$2&amp;F$1&amp;"P"&amp;$A34)="N/A",0,RTD("tos.rtd",,$A$2,"."&amp;F$2&amp;F$1&amp;"P"&amp;$A34))</f>
        <v>0</v>
      </c>
      <c r="G34" s="56">
        <f ca="1">IF(RTD("tos.rtd",,$A$2,"."&amp;G$2&amp;G$1&amp;"C"&amp;$A34)="N/A",0,RTD("tos.rtd",,$A$2,"."&amp;G$2&amp;G$1&amp;"C"&amp;$A34))-IF(RTD("tos.rtd",,$A$2,"."&amp;G$2&amp;G$1&amp;"P"&amp;$A34)="N/A",0,RTD("tos.rtd",,$A$2,"."&amp;G$2&amp;G$1&amp;"P"&amp;$A34))</f>
        <v>0</v>
      </c>
      <c r="H34" s="56">
        <f ca="1">IF(RTD("tos.rtd",,$A$2,"."&amp;H$2&amp;H$1&amp;"C"&amp;$A34)="N/A",0,RTD("tos.rtd",,$A$2,"."&amp;H$2&amp;H$1&amp;"C"&amp;$A34))-IF(RTD("tos.rtd",,$A$2,"."&amp;H$2&amp;H$1&amp;"P"&amp;$A34)="N/A",0,RTD("tos.rtd",,$A$2,"."&amp;H$2&amp;H$1&amp;"P"&amp;$A34))</f>
        <v>-3998</v>
      </c>
      <c r="I34" s="56">
        <f ca="1">IF(RTD("tos.rtd",,$A$2,"."&amp;I$2&amp;I$1&amp;"C"&amp;$A34)="N/A",0,RTD("tos.rtd",,$A$2,"."&amp;I$2&amp;I$1&amp;"C"&amp;$A34))-IF(RTD("tos.rtd",,$A$2,"."&amp;I$2&amp;I$1&amp;"P"&amp;$A34)="N/A",0,RTD("tos.rtd",,$A$2,"."&amp;I$2&amp;I$1&amp;"P"&amp;$A34))</f>
        <v>-703</v>
      </c>
      <c r="J34" s="56">
        <f ca="1">IF(RTD("tos.rtd",,$A$2,"."&amp;J$2&amp;J$1&amp;"C"&amp;$A34)="N/A",0,RTD("tos.rtd",,$A$2,"."&amp;J$2&amp;J$1&amp;"C"&amp;$A34))-IF(RTD("tos.rtd",,$A$2,"."&amp;J$2&amp;J$1&amp;"P"&amp;$A34)="N/A",0,RTD("tos.rtd",,$A$2,"."&amp;J$2&amp;J$1&amp;"P"&amp;$A34))</f>
        <v>-951</v>
      </c>
      <c r="K34" s="56">
        <f ca="1">IF(RTD("tos.rtd",,$A$2,"."&amp;K$2&amp;K$1&amp;"C"&amp;$A34)="N/A",0,RTD("tos.rtd",,$A$2,"."&amp;K$2&amp;K$1&amp;"C"&amp;$A34))-IF(RTD("tos.rtd",,$A$2,"."&amp;K$2&amp;K$1&amp;"P"&amp;$A34)="N/A",0,RTD("tos.rtd",,$A$2,"."&amp;K$2&amp;K$1&amp;"P"&amp;$A34))</f>
        <v>-10813</v>
      </c>
      <c r="L34" s="56">
        <f ca="1">IF(RTD("tos.rtd",,$A$2,"."&amp;L$2&amp;L$1&amp;"C"&amp;$A34)="N/A",0,RTD("tos.rtd",,$A$2,"."&amp;L$2&amp;L$1&amp;"C"&amp;$A34))-IF(RTD("tos.rtd",,$A$2,"."&amp;L$2&amp;L$1&amp;"P"&amp;$A34)="N/A",0,RTD("tos.rtd",,$A$2,"."&amp;L$2&amp;L$1&amp;"P"&amp;$A34))</f>
        <v>0</v>
      </c>
      <c r="M34" s="56">
        <f ca="1">IF(RTD("tos.rtd",,$A$2,"."&amp;M$2&amp;M$1&amp;"C"&amp;$A34)="N/A",0,RTD("tos.rtd",,$A$2,"."&amp;M$2&amp;M$1&amp;"C"&amp;$A34))-IF(RTD("tos.rtd",,$A$2,"."&amp;M$2&amp;M$1&amp;"P"&amp;$A34)="N/A",0,RTD("tos.rtd",,$A$2,"."&amp;M$2&amp;M$1&amp;"P"&amp;$A34))</f>
        <v>-48</v>
      </c>
      <c r="N34" s="56">
        <f ca="1">IF(RTD("tos.rtd",,$A$2,"."&amp;N$2&amp;N$1&amp;"C"&amp;$A34)="N/A",0,RTD("tos.rtd",,$A$2,"."&amp;N$2&amp;N$1&amp;"C"&amp;$A34))-IF(RTD("tos.rtd",,$A$2,"."&amp;N$2&amp;N$1&amp;"P"&amp;$A34)="N/A",0,RTD("tos.rtd",,$A$2,"."&amp;N$2&amp;N$1&amp;"P"&amp;$A34))</f>
        <v>0</v>
      </c>
      <c r="O34" s="56">
        <f ca="1">IF(RTD("tos.rtd",,$A$2,"."&amp;O$2&amp;O$1&amp;"C"&amp;$A34)="N/A",0,RTD("tos.rtd",,$A$2,"."&amp;O$2&amp;O$1&amp;"C"&amp;$A34))-IF(RTD("tos.rtd",,$A$2,"."&amp;O$2&amp;O$1&amp;"P"&amp;$A34)="N/A",0,RTD("tos.rtd",,$A$2,"."&amp;O$2&amp;O$1&amp;"P"&amp;$A34))</f>
        <v>-1143</v>
      </c>
      <c r="P34" s="56">
        <f ca="1">IF(RTD("tos.rtd",,$A$2,"."&amp;P$2&amp;P$1&amp;"C"&amp;$A34)="N/A",0,RTD("tos.rtd",,$A$2,"."&amp;P$2&amp;P$1&amp;"C"&amp;$A34))-IF(RTD("tos.rtd",,$A$2,"."&amp;P$2&amp;P$1&amp;"P"&amp;$A34)="N/A",0,RTD("tos.rtd",,$A$2,"."&amp;P$2&amp;P$1&amp;"P"&amp;$A34))</f>
        <v>201</v>
      </c>
      <c r="Q34" s="56">
        <f ca="1">IF(RTD("tos.rtd",,$A$2,"."&amp;Q$2&amp;Q$1&amp;"C"&amp;$A34)="N/A",0,RTD("tos.rtd",,$A$2,"."&amp;Q$2&amp;Q$1&amp;"C"&amp;$A34))-IF(RTD("tos.rtd",,$A$2,"."&amp;Q$2&amp;Q$1&amp;"P"&amp;$A34)="N/A",0,RTD("tos.rtd",,$A$2,"."&amp;Q$2&amp;Q$1&amp;"P"&amp;$A34))</f>
        <v>0</v>
      </c>
      <c r="R34" s="56">
        <f ca="1">IF(RTD("tos.rtd",,$A$2,"."&amp;R$2&amp;R$1&amp;"C"&amp;$A34)="N/A",0,RTD("tos.rtd",,$A$2,"."&amp;R$2&amp;R$1&amp;"C"&amp;$A34))-IF(RTD("tos.rtd",,$A$2,"."&amp;R$2&amp;R$1&amp;"P"&amp;$A34)="N/A",0,RTD("tos.rtd",,$A$2,"."&amp;R$2&amp;R$1&amp;"P"&amp;$A34))</f>
        <v>0</v>
      </c>
      <c r="S34" s="56">
        <f ca="1">IF(RTD("tos.rtd",,$A$2,"."&amp;S$2&amp;S$1&amp;"C"&amp;$A34)="N/A",0,RTD("tos.rtd",,$A$2,"."&amp;S$2&amp;S$1&amp;"C"&amp;$A34))-IF(RTD("tos.rtd",,$A$2,"."&amp;S$2&amp;S$1&amp;"P"&amp;$A34)="N/A",0,RTD("tos.rtd",,$A$2,"."&amp;S$2&amp;S$1&amp;"P"&amp;$A34))</f>
        <v>0</v>
      </c>
      <c r="T34" s="56">
        <f ca="1">IF(RTD("tos.rtd",,$A$2,"."&amp;T$2&amp;T$1&amp;"C"&amp;$A34)="N/A",0,RTD("tos.rtd",,$A$2,"."&amp;T$2&amp;T$1&amp;"C"&amp;$A34))-IF(RTD("tos.rtd",,$A$2,"."&amp;T$2&amp;T$1&amp;"P"&amp;$A34)="N/A",0,RTD("tos.rtd",,$A$2,"."&amp;T$2&amp;T$1&amp;"P"&amp;$A34))</f>
        <v>0</v>
      </c>
      <c r="U34" s="56">
        <f ca="1">IF(RTD("tos.rtd",,$A$2,"."&amp;U$2&amp;U$1&amp;"C"&amp;$A34)="N/A",0,RTD("tos.rtd",,$A$2,"."&amp;U$2&amp;U$1&amp;"C"&amp;$A34))-IF(RTD("tos.rtd",,$A$2,"."&amp;U$2&amp;U$1&amp;"P"&amp;$A34)="N/A",0,RTD("tos.rtd",,$A$2,"."&amp;U$2&amp;U$1&amp;"P"&amp;$A34))</f>
        <v>0</v>
      </c>
      <c r="V34" s="56">
        <f ca="1">IF(RTD("tos.rtd",,$A$2,"."&amp;V$2&amp;V$1&amp;"C"&amp;$A34)="N/A",0,RTD("tos.rtd",,$A$2,"."&amp;V$2&amp;V$1&amp;"C"&amp;$A34))-IF(RTD("tos.rtd",,$A$2,"."&amp;V$2&amp;V$1&amp;"P"&amp;$A34)="N/A",0,RTD("tos.rtd",,$A$2,"."&amp;V$2&amp;V$1&amp;"P"&amp;$A34))</f>
        <v>0</v>
      </c>
      <c r="W34" s="56">
        <f ca="1">IF(RTD("tos.rtd",,$A$2,"."&amp;W$2&amp;W$1&amp;"C"&amp;$A34)="N/A",0,RTD("tos.rtd",,$A$2,"."&amp;W$2&amp;W$1&amp;"C"&amp;$A34))-IF(RTD("tos.rtd",,$A$2,"."&amp;W$2&amp;W$1&amp;"P"&amp;$A34)="N/A",0,RTD("tos.rtd",,$A$2,"."&amp;W$2&amp;W$1&amp;"P"&amp;$A34))</f>
        <v>0</v>
      </c>
      <c r="X34" s="56">
        <f ca="1">IF(RTD("tos.rtd",,$A$2,"."&amp;X$2&amp;X$1&amp;"C"&amp;$A34)="N/A",0,RTD("tos.rtd",,$A$2,"."&amp;X$2&amp;X$1&amp;"C"&amp;$A34))-IF(RTD("tos.rtd",,$A$2,"."&amp;X$2&amp;X$1&amp;"P"&amp;$A34)="N/A",0,RTD("tos.rtd",,$A$2,"."&amp;X$2&amp;X$1&amp;"P"&amp;$A34))</f>
        <v>0</v>
      </c>
      <c r="Y34" s="63">
        <f t="shared" ca="1" si="5"/>
        <v>-112498</v>
      </c>
    </row>
    <row r="35" spans="1:25" x14ac:dyDescent="0.25">
      <c r="A35" s="58">
        <f>+Hoja1!A34</f>
        <v>659</v>
      </c>
      <c r="B35" s="56">
        <f ca="1">IF(RTD("tos.rtd",,$A$2,"."&amp;B$2&amp;B$1&amp;"C"&amp;$A35)="N/A",0,RTD("tos.rtd",,$A$2,"."&amp;B$2&amp;B$1&amp;"C"&amp;$A35))-IF(RTD("tos.rtd",,$A$2,"."&amp;B$2&amp;B$1&amp;"P"&amp;$A35)="N/A",0,RTD("tos.rtd",,$A$2,"."&amp;B$2&amp;B$1&amp;"P"&amp;$A35))</f>
        <v>-30626</v>
      </c>
      <c r="C35" s="56">
        <f ca="1">IF(RTD("tos.rtd",,$A$2,"."&amp;C$2&amp;C$1&amp;"C"&amp;$A35)="N/A",0,RTD("tos.rtd",,$A$2,"."&amp;C$2&amp;C$1&amp;"C"&amp;$A35))-IF(RTD("tos.rtd",,$A$2,"."&amp;C$2&amp;C$1&amp;"P"&amp;$A35)="N/A",0,RTD("tos.rtd",,$A$2,"."&amp;C$2&amp;C$1&amp;"P"&amp;$A35))</f>
        <v>-8534</v>
      </c>
      <c r="D35" s="56">
        <f ca="1">IF(RTD("tos.rtd",,$A$2,"."&amp;D$2&amp;D$1&amp;"C"&amp;$A35)="N/A",0,RTD("tos.rtd",,$A$2,"."&amp;D$2&amp;D$1&amp;"C"&amp;$A35))-IF(RTD("tos.rtd",,$A$2,"."&amp;D$2&amp;D$1&amp;"P"&amp;$A35)="N/A",0,RTD("tos.rtd",,$A$2,"."&amp;D$2&amp;D$1&amp;"P"&amp;$A35))</f>
        <v>-3386</v>
      </c>
      <c r="E35" s="56">
        <f ca="1">IF(RTD("tos.rtd",,$A$2,"."&amp;E$2&amp;E$1&amp;"C"&amp;$A35)="N/A",0,RTD("tos.rtd",,$A$2,"."&amp;E$2&amp;E$1&amp;"C"&amp;$A35))-IF(RTD("tos.rtd",,$A$2,"."&amp;E$2&amp;E$1&amp;"P"&amp;$A35)="N/A",0,RTD("tos.rtd",,$A$2,"."&amp;E$2&amp;E$1&amp;"P"&amp;$A35))</f>
        <v>-193</v>
      </c>
      <c r="F35" s="56">
        <f ca="1">IF(RTD("tos.rtd",,$A$2,"."&amp;F$2&amp;F$1&amp;"C"&amp;$A35)="N/A",0,RTD("tos.rtd",,$A$2,"."&amp;F$2&amp;F$1&amp;"C"&amp;$A35))-IF(RTD("tos.rtd",,$A$2,"."&amp;F$2&amp;F$1&amp;"P"&amp;$A35)="N/A",0,RTD("tos.rtd",,$A$2,"."&amp;F$2&amp;F$1&amp;"P"&amp;$A35))</f>
        <v>0</v>
      </c>
      <c r="G35" s="56">
        <f ca="1">IF(RTD("tos.rtd",,$A$2,"."&amp;G$2&amp;G$1&amp;"C"&amp;$A35)="N/A",0,RTD("tos.rtd",,$A$2,"."&amp;G$2&amp;G$1&amp;"C"&amp;$A35))-IF(RTD("tos.rtd",,$A$2,"."&amp;G$2&amp;G$1&amp;"P"&amp;$A35)="N/A",0,RTD("tos.rtd",,$A$2,"."&amp;G$2&amp;G$1&amp;"P"&amp;$A35))</f>
        <v>0</v>
      </c>
      <c r="H35" s="56">
        <f ca="1">IF(RTD("tos.rtd",,$A$2,"."&amp;H$2&amp;H$1&amp;"C"&amp;$A35)="N/A",0,RTD("tos.rtd",,$A$2,"."&amp;H$2&amp;H$1&amp;"C"&amp;$A35))-IF(RTD("tos.rtd",,$A$2,"."&amp;H$2&amp;H$1&amp;"P"&amp;$A35)="N/A",0,RTD("tos.rtd",,$A$2,"."&amp;H$2&amp;H$1&amp;"P"&amp;$A35))</f>
        <v>-361</v>
      </c>
      <c r="I35" s="56">
        <f ca="1">IF(RTD("tos.rtd",,$A$2,"."&amp;I$2&amp;I$1&amp;"C"&amp;$A35)="N/A",0,RTD("tos.rtd",,$A$2,"."&amp;I$2&amp;I$1&amp;"C"&amp;$A35))-IF(RTD("tos.rtd",,$A$2,"."&amp;I$2&amp;I$1&amp;"P"&amp;$A35)="N/A",0,RTD("tos.rtd",,$A$2,"."&amp;I$2&amp;I$1&amp;"P"&amp;$A35))</f>
        <v>-271</v>
      </c>
      <c r="J35" s="56">
        <f ca="1">IF(RTD("tos.rtd",,$A$2,"."&amp;J$2&amp;J$1&amp;"C"&amp;$A35)="N/A",0,RTD("tos.rtd",,$A$2,"."&amp;J$2&amp;J$1&amp;"C"&amp;$A35))-IF(RTD("tos.rtd",,$A$2,"."&amp;J$2&amp;J$1&amp;"P"&amp;$A35)="N/A",0,RTD("tos.rtd",,$A$2,"."&amp;J$2&amp;J$1&amp;"P"&amp;$A35))</f>
        <v>2</v>
      </c>
      <c r="K35" s="56">
        <f ca="1">IF(RTD("tos.rtd",,$A$2,"."&amp;K$2&amp;K$1&amp;"C"&amp;$A35)="N/A",0,RTD("tos.rtd",,$A$2,"."&amp;K$2&amp;K$1&amp;"C"&amp;$A35))-IF(RTD("tos.rtd",,$A$2,"."&amp;K$2&amp;K$1&amp;"P"&amp;$A35)="N/A",0,RTD("tos.rtd",,$A$2,"."&amp;K$2&amp;K$1&amp;"P"&amp;$A35))</f>
        <v>-137</v>
      </c>
      <c r="L35" s="56">
        <f ca="1">IF(RTD("tos.rtd",,$A$2,"."&amp;L$2&amp;L$1&amp;"C"&amp;$A35)="N/A",0,RTD("tos.rtd",,$A$2,"."&amp;L$2&amp;L$1&amp;"C"&amp;$A35))-IF(RTD("tos.rtd",,$A$2,"."&amp;L$2&amp;L$1&amp;"P"&amp;$A35)="N/A",0,RTD("tos.rtd",,$A$2,"."&amp;L$2&amp;L$1&amp;"P"&amp;$A35))</f>
        <v>0</v>
      </c>
      <c r="M35" s="56">
        <f ca="1">IF(RTD("tos.rtd",,$A$2,"."&amp;M$2&amp;M$1&amp;"C"&amp;$A35)="N/A",0,RTD("tos.rtd",,$A$2,"."&amp;M$2&amp;M$1&amp;"C"&amp;$A35))-IF(RTD("tos.rtd",,$A$2,"."&amp;M$2&amp;M$1&amp;"P"&amp;$A35)="N/A",0,RTD("tos.rtd",,$A$2,"."&amp;M$2&amp;M$1&amp;"P"&amp;$A35))</f>
        <v>20</v>
      </c>
      <c r="N35" s="56">
        <f ca="1">IF(RTD("tos.rtd",,$A$2,"."&amp;N$2&amp;N$1&amp;"C"&amp;$A35)="N/A",0,RTD("tos.rtd",,$A$2,"."&amp;N$2&amp;N$1&amp;"C"&amp;$A35))-IF(RTD("tos.rtd",,$A$2,"."&amp;N$2&amp;N$1&amp;"P"&amp;$A35)="N/A",0,RTD("tos.rtd",,$A$2,"."&amp;N$2&amp;N$1&amp;"P"&amp;$A35))</f>
        <v>0</v>
      </c>
      <c r="O35" s="56">
        <f ca="1">IF(RTD("tos.rtd",,$A$2,"."&amp;O$2&amp;O$1&amp;"C"&amp;$A35)="N/A",0,RTD("tos.rtd",,$A$2,"."&amp;O$2&amp;O$1&amp;"C"&amp;$A35))-IF(RTD("tos.rtd",,$A$2,"."&amp;O$2&amp;O$1&amp;"P"&amp;$A35)="N/A",0,RTD("tos.rtd",,$A$2,"."&amp;O$2&amp;O$1&amp;"P"&amp;$A35))</f>
        <v>-13</v>
      </c>
      <c r="P35" s="56">
        <f ca="1">IF(RTD("tos.rtd",,$A$2,"."&amp;P$2&amp;P$1&amp;"C"&amp;$A35)="N/A",0,RTD("tos.rtd",,$A$2,"."&amp;P$2&amp;P$1&amp;"C"&amp;$A35))-IF(RTD("tos.rtd",,$A$2,"."&amp;P$2&amp;P$1&amp;"P"&amp;$A35)="N/A",0,RTD("tos.rtd",,$A$2,"."&amp;P$2&amp;P$1&amp;"P"&amp;$A35))</f>
        <v>0</v>
      </c>
      <c r="Q35" s="56">
        <f ca="1">IF(RTD("tos.rtd",,$A$2,"."&amp;Q$2&amp;Q$1&amp;"C"&amp;$A35)="N/A",0,RTD("tos.rtd",,$A$2,"."&amp;Q$2&amp;Q$1&amp;"C"&amp;$A35))-IF(RTD("tos.rtd",,$A$2,"."&amp;Q$2&amp;Q$1&amp;"P"&amp;$A35)="N/A",0,RTD("tos.rtd",,$A$2,"."&amp;Q$2&amp;Q$1&amp;"P"&amp;$A35))</f>
        <v>0</v>
      </c>
      <c r="R35" s="56">
        <f ca="1">IF(RTD("tos.rtd",,$A$2,"."&amp;R$2&amp;R$1&amp;"C"&amp;$A35)="N/A",0,RTD("tos.rtd",,$A$2,"."&amp;R$2&amp;R$1&amp;"C"&amp;$A35))-IF(RTD("tos.rtd",,$A$2,"."&amp;R$2&amp;R$1&amp;"P"&amp;$A35)="N/A",0,RTD("tos.rtd",,$A$2,"."&amp;R$2&amp;R$1&amp;"P"&amp;$A35))</f>
        <v>0</v>
      </c>
      <c r="S35" s="56">
        <f ca="1">IF(RTD("tos.rtd",,$A$2,"."&amp;S$2&amp;S$1&amp;"C"&amp;$A35)="N/A",0,RTD("tos.rtd",,$A$2,"."&amp;S$2&amp;S$1&amp;"C"&amp;$A35))-IF(RTD("tos.rtd",,$A$2,"."&amp;S$2&amp;S$1&amp;"P"&amp;$A35)="N/A",0,RTD("tos.rtd",,$A$2,"."&amp;S$2&amp;S$1&amp;"P"&amp;$A35))</f>
        <v>0</v>
      </c>
      <c r="T35" s="56">
        <f ca="1">IF(RTD("tos.rtd",,$A$2,"."&amp;T$2&amp;T$1&amp;"C"&amp;$A35)="N/A",0,RTD("tos.rtd",,$A$2,"."&amp;T$2&amp;T$1&amp;"C"&amp;$A35))-IF(RTD("tos.rtd",,$A$2,"."&amp;T$2&amp;T$1&amp;"P"&amp;$A35)="N/A",0,RTD("tos.rtd",,$A$2,"."&amp;T$2&amp;T$1&amp;"P"&amp;$A35))</f>
        <v>0</v>
      </c>
      <c r="U35" s="56">
        <f ca="1">IF(RTD("tos.rtd",,$A$2,"."&amp;U$2&amp;U$1&amp;"C"&amp;$A35)="N/A",0,RTD("tos.rtd",,$A$2,"."&amp;U$2&amp;U$1&amp;"C"&amp;$A35))-IF(RTD("tos.rtd",,$A$2,"."&amp;U$2&amp;U$1&amp;"P"&amp;$A35)="N/A",0,RTD("tos.rtd",,$A$2,"."&amp;U$2&amp;U$1&amp;"P"&amp;$A35))</f>
        <v>0</v>
      </c>
      <c r="V35" s="56">
        <f ca="1">IF(RTD("tos.rtd",,$A$2,"."&amp;V$2&amp;V$1&amp;"C"&amp;$A35)="N/A",0,RTD("tos.rtd",,$A$2,"."&amp;V$2&amp;V$1&amp;"C"&amp;$A35))-IF(RTD("tos.rtd",,$A$2,"."&amp;V$2&amp;V$1&amp;"P"&amp;$A35)="N/A",0,RTD("tos.rtd",,$A$2,"."&amp;V$2&amp;V$1&amp;"P"&amp;$A35))</f>
        <v>0</v>
      </c>
      <c r="W35" s="56">
        <f ca="1">IF(RTD("tos.rtd",,$A$2,"."&amp;W$2&amp;W$1&amp;"C"&amp;$A35)="N/A",0,RTD("tos.rtd",,$A$2,"."&amp;W$2&amp;W$1&amp;"C"&amp;$A35))-IF(RTD("tos.rtd",,$A$2,"."&amp;W$2&amp;W$1&amp;"P"&amp;$A35)="N/A",0,RTD("tos.rtd",,$A$2,"."&amp;W$2&amp;W$1&amp;"P"&amp;$A35))</f>
        <v>0</v>
      </c>
      <c r="X35" s="56">
        <f ca="1">IF(RTD("tos.rtd",,$A$2,"."&amp;X$2&amp;X$1&amp;"C"&amp;$A35)="N/A",0,RTD("tos.rtd",,$A$2,"."&amp;X$2&amp;X$1&amp;"C"&amp;$A35))-IF(RTD("tos.rtd",,$A$2,"."&amp;X$2&amp;X$1&amp;"P"&amp;$A35)="N/A",0,RTD("tos.rtd",,$A$2,"."&amp;X$2&amp;X$1&amp;"P"&amp;$A35))</f>
        <v>0</v>
      </c>
      <c r="Y35" s="63">
        <f t="shared" ca="1" si="5"/>
        <v>-43499</v>
      </c>
    </row>
    <row r="36" spans="1:25" x14ac:dyDescent="0.25">
      <c r="A36" s="58">
        <f>+Hoja1!A35</f>
        <v>658</v>
      </c>
      <c r="B36" s="56">
        <f ca="1">IF(RTD("tos.rtd",,$A$2,"."&amp;B$2&amp;B$1&amp;"C"&amp;$A36)="N/A",0,RTD("tos.rtd",,$A$2,"."&amp;B$2&amp;B$1&amp;"C"&amp;$A36))-IF(RTD("tos.rtd",,$A$2,"."&amp;B$2&amp;B$1&amp;"P"&amp;$A36)="N/A",0,RTD("tos.rtd",,$A$2,"."&amp;B$2&amp;B$1&amp;"P"&amp;$A36))</f>
        <v>-27969</v>
      </c>
      <c r="C36" s="56">
        <f ca="1">IF(RTD("tos.rtd",,$A$2,"."&amp;C$2&amp;C$1&amp;"C"&amp;$A36)="N/A",0,RTD("tos.rtd",,$A$2,"."&amp;C$2&amp;C$1&amp;"C"&amp;$A36))-IF(RTD("tos.rtd",,$A$2,"."&amp;C$2&amp;C$1&amp;"P"&amp;$A36)="N/A",0,RTD("tos.rtd",,$A$2,"."&amp;C$2&amp;C$1&amp;"P"&amp;$A36))</f>
        <v>-5440</v>
      </c>
      <c r="D36" s="56">
        <f ca="1">IF(RTD("tos.rtd",,$A$2,"."&amp;D$2&amp;D$1&amp;"C"&amp;$A36)="N/A",0,RTD("tos.rtd",,$A$2,"."&amp;D$2&amp;D$1&amp;"C"&amp;$A36))-IF(RTD("tos.rtd",,$A$2,"."&amp;D$2&amp;D$1&amp;"P"&amp;$A36)="N/A",0,RTD("tos.rtd",,$A$2,"."&amp;D$2&amp;D$1&amp;"P"&amp;$A36))</f>
        <v>-1266</v>
      </c>
      <c r="E36" s="56">
        <f ca="1">IF(RTD("tos.rtd",,$A$2,"."&amp;E$2&amp;E$1&amp;"C"&amp;$A36)="N/A",0,RTD("tos.rtd",,$A$2,"."&amp;E$2&amp;E$1&amp;"C"&amp;$A36))-IF(RTD("tos.rtd",,$A$2,"."&amp;E$2&amp;E$1&amp;"P"&amp;$A36)="N/A",0,RTD("tos.rtd",,$A$2,"."&amp;E$2&amp;E$1&amp;"P"&amp;$A36))</f>
        <v>-190</v>
      </c>
      <c r="F36" s="56">
        <f ca="1">IF(RTD("tos.rtd",,$A$2,"."&amp;F$2&amp;F$1&amp;"C"&amp;$A36)="N/A",0,RTD("tos.rtd",,$A$2,"."&amp;F$2&amp;F$1&amp;"C"&amp;$A36))-IF(RTD("tos.rtd",,$A$2,"."&amp;F$2&amp;F$1&amp;"P"&amp;$A36)="N/A",0,RTD("tos.rtd",,$A$2,"."&amp;F$2&amp;F$1&amp;"P"&amp;$A36))</f>
        <v>0</v>
      </c>
      <c r="G36" s="56">
        <f ca="1">IF(RTD("tos.rtd",,$A$2,"."&amp;G$2&amp;G$1&amp;"C"&amp;$A36)="N/A",0,RTD("tos.rtd",,$A$2,"."&amp;G$2&amp;G$1&amp;"C"&amp;$A36))-IF(RTD("tos.rtd",,$A$2,"."&amp;G$2&amp;G$1&amp;"P"&amp;$A36)="N/A",0,RTD("tos.rtd",,$A$2,"."&amp;G$2&amp;G$1&amp;"P"&amp;$A36))</f>
        <v>0</v>
      </c>
      <c r="H36" s="56">
        <f ca="1">IF(RTD("tos.rtd",,$A$2,"."&amp;H$2&amp;H$1&amp;"C"&amp;$A36)="N/A",0,RTD("tos.rtd",,$A$2,"."&amp;H$2&amp;H$1&amp;"C"&amp;$A36))-IF(RTD("tos.rtd",,$A$2,"."&amp;H$2&amp;H$1&amp;"P"&amp;$A36)="N/A",0,RTD("tos.rtd",,$A$2,"."&amp;H$2&amp;H$1&amp;"P"&amp;$A36))</f>
        <v>768</v>
      </c>
      <c r="I36" s="56">
        <f ca="1">IF(RTD("tos.rtd",,$A$2,"."&amp;I$2&amp;I$1&amp;"C"&amp;$A36)="N/A",0,RTD("tos.rtd",,$A$2,"."&amp;I$2&amp;I$1&amp;"C"&amp;$A36))-IF(RTD("tos.rtd",,$A$2,"."&amp;I$2&amp;I$1&amp;"P"&amp;$A36)="N/A",0,RTD("tos.rtd",,$A$2,"."&amp;I$2&amp;I$1&amp;"P"&amp;$A36))</f>
        <v>-73</v>
      </c>
      <c r="J36" s="56">
        <f ca="1">IF(RTD("tos.rtd",,$A$2,"."&amp;J$2&amp;J$1&amp;"C"&amp;$A36)="N/A",0,RTD("tos.rtd",,$A$2,"."&amp;J$2&amp;J$1&amp;"C"&amp;$A36))-IF(RTD("tos.rtd",,$A$2,"."&amp;J$2&amp;J$1&amp;"P"&amp;$A36)="N/A",0,RTD("tos.rtd",,$A$2,"."&amp;J$2&amp;J$1&amp;"P"&amp;$A36))</f>
        <v>-95</v>
      </c>
      <c r="K36" s="56">
        <f ca="1">IF(RTD("tos.rtd",,$A$2,"."&amp;K$2&amp;K$1&amp;"C"&amp;$A36)="N/A",0,RTD("tos.rtd",,$A$2,"."&amp;K$2&amp;K$1&amp;"C"&amp;$A36))-IF(RTD("tos.rtd",,$A$2,"."&amp;K$2&amp;K$1&amp;"P"&amp;$A36)="N/A",0,RTD("tos.rtd",,$A$2,"."&amp;K$2&amp;K$1&amp;"P"&amp;$A36))</f>
        <v>-680</v>
      </c>
      <c r="L36" s="56">
        <f ca="1">IF(RTD("tos.rtd",,$A$2,"."&amp;L$2&amp;L$1&amp;"C"&amp;$A36)="N/A",0,RTD("tos.rtd",,$A$2,"."&amp;L$2&amp;L$1&amp;"C"&amp;$A36))-IF(RTD("tos.rtd",,$A$2,"."&amp;L$2&amp;L$1&amp;"P"&amp;$A36)="N/A",0,RTD("tos.rtd",,$A$2,"."&amp;L$2&amp;L$1&amp;"P"&amp;$A36))</f>
        <v>0</v>
      </c>
      <c r="M36" s="56">
        <f ca="1">IF(RTD("tos.rtd",,$A$2,"."&amp;M$2&amp;M$1&amp;"C"&amp;$A36)="N/A",0,RTD("tos.rtd",,$A$2,"."&amp;M$2&amp;M$1&amp;"C"&amp;$A36))-IF(RTD("tos.rtd",,$A$2,"."&amp;M$2&amp;M$1&amp;"P"&amp;$A36)="N/A",0,RTD("tos.rtd",,$A$2,"."&amp;M$2&amp;M$1&amp;"P"&amp;$A36))</f>
        <v>-8</v>
      </c>
      <c r="N36" s="56">
        <f ca="1">IF(RTD("tos.rtd",,$A$2,"."&amp;N$2&amp;N$1&amp;"C"&amp;$A36)="N/A",0,RTD("tos.rtd",,$A$2,"."&amp;N$2&amp;N$1&amp;"C"&amp;$A36))-IF(RTD("tos.rtd",,$A$2,"."&amp;N$2&amp;N$1&amp;"P"&amp;$A36)="N/A",0,RTD("tos.rtd",,$A$2,"."&amp;N$2&amp;N$1&amp;"P"&amp;$A36))</f>
        <v>0</v>
      </c>
      <c r="O36" s="56">
        <f ca="1">IF(RTD("tos.rtd",,$A$2,"."&amp;O$2&amp;O$1&amp;"C"&amp;$A36)="N/A",0,RTD("tos.rtd",,$A$2,"."&amp;O$2&amp;O$1&amp;"C"&amp;$A36))-IF(RTD("tos.rtd",,$A$2,"."&amp;O$2&amp;O$1&amp;"P"&amp;$A36)="N/A",0,RTD("tos.rtd",,$A$2,"."&amp;O$2&amp;O$1&amp;"P"&amp;$A36))</f>
        <v>-41</v>
      </c>
      <c r="P36" s="56">
        <f ca="1">IF(RTD("tos.rtd",,$A$2,"."&amp;P$2&amp;P$1&amp;"C"&amp;$A36)="N/A",0,RTD("tos.rtd",,$A$2,"."&amp;P$2&amp;P$1&amp;"C"&amp;$A36))-IF(RTD("tos.rtd",,$A$2,"."&amp;P$2&amp;P$1&amp;"P"&amp;$A36)="N/A",0,RTD("tos.rtd",,$A$2,"."&amp;P$2&amp;P$1&amp;"P"&amp;$A36))</f>
        <v>-6</v>
      </c>
      <c r="Q36" s="56">
        <f ca="1">IF(RTD("tos.rtd",,$A$2,"."&amp;Q$2&amp;Q$1&amp;"C"&amp;$A36)="N/A",0,RTD("tos.rtd",,$A$2,"."&amp;Q$2&amp;Q$1&amp;"C"&amp;$A36))-IF(RTD("tos.rtd",,$A$2,"."&amp;Q$2&amp;Q$1&amp;"P"&amp;$A36)="N/A",0,RTD("tos.rtd",,$A$2,"."&amp;Q$2&amp;Q$1&amp;"P"&amp;$A36))</f>
        <v>0</v>
      </c>
      <c r="R36" s="56">
        <f ca="1">IF(RTD("tos.rtd",,$A$2,"."&amp;R$2&amp;R$1&amp;"C"&amp;$A36)="N/A",0,RTD("tos.rtd",,$A$2,"."&amp;R$2&amp;R$1&amp;"C"&amp;$A36))-IF(RTD("tos.rtd",,$A$2,"."&amp;R$2&amp;R$1&amp;"P"&amp;$A36)="N/A",0,RTD("tos.rtd",,$A$2,"."&amp;R$2&amp;R$1&amp;"P"&amp;$A36))</f>
        <v>0</v>
      </c>
      <c r="S36" s="56">
        <f ca="1">IF(RTD("tos.rtd",,$A$2,"."&amp;S$2&amp;S$1&amp;"C"&amp;$A36)="N/A",0,RTD("tos.rtd",,$A$2,"."&amp;S$2&amp;S$1&amp;"C"&amp;$A36))-IF(RTD("tos.rtd",,$A$2,"."&amp;S$2&amp;S$1&amp;"P"&amp;$A36)="N/A",0,RTD("tos.rtd",,$A$2,"."&amp;S$2&amp;S$1&amp;"P"&amp;$A36))</f>
        <v>0</v>
      </c>
      <c r="T36" s="56">
        <f ca="1">IF(RTD("tos.rtd",,$A$2,"."&amp;T$2&amp;T$1&amp;"C"&amp;$A36)="N/A",0,RTD("tos.rtd",,$A$2,"."&amp;T$2&amp;T$1&amp;"C"&amp;$A36))-IF(RTD("tos.rtd",,$A$2,"."&amp;T$2&amp;T$1&amp;"P"&amp;$A36)="N/A",0,RTD("tos.rtd",,$A$2,"."&amp;T$2&amp;T$1&amp;"P"&amp;$A36))</f>
        <v>0</v>
      </c>
      <c r="U36" s="56">
        <f ca="1">IF(RTD("tos.rtd",,$A$2,"."&amp;U$2&amp;U$1&amp;"C"&amp;$A36)="N/A",0,RTD("tos.rtd",,$A$2,"."&amp;U$2&amp;U$1&amp;"C"&amp;$A36))-IF(RTD("tos.rtd",,$A$2,"."&amp;U$2&amp;U$1&amp;"P"&amp;$A36)="N/A",0,RTD("tos.rtd",,$A$2,"."&amp;U$2&amp;U$1&amp;"P"&amp;$A36))</f>
        <v>0</v>
      </c>
      <c r="V36" s="56">
        <f ca="1">IF(RTD("tos.rtd",,$A$2,"."&amp;V$2&amp;V$1&amp;"C"&amp;$A36)="N/A",0,RTD("tos.rtd",,$A$2,"."&amp;V$2&amp;V$1&amp;"C"&amp;$A36))-IF(RTD("tos.rtd",,$A$2,"."&amp;V$2&amp;V$1&amp;"P"&amp;$A36)="N/A",0,RTD("tos.rtd",,$A$2,"."&amp;V$2&amp;V$1&amp;"P"&amp;$A36))</f>
        <v>0</v>
      </c>
      <c r="W36" s="56">
        <f ca="1">IF(RTD("tos.rtd",,$A$2,"."&amp;W$2&amp;W$1&amp;"C"&amp;$A36)="N/A",0,RTD("tos.rtd",,$A$2,"."&amp;W$2&amp;W$1&amp;"C"&amp;$A36))-IF(RTD("tos.rtd",,$A$2,"."&amp;W$2&amp;W$1&amp;"P"&amp;$A36)="N/A",0,RTD("tos.rtd",,$A$2,"."&amp;W$2&amp;W$1&amp;"P"&amp;$A36))</f>
        <v>0</v>
      </c>
      <c r="X36" s="56">
        <f ca="1">IF(RTD("tos.rtd",,$A$2,"."&amp;X$2&amp;X$1&amp;"C"&amp;$A36)="N/A",0,RTD("tos.rtd",,$A$2,"."&amp;X$2&amp;X$1&amp;"C"&amp;$A36))-IF(RTD("tos.rtd",,$A$2,"."&amp;X$2&amp;X$1&amp;"P"&amp;$A36)="N/A",0,RTD("tos.rtd",,$A$2,"."&amp;X$2&amp;X$1&amp;"P"&amp;$A36))</f>
        <v>0</v>
      </c>
      <c r="Y36" s="63">
        <f t="shared" ca="1" si="5"/>
        <v>-35000</v>
      </c>
    </row>
    <row r="37" spans="1:25" x14ac:dyDescent="0.25">
      <c r="A37" s="58">
        <f>+Hoja1!A36</f>
        <v>657</v>
      </c>
      <c r="B37" s="56">
        <f ca="1">IF(RTD("tos.rtd",,$A$2,"."&amp;B$2&amp;B$1&amp;"C"&amp;$A37)="N/A",0,RTD("tos.rtd",,$A$2,"."&amp;B$2&amp;B$1&amp;"C"&amp;$A37))-IF(RTD("tos.rtd",,$A$2,"."&amp;B$2&amp;B$1&amp;"P"&amp;$A37)="N/A",0,RTD("tos.rtd",,$A$2,"."&amp;B$2&amp;B$1&amp;"P"&amp;$A37))</f>
        <v>-20219</v>
      </c>
      <c r="C37" s="56">
        <f ca="1">IF(RTD("tos.rtd",,$A$2,"."&amp;C$2&amp;C$1&amp;"C"&amp;$A37)="N/A",0,RTD("tos.rtd",,$A$2,"."&amp;C$2&amp;C$1&amp;"C"&amp;$A37))-IF(RTD("tos.rtd",,$A$2,"."&amp;C$2&amp;C$1&amp;"P"&amp;$A37)="N/A",0,RTD("tos.rtd",,$A$2,"."&amp;C$2&amp;C$1&amp;"P"&amp;$A37))</f>
        <v>-2240</v>
      </c>
      <c r="D37" s="56">
        <f ca="1">IF(RTD("tos.rtd",,$A$2,"."&amp;D$2&amp;D$1&amp;"C"&amp;$A37)="N/A",0,RTD("tos.rtd",,$A$2,"."&amp;D$2&amp;D$1&amp;"C"&amp;$A37))-IF(RTD("tos.rtd",,$A$2,"."&amp;D$2&amp;D$1&amp;"P"&amp;$A37)="N/A",0,RTD("tos.rtd",,$A$2,"."&amp;D$2&amp;D$1&amp;"P"&amp;$A37))</f>
        <v>-6085</v>
      </c>
      <c r="E37" s="56">
        <f ca="1">IF(RTD("tos.rtd",,$A$2,"."&amp;E$2&amp;E$1&amp;"C"&amp;$A37)="N/A",0,RTD("tos.rtd",,$A$2,"."&amp;E$2&amp;E$1&amp;"C"&amp;$A37))-IF(RTD("tos.rtd",,$A$2,"."&amp;E$2&amp;E$1&amp;"P"&amp;$A37)="N/A",0,RTD("tos.rtd",,$A$2,"."&amp;E$2&amp;E$1&amp;"P"&amp;$A37))</f>
        <v>-4060</v>
      </c>
      <c r="F37" s="56">
        <f ca="1">IF(RTD("tos.rtd",,$A$2,"."&amp;F$2&amp;F$1&amp;"C"&amp;$A37)="N/A",0,RTD("tos.rtd",,$A$2,"."&amp;F$2&amp;F$1&amp;"C"&amp;$A37))-IF(RTD("tos.rtd",,$A$2,"."&amp;F$2&amp;F$1&amp;"P"&amp;$A37)="N/A",0,RTD("tos.rtd",,$A$2,"."&amp;F$2&amp;F$1&amp;"P"&amp;$A37))</f>
        <v>0</v>
      </c>
      <c r="G37" s="56">
        <f ca="1">IF(RTD("tos.rtd",,$A$2,"."&amp;G$2&amp;G$1&amp;"C"&amp;$A37)="N/A",0,RTD("tos.rtd",,$A$2,"."&amp;G$2&amp;G$1&amp;"C"&amp;$A37))-IF(RTD("tos.rtd",,$A$2,"."&amp;G$2&amp;G$1&amp;"P"&amp;$A37)="N/A",0,RTD("tos.rtd",,$A$2,"."&amp;G$2&amp;G$1&amp;"P"&amp;$A37))</f>
        <v>0</v>
      </c>
      <c r="H37" s="56">
        <f ca="1">IF(RTD("tos.rtd",,$A$2,"."&amp;H$2&amp;H$1&amp;"C"&amp;$A37)="N/A",0,RTD("tos.rtd",,$A$2,"."&amp;H$2&amp;H$1&amp;"C"&amp;$A37))-IF(RTD("tos.rtd",,$A$2,"."&amp;H$2&amp;H$1&amp;"P"&amp;$A37)="N/A",0,RTD("tos.rtd",,$A$2,"."&amp;H$2&amp;H$1&amp;"P"&amp;$A37))</f>
        <v>-493</v>
      </c>
      <c r="I37" s="56">
        <f ca="1">IF(RTD("tos.rtd",,$A$2,"."&amp;I$2&amp;I$1&amp;"C"&amp;$A37)="N/A",0,RTD("tos.rtd",,$A$2,"."&amp;I$2&amp;I$1&amp;"C"&amp;$A37))-IF(RTD("tos.rtd",,$A$2,"."&amp;I$2&amp;I$1&amp;"P"&amp;$A37)="N/A",0,RTD("tos.rtd",,$A$2,"."&amp;I$2&amp;I$1&amp;"P"&amp;$A37))</f>
        <v>-56</v>
      </c>
      <c r="J37" s="56">
        <f ca="1">IF(RTD("tos.rtd",,$A$2,"."&amp;J$2&amp;J$1&amp;"C"&amp;$A37)="N/A",0,RTD("tos.rtd",,$A$2,"."&amp;J$2&amp;J$1&amp;"C"&amp;$A37))-IF(RTD("tos.rtd",,$A$2,"."&amp;J$2&amp;J$1&amp;"P"&amp;$A37)="N/A",0,RTD("tos.rtd",,$A$2,"."&amp;J$2&amp;J$1&amp;"P"&amp;$A37))</f>
        <v>-132</v>
      </c>
      <c r="K37" s="56">
        <f ca="1">IF(RTD("tos.rtd",,$A$2,"."&amp;K$2&amp;K$1&amp;"C"&amp;$A37)="N/A",0,RTD("tos.rtd",,$A$2,"."&amp;K$2&amp;K$1&amp;"C"&amp;$A37))-IF(RTD("tos.rtd",,$A$2,"."&amp;K$2&amp;K$1&amp;"P"&amp;$A37)="N/A",0,RTD("tos.rtd",,$A$2,"."&amp;K$2&amp;K$1&amp;"P"&amp;$A37))</f>
        <v>-284</v>
      </c>
      <c r="L37" s="56">
        <f ca="1">IF(RTD("tos.rtd",,$A$2,"."&amp;L$2&amp;L$1&amp;"C"&amp;$A37)="N/A",0,RTD("tos.rtd",,$A$2,"."&amp;L$2&amp;L$1&amp;"C"&amp;$A37))-IF(RTD("tos.rtd",,$A$2,"."&amp;L$2&amp;L$1&amp;"P"&amp;$A37)="N/A",0,RTD("tos.rtd",,$A$2,"."&amp;L$2&amp;L$1&amp;"P"&amp;$A37))</f>
        <v>0</v>
      </c>
      <c r="M37" s="56">
        <f ca="1">IF(RTD("tos.rtd",,$A$2,"."&amp;M$2&amp;M$1&amp;"C"&amp;$A37)="N/A",0,RTD("tos.rtd",,$A$2,"."&amp;M$2&amp;M$1&amp;"C"&amp;$A37))-IF(RTD("tos.rtd",,$A$2,"."&amp;M$2&amp;M$1&amp;"P"&amp;$A37)="N/A",0,RTD("tos.rtd",,$A$2,"."&amp;M$2&amp;M$1&amp;"P"&amp;$A37))</f>
        <v>-17</v>
      </c>
      <c r="N37" s="56">
        <f ca="1">IF(RTD("tos.rtd",,$A$2,"."&amp;N$2&amp;N$1&amp;"C"&amp;$A37)="N/A",0,RTD("tos.rtd",,$A$2,"."&amp;N$2&amp;N$1&amp;"C"&amp;$A37))-IF(RTD("tos.rtd",,$A$2,"."&amp;N$2&amp;N$1&amp;"P"&amp;$A37)="N/A",0,RTD("tos.rtd",,$A$2,"."&amp;N$2&amp;N$1&amp;"P"&amp;$A37))</f>
        <v>0</v>
      </c>
      <c r="O37" s="56">
        <f ca="1">IF(RTD("tos.rtd",,$A$2,"."&amp;O$2&amp;O$1&amp;"C"&amp;$A37)="N/A",0,RTD("tos.rtd",,$A$2,"."&amp;O$2&amp;O$1&amp;"C"&amp;$A37))-IF(RTD("tos.rtd",,$A$2,"."&amp;O$2&amp;O$1&amp;"P"&amp;$A37)="N/A",0,RTD("tos.rtd",,$A$2,"."&amp;O$2&amp;O$1&amp;"P"&amp;$A37))</f>
        <v>-42</v>
      </c>
      <c r="P37" s="56">
        <f ca="1">IF(RTD("tos.rtd",,$A$2,"."&amp;P$2&amp;P$1&amp;"C"&amp;$A37)="N/A",0,RTD("tos.rtd",,$A$2,"."&amp;P$2&amp;P$1&amp;"C"&amp;$A37))-IF(RTD("tos.rtd",,$A$2,"."&amp;P$2&amp;P$1&amp;"P"&amp;$A37)="N/A",0,RTD("tos.rtd",,$A$2,"."&amp;P$2&amp;P$1&amp;"P"&amp;$A37))</f>
        <v>45</v>
      </c>
      <c r="Q37" s="56">
        <f ca="1">IF(RTD("tos.rtd",,$A$2,"."&amp;Q$2&amp;Q$1&amp;"C"&amp;$A37)="N/A",0,RTD("tos.rtd",,$A$2,"."&amp;Q$2&amp;Q$1&amp;"C"&amp;$A37))-IF(RTD("tos.rtd",,$A$2,"."&amp;Q$2&amp;Q$1&amp;"P"&amp;$A37)="N/A",0,RTD("tos.rtd",,$A$2,"."&amp;Q$2&amp;Q$1&amp;"P"&amp;$A37))</f>
        <v>0</v>
      </c>
      <c r="R37" s="56">
        <f ca="1">IF(RTD("tos.rtd",,$A$2,"."&amp;R$2&amp;R$1&amp;"C"&amp;$A37)="N/A",0,RTD("tos.rtd",,$A$2,"."&amp;R$2&amp;R$1&amp;"C"&amp;$A37))-IF(RTD("tos.rtd",,$A$2,"."&amp;R$2&amp;R$1&amp;"P"&amp;$A37)="N/A",0,RTD("tos.rtd",,$A$2,"."&amp;R$2&amp;R$1&amp;"P"&amp;$A37))</f>
        <v>0</v>
      </c>
      <c r="S37" s="56">
        <f ca="1">IF(RTD("tos.rtd",,$A$2,"."&amp;S$2&amp;S$1&amp;"C"&amp;$A37)="N/A",0,RTD("tos.rtd",,$A$2,"."&amp;S$2&amp;S$1&amp;"C"&amp;$A37))-IF(RTD("tos.rtd",,$A$2,"."&amp;S$2&amp;S$1&amp;"P"&amp;$A37)="N/A",0,RTD("tos.rtd",,$A$2,"."&amp;S$2&amp;S$1&amp;"P"&amp;$A37))</f>
        <v>0</v>
      </c>
      <c r="T37" s="56">
        <f ca="1">IF(RTD("tos.rtd",,$A$2,"."&amp;T$2&amp;T$1&amp;"C"&amp;$A37)="N/A",0,RTD("tos.rtd",,$A$2,"."&amp;T$2&amp;T$1&amp;"C"&amp;$A37))-IF(RTD("tos.rtd",,$A$2,"."&amp;T$2&amp;T$1&amp;"P"&amp;$A37)="N/A",0,RTD("tos.rtd",,$A$2,"."&amp;T$2&amp;T$1&amp;"P"&amp;$A37))</f>
        <v>0</v>
      </c>
      <c r="U37" s="56">
        <f ca="1">IF(RTD("tos.rtd",,$A$2,"."&amp;U$2&amp;U$1&amp;"C"&amp;$A37)="N/A",0,RTD("tos.rtd",,$A$2,"."&amp;U$2&amp;U$1&amp;"C"&amp;$A37))-IF(RTD("tos.rtd",,$A$2,"."&amp;U$2&amp;U$1&amp;"P"&amp;$A37)="N/A",0,RTD("tos.rtd",,$A$2,"."&amp;U$2&amp;U$1&amp;"P"&amp;$A37))</f>
        <v>0</v>
      </c>
      <c r="V37" s="56">
        <f ca="1">IF(RTD("tos.rtd",,$A$2,"."&amp;V$2&amp;V$1&amp;"C"&amp;$A37)="N/A",0,RTD("tos.rtd",,$A$2,"."&amp;V$2&amp;V$1&amp;"C"&amp;$A37))-IF(RTD("tos.rtd",,$A$2,"."&amp;V$2&amp;V$1&amp;"P"&amp;$A37)="N/A",0,RTD("tos.rtd",,$A$2,"."&amp;V$2&amp;V$1&amp;"P"&amp;$A37))</f>
        <v>0</v>
      </c>
      <c r="W37" s="56">
        <f ca="1">IF(RTD("tos.rtd",,$A$2,"."&amp;W$2&amp;W$1&amp;"C"&amp;$A37)="N/A",0,RTD("tos.rtd",,$A$2,"."&amp;W$2&amp;W$1&amp;"C"&amp;$A37))-IF(RTD("tos.rtd",,$A$2,"."&amp;W$2&amp;W$1&amp;"P"&amp;$A37)="N/A",0,RTD("tos.rtd",,$A$2,"."&amp;W$2&amp;W$1&amp;"P"&amp;$A37))</f>
        <v>0</v>
      </c>
      <c r="X37" s="56">
        <f ca="1">IF(RTD("tos.rtd",,$A$2,"."&amp;X$2&amp;X$1&amp;"C"&amp;$A37)="N/A",0,RTD("tos.rtd",,$A$2,"."&amp;X$2&amp;X$1&amp;"C"&amp;$A37))-IF(RTD("tos.rtd",,$A$2,"."&amp;X$2&amp;X$1&amp;"P"&amp;$A37)="N/A",0,RTD("tos.rtd",,$A$2,"."&amp;X$2&amp;X$1&amp;"P"&amp;$A37))</f>
        <v>0</v>
      </c>
      <c r="Y37" s="63">
        <f t="shared" ca="1" si="5"/>
        <v>-33583</v>
      </c>
    </row>
    <row r="38" spans="1:25" x14ac:dyDescent="0.25">
      <c r="A38" s="58">
        <f>+Hoja1!A37</f>
        <v>656</v>
      </c>
      <c r="B38" s="56">
        <f ca="1">IF(RTD("tos.rtd",,$A$2,"."&amp;B$2&amp;B$1&amp;"C"&amp;$A38)="N/A",0,RTD("tos.rtd",,$A$2,"."&amp;B$2&amp;B$1&amp;"C"&amp;$A38))-IF(RTD("tos.rtd",,$A$2,"."&amp;B$2&amp;B$1&amp;"P"&amp;$A38)="N/A",0,RTD("tos.rtd",,$A$2,"."&amp;B$2&amp;B$1&amp;"P"&amp;$A38))</f>
        <v>-28318</v>
      </c>
      <c r="C38" s="56">
        <f ca="1">IF(RTD("tos.rtd",,$A$2,"."&amp;C$2&amp;C$1&amp;"C"&amp;$A38)="N/A",0,RTD("tos.rtd",,$A$2,"."&amp;C$2&amp;C$1&amp;"C"&amp;$A38))-IF(RTD("tos.rtd",,$A$2,"."&amp;C$2&amp;C$1&amp;"P"&amp;$A38)="N/A",0,RTD("tos.rtd",,$A$2,"."&amp;C$2&amp;C$1&amp;"P"&amp;$A38))</f>
        <v>-1679</v>
      </c>
      <c r="D38" s="56">
        <f ca="1">IF(RTD("tos.rtd",,$A$2,"."&amp;D$2&amp;D$1&amp;"C"&amp;$A38)="N/A",0,RTD("tos.rtd",,$A$2,"."&amp;D$2&amp;D$1&amp;"C"&amp;$A38))-IF(RTD("tos.rtd",,$A$2,"."&amp;D$2&amp;D$1&amp;"P"&amp;$A38)="N/A",0,RTD("tos.rtd",,$A$2,"."&amp;D$2&amp;D$1&amp;"P"&amp;$A38))</f>
        <v>-1921</v>
      </c>
      <c r="E38" s="56">
        <f ca="1">IF(RTD("tos.rtd",,$A$2,"."&amp;E$2&amp;E$1&amp;"C"&amp;$A38)="N/A",0,RTD("tos.rtd",,$A$2,"."&amp;E$2&amp;E$1&amp;"C"&amp;$A38))-IF(RTD("tos.rtd",,$A$2,"."&amp;E$2&amp;E$1&amp;"P"&amp;$A38)="N/A",0,RTD("tos.rtd",,$A$2,"."&amp;E$2&amp;E$1&amp;"P"&amp;$A38))</f>
        <v>-506</v>
      </c>
      <c r="F38" s="56">
        <f ca="1">IF(RTD("tos.rtd",,$A$2,"."&amp;F$2&amp;F$1&amp;"C"&amp;$A38)="N/A",0,RTD("tos.rtd",,$A$2,"."&amp;F$2&amp;F$1&amp;"C"&amp;$A38))-IF(RTD("tos.rtd",,$A$2,"."&amp;F$2&amp;F$1&amp;"P"&amp;$A38)="N/A",0,RTD("tos.rtd",,$A$2,"."&amp;F$2&amp;F$1&amp;"P"&amp;$A38))</f>
        <v>0</v>
      </c>
      <c r="G38" s="56">
        <f ca="1">IF(RTD("tos.rtd",,$A$2,"."&amp;G$2&amp;G$1&amp;"C"&amp;$A38)="N/A",0,RTD("tos.rtd",,$A$2,"."&amp;G$2&amp;G$1&amp;"C"&amp;$A38))-IF(RTD("tos.rtd",,$A$2,"."&amp;G$2&amp;G$1&amp;"P"&amp;$A38)="N/A",0,RTD("tos.rtd",,$A$2,"."&amp;G$2&amp;G$1&amp;"P"&amp;$A38))</f>
        <v>0</v>
      </c>
      <c r="H38" s="56">
        <f ca="1">IF(RTD("tos.rtd",,$A$2,"."&amp;H$2&amp;H$1&amp;"C"&amp;$A38)="N/A",0,RTD("tos.rtd",,$A$2,"."&amp;H$2&amp;H$1&amp;"C"&amp;$A38))-IF(RTD("tos.rtd",,$A$2,"."&amp;H$2&amp;H$1&amp;"P"&amp;$A38)="N/A",0,RTD("tos.rtd",,$A$2,"."&amp;H$2&amp;H$1&amp;"P"&amp;$A38))</f>
        <v>-414</v>
      </c>
      <c r="I38" s="56">
        <f ca="1">IF(RTD("tos.rtd",,$A$2,"."&amp;I$2&amp;I$1&amp;"C"&amp;$A38)="N/A",0,RTD("tos.rtd",,$A$2,"."&amp;I$2&amp;I$1&amp;"C"&amp;$A38))-IF(RTD("tos.rtd",,$A$2,"."&amp;I$2&amp;I$1&amp;"P"&amp;$A38)="N/A",0,RTD("tos.rtd",,$A$2,"."&amp;I$2&amp;I$1&amp;"P"&amp;$A38))</f>
        <v>-135</v>
      </c>
      <c r="J38" s="56">
        <f ca="1">IF(RTD("tos.rtd",,$A$2,"."&amp;J$2&amp;J$1&amp;"C"&amp;$A38)="N/A",0,RTD("tos.rtd",,$A$2,"."&amp;J$2&amp;J$1&amp;"C"&amp;$A38))-IF(RTD("tos.rtd",,$A$2,"."&amp;J$2&amp;J$1&amp;"P"&amp;$A38)="N/A",0,RTD("tos.rtd",,$A$2,"."&amp;J$2&amp;J$1&amp;"P"&amp;$A38))</f>
        <v>-95</v>
      </c>
      <c r="K38" s="56">
        <f ca="1">IF(RTD("tos.rtd",,$A$2,"."&amp;K$2&amp;K$1&amp;"C"&amp;$A38)="N/A",0,RTD("tos.rtd",,$A$2,"."&amp;K$2&amp;K$1&amp;"C"&amp;$A38))-IF(RTD("tos.rtd",,$A$2,"."&amp;K$2&amp;K$1&amp;"P"&amp;$A38)="N/A",0,RTD("tos.rtd",,$A$2,"."&amp;K$2&amp;K$1&amp;"P"&amp;$A38))</f>
        <v>-247</v>
      </c>
      <c r="L38" s="56">
        <f ca="1">IF(RTD("tos.rtd",,$A$2,"."&amp;L$2&amp;L$1&amp;"C"&amp;$A38)="N/A",0,RTD("tos.rtd",,$A$2,"."&amp;L$2&amp;L$1&amp;"C"&amp;$A38))-IF(RTD("tos.rtd",,$A$2,"."&amp;L$2&amp;L$1&amp;"P"&amp;$A38)="N/A",0,RTD("tos.rtd",,$A$2,"."&amp;L$2&amp;L$1&amp;"P"&amp;$A38))</f>
        <v>0</v>
      </c>
      <c r="M38" s="56">
        <f ca="1">IF(RTD("tos.rtd",,$A$2,"."&amp;M$2&amp;M$1&amp;"C"&amp;$A38)="N/A",0,RTD("tos.rtd",,$A$2,"."&amp;M$2&amp;M$1&amp;"C"&amp;$A38))-IF(RTD("tos.rtd",,$A$2,"."&amp;M$2&amp;M$1&amp;"P"&amp;$A38)="N/A",0,RTD("tos.rtd",,$A$2,"."&amp;M$2&amp;M$1&amp;"P"&amp;$A38))</f>
        <v>-7</v>
      </c>
      <c r="N38" s="56">
        <f ca="1">IF(RTD("tos.rtd",,$A$2,"."&amp;N$2&amp;N$1&amp;"C"&amp;$A38)="N/A",0,RTD("tos.rtd",,$A$2,"."&amp;N$2&amp;N$1&amp;"C"&amp;$A38))-IF(RTD("tos.rtd",,$A$2,"."&amp;N$2&amp;N$1&amp;"P"&amp;$A38)="N/A",0,RTD("tos.rtd",,$A$2,"."&amp;N$2&amp;N$1&amp;"P"&amp;$A38))</f>
        <v>0</v>
      </c>
      <c r="O38" s="56">
        <f ca="1">IF(RTD("tos.rtd",,$A$2,"."&amp;O$2&amp;O$1&amp;"C"&amp;$A38)="N/A",0,RTD("tos.rtd",,$A$2,"."&amp;O$2&amp;O$1&amp;"C"&amp;$A38))-IF(RTD("tos.rtd",,$A$2,"."&amp;O$2&amp;O$1&amp;"P"&amp;$A38)="N/A",0,RTD("tos.rtd",,$A$2,"."&amp;O$2&amp;O$1&amp;"P"&amp;$A38))</f>
        <v>-142</v>
      </c>
      <c r="P38" s="56">
        <f ca="1">IF(RTD("tos.rtd",,$A$2,"."&amp;P$2&amp;P$1&amp;"C"&amp;$A38)="N/A",0,RTD("tos.rtd",,$A$2,"."&amp;P$2&amp;P$1&amp;"C"&amp;$A38))-IF(RTD("tos.rtd",,$A$2,"."&amp;P$2&amp;P$1&amp;"P"&amp;$A38)="N/A",0,RTD("tos.rtd",,$A$2,"."&amp;P$2&amp;P$1&amp;"P"&amp;$A38))</f>
        <v>0</v>
      </c>
      <c r="Q38" s="56">
        <f ca="1">IF(RTD("tos.rtd",,$A$2,"."&amp;Q$2&amp;Q$1&amp;"C"&amp;$A38)="N/A",0,RTD("tos.rtd",,$A$2,"."&amp;Q$2&amp;Q$1&amp;"C"&amp;$A38))-IF(RTD("tos.rtd",,$A$2,"."&amp;Q$2&amp;Q$1&amp;"P"&amp;$A38)="N/A",0,RTD("tos.rtd",,$A$2,"."&amp;Q$2&amp;Q$1&amp;"P"&amp;$A38))</f>
        <v>0</v>
      </c>
      <c r="R38" s="56">
        <f ca="1">IF(RTD("tos.rtd",,$A$2,"."&amp;R$2&amp;R$1&amp;"C"&amp;$A38)="N/A",0,RTD("tos.rtd",,$A$2,"."&amp;R$2&amp;R$1&amp;"C"&amp;$A38))-IF(RTD("tos.rtd",,$A$2,"."&amp;R$2&amp;R$1&amp;"P"&amp;$A38)="N/A",0,RTD("tos.rtd",,$A$2,"."&amp;R$2&amp;R$1&amp;"P"&amp;$A38))</f>
        <v>0</v>
      </c>
      <c r="S38" s="56">
        <f ca="1">IF(RTD("tos.rtd",,$A$2,"."&amp;S$2&amp;S$1&amp;"C"&amp;$A38)="N/A",0,RTD("tos.rtd",,$A$2,"."&amp;S$2&amp;S$1&amp;"C"&amp;$A38))-IF(RTD("tos.rtd",,$A$2,"."&amp;S$2&amp;S$1&amp;"P"&amp;$A38)="N/A",0,RTD("tos.rtd",,$A$2,"."&amp;S$2&amp;S$1&amp;"P"&amp;$A38))</f>
        <v>0</v>
      </c>
      <c r="T38" s="56">
        <f ca="1">IF(RTD("tos.rtd",,$A$2,"."&amp;T$2&amp;T$1&amp;"C"&amp;$A38)="N/A",0,RTD("tos.rtd",,$A$2,"."&amp;T$2&amp;T$1&amp;"C"&amp;$A38))-IF(RTD("tos.rtd",,$A$2,"."&amp;T$2&amp;T$1&amp;"P"&amp;$A38)="N/A",0,RTD("tos.rtd",,$A$2,"."&amp;T$2&amp;T$1&amp;"P"&amp;$A38))</f>
        <v>0</v>
      </c>
      <c r="U38" s="56">
        <f ca="1">IF(RTD("tos.rtd",,$A$2,"."&amp;U$2&amp;U$1&amp;"C"&amp;$A38)="N/A",0,RTD("tos.rtd",,$A$2,"."&amp;U$2&amp;U$1&amp;"C"&amp;$A38))-IF(RTD("tos.rtd",,$A$2,"."&amp;U$2&amp;U$1&amp;"P"&amp;$A38)="N/A",0,RTD("tos.rtd",,$A$2,"."&amp;U$2&amp;U$1&amp;"P"&amp;$A38))</f>
        <v>0</v>
      </c>
      <c r="V38" s="56">
        <f ca="1">IF(RTD("tos.rtd",,$A$2,"."&amp;V$2&amp;V$1&amp;"C"&amp;$A38)="N/A",0,RTD("tos.rtd",,$A$2,"."&amp;V$2&amp;V$1&amp;"C"&amp;$A38))-IF(RTD("tos.rtd",,$A$2,"."&amp;V$2&amp;V$1&amp;"P"&amp;$A38)="N/A",0,RTD("tos.rtd",,$A$2,"."&amp;V$2&amp;V$1&amp;"P"&amp;$A38))</f>
        <v>0</v>
      </c>
      <c r="W38" s="56">
        <f ca="1">IF(RTD("tos.rtd",,$A$2,"."&amp;W$2&amp;W$1&amp;"C"&amp;$A38)="N/A",0,RTD("tos.rtd",,$A$2,"."&amp;W$2&amp;W$1&amp;"C"&amp;$A38))-IF(RTD("tos.rtd",,$A$2,"."&amp;W$2&amp;W$1&amp;"P"&amp;$A38)="N/A",0,RTD("tos.rtd",,$A$2,"."&amp;W$2&amp;W$1&amp;"P"&amp;$A38))</f>
        <v>0</v>
      </c>
      <c r="X38" s="56">
        <f ca="1">IF(RTD("tos.rtd",,$A$2,"."&amp;X$2&amp;X$1&amp;"C"&amp;$A38)="N/A",0,RTD("tos.rtd",,$A$2,"."&amp;X$2&amp;X$1&amp;"C"&amp;$A38))-IF(RTD("tos.rtd",,$A$2,"."&amp;X$2&amp;X$1&amp;"P"&amp;$A38)="N/A",0,RTD("tos.rtd",,$A$2,"."&amp;X$2&amp;X$1&amp;"P"&amp;$A38))</f>
        <v>0</v>
      </c>
      <c r="Y38" s="63">
        <f t="shared" ca="1" si="5"/>
        <v>-33464</v>
      </c>
    </row>
    <row r="39" spans="1:25" x14ac:dyDescent="0.25">
      <c r="A39" s="58">
        <f>+Hoja1!A38</f>
        <v>655</v>
      </c>
      <c r="B39" s="56">
        <f ca="1">IF(RTD("tos.rtd",,$A$2,"."&amp;B$2&amp;B$1&amp;"C"&amp;$A39)="N/A",0,RTD("tos.rtd",,$A$2,"."&amp;B$2&amp;B$1&amp;"C"&amp;$A39))-IF(RTD("tos.rtd",,$A$2,"."&amp;B$2&amp;B$1&amp;"P"&amp;$A39)="N/A",0,RTD("tos.rtd",,$A$2,"."&amp;B$2&amp;B$1&amp;"P"&amp;$A39))</f>
        <v>-25591</v>
      </c>
      <c r="C39" s="56">
        <f ca="1">IF(RTD("tos.rtd",,$A$2,"."&amp;C$2&amp;C$1&amp;"C"&amp;$A39)="N/A",0,RTD("tos.rtd",,$A$2,"."&amp;C$2&amp;C$1&amp;"C"&amp;$A39))-IF(RTD("tos.rtd",,$A$2,"."&amp;C$2&amp;C$1&amp;"P"&amp;$A39)="N/A",0,RTD("tos.rtd",,$A$2,"."&amp;C$2&amp;C$1&amp;"P"&amp;$A39))</f>
        <v>-4724</v>
      </c>
      <c r="D39" s="56">
        <f ca="1">IF(RTD("tos.rtd",,$A$2,"."&amp;D$2&amp;D$1&amp;"C"&amp;$A39)="N/A",0,RTD("tos.rtd",,$A$2,"."&amp;D$2&amp;D$1&amp;"C"&amp;$A39))-IF(RTD("tos.rtd",,$A$2,"."&amp;D$2&amp;D$1&amp;"P"&amp;$A39)="N/A",0,RTD("tos.rtd",,$A$2,"."&amp;D$2&amp;D$1&amp;"P"&amp;$A39))</f>
        <v>-8221</v>
      </c>
      <c r="E39" s="56">
        <f ca="1">IF(RTD("tos.rtd",,$A$2,"."&amp;E$2&amp;E$1&amp;"C"&amp;$A39)="N/A",0,RTD("tos.rtd",,$A$2,"."&amp;E$2&amp;E$1&amp;"C"&amp;$A39))-IF(RTD("tos.rtd",,$A$2,"."&amp;E$2&amp;E$1&amp;"P"&amp;$A39)="N/A",0,RTD("tos.rtd",,$A$2,"."&amp;E$2&amp;E$1&amp;"P"&amp;$A39))</f>
        <v>-1016</v>
      </c>
      <c r="F39" s="56">
        <f ca="1">IF(RTD("tos.rtd",,$A$2,"."&amp;F$2&amp;F$1&amp;"C"&amp;$A39)="N/A",0,RTD("tos.rtd",,$A$2,"."&amp;F$2&amp;F$1&amp;"C"&amp;$A39))-IF(RTD("tos.rtd",,$A$2,"."&amp;F$2&amp;F$1&amp;"P"&amp;$A39)="N/A",0,RTD("tos.rtd",,$A$2,"."&amp;F$2&amp;F$1&amp;"P"&amp;$A39))</f>
        <v>0</v>
      </c>
      <c r="G39" s="56">
        <f ca="1">IF(RTD("tos.rtd",,$A$2,"."&amp;G$2&amp;G$1&amp;"C"&amp;$A39)="N/A",0,RTD("tos.rtd",,$A$2,"."&amp;G$2&amp;G$1&amp;"C"&amp;$A39))-IF(RTD("tos.rtd",,$A$2,"."&amp;G$2&amp;G$1&amp;"P"&amp;$A39)="N/A",0,RTD("tos.rtd",,$A$2,"."&amp;G$2&amp;G$1&amp;"P"&amp;$A39))</f>
        <v>0</v>
      </c>
      <c r="H39" s="56">
        <f ca="1">IF(RTD("tos.rtd",,$A$2,"."&amp;H$2&amp;H$1&amp;"C"&amp;$A39)="N/A",0,RTD("tos.rtd",,$A$2,"."&amp;H$2&amp;H$1&amp;"C"&amp;$A39))-IF(RTD("tos.rtd",,$A$2,"."&amp;H$2&amp;H$1&amp;"P"&amp;$A39)="N/A",0,RTD("tos.rtd",,$A$2,"."&amp;H$2&amp;H$1&amp;"P"&amp;$A39))</f>
        <v>-3199</v>
      </c>
      <c r="I39" s="56">
        <f ca="1">IF(RTD("tos.rtd",,$A$2,"."&amp;I$2&amp;I$1&amp;"C"&amp;$A39)="N/A",0,RTD("tos.rtd",,$A$2,"."&amp;I$2&amp;I$1&amp;"C"&amp;$A39))-IF(RTD("tos.rtd",,$A$2,"."&amp;I$2&amp;I$1&amp;"P"&amp;$A39)="N/A",0,RTD("tos.rtd",,$A$2,"."&amp;I$2&amp;I$1&amp;"P"&amp;$A39))</f>
        <v>-549</v>
      </c>
      <c r="J39" s="56">
        <f ca="1">IF(RTD("tos.rtd",,$A$2,"."&amp;J$2&amp;J$1&amp;"C"&amp;$A39)="N/A",0,RTD("tos.rtd",,$A$2,"."&amp;J$2&amp;J$1&amp;"C"&amp;$A39))-IF(RTD("tos.rtd",,$A$2,"."&amp;J$2&amp;J$1&amp;"P"&amp;$A39)="N/A",0,RTD("tos.rtd",,$A$2,"."&amp;J$2&amp;J$1&amp;"P"&amp;$A39))</f>
        <v>-918</v>
      </c>
      <c r="K39" s="56">
        <f ca="1">IF(RTD("tos.rtd",,$A$2,"."&amp;K$2&amp;K$1&amp;"C"&amp;$A39)="N/A",0,RTD("tos.rtd",,$A$2,"."&amp;K$2&amp;K$1&amp;"C"&amp;$A39))-IF(RTD("tos.rtd",,$A$2,"."&amp;K$2&amp;K$1&amp;"P"&amp;$A39)="N/A",0,RTD("tos.rtd",,$A$2,"."&amp;K$2&amp;K$1&amp;"P"&amp;$A39))</f>
        <v>-2333</v>
      </c>
      <c r="L39" s="56">
        <f ca="1">IF(RTD("tos.rtd",,$A$2,"."&amp;L$2&amp;L$1&amp;"C"&amp;$A39)="N/A",0,RTD("tos.rtd",,$A$2,"."&amp;L$2&amp;L$1&amp;"C"&amp;$A39))-IF(RTD("tos.rtd",,$A$2,"."&amp;L$2&amp;L$1&amp;"P"&amp;$A39)="N/A",0,RTD("tos.rtd",,$A$2,"."&amp;L$2&amp;L$1&amp;"P"&amp;$A39))</f>
        <v>0</v>
      </c>
      <c r="M39" s="56">
        <f ca="1">IF(RTD("tos.rtd",,$A$2,"."&amp;M$2&amp;M$1&amp;"C"&amp;$A39)="N/A",0,RTD("tos.rtd",,$A$2,"."&amp;M$2&amp;M$1&amp;"C"&amp;$A39))-IF(RTD("tos.rtd",,$A$2,"."&amp;M$2&amp;M$1&amp;"P"&amp;$A39)="N/A",0,RTD("tos.rtd",,$A$2,"."&amp;M$2&amp;M$1&amp;"P"&amp;$A39))</f>
        <v>-620</v>
      </c>
      <c r="N39" s="56">
        <f ca="1">IF(RTD("tos.rtd",,$A$2,"."&amp;N$2&amp;N$1&amp;"C"&amp;$A39)="N/A",0,RTD("tos.rtd",,$A$2,"."&amp;N$2&amp;N$1&amp;"C"&amp;$A39))-IF(RTD("tos.rtd",,$A$2,"."&amp;N$2&amp;N$1&amp;"P"&amp;$A39)="N/A",0,RTD("tos.rtd",,$A$2,"."&amp;N$2&amp;N$1&amp;"P"&amp;$A39))</f>
        <v>0</v>
      </c>
      <c r="O39" s="56">
        <f ca="1">IF(RTD("tos.rtd",,$A$2,"."&amp;O$2&amp;O$1&amp;"C"&amp;$A39)="N/A",0,RTD("tos.rtd",,$A$2,"."&amp;O$2&amp;O$1&amp;"C"&amp;$A39))-IF(RTD("tos.rtd",,$A$2,"."&amp;O$2&amp;O$1&amp;"P"&amp;$A39)="N/A",0,RTD("tos.rtd",,$A$2,"."&amp;O$2&amp;O$1&amp;"P"&amp;$A39))</f>
        <v>-109</v>
      </c>
      <c r="P39" s="56">
        <f ca="1">IF(RTD("tos.rtd",,$A$2,"."&amp;P$2&amp;P$1&amp;"C"&amp;$A39)="N/A",0,RTD("tos.rtd",,$A$2,"."&amp;P$2&amp;P$1&amp;"C"&amp;$A39))-IF(RTD("tos.rtd",,$A$2,"."&amp;P$2&amp;P$1&amp;"P"&amp;$A39)="N/A",0,RTD("tos.rtd",,$A$2,"."&amp;P$2&amp;P$1&amp;"P"&amp;$A39))</f>
        <v>-1</v>
      </c>
      <c r="Q39" s="56">
        <f ca="1">IF(RTD("tos.rtd",,$A$2,"."&amp;Q$2&amp;Q$1&amp;"C"&amp;$A39)="N/A",0,RTD("tos.rtd",,$A$2,"."&amp;Q$2&amp;Q$1&amp;"C"&amp;$A39))-IF(RTD("tos.rtd",,$A$2,"."&amp;Q$2&amp;Q$1&amp;"P"&amp;$A39)="N/A",0,RTD("tos.rtd",,$A$2,"."&amp;Q$2&amp;Q$1&amp;"P"&amp;$A39))</f>
        <v>0</v>
      </c>
      <c r="R39" s="56">
        <f ca="1">IF(RTD("tos.rtd",,$A$2,"."&amp;R$2&amp;R$1&amp;"C"&amp;$A39)="N/A",0,RTD("tos.rtd",,$A$2,"."&amp;R$2&amp;R$1&amp;"C"&amp;$A39))-IF(RTD("tos.rtd",,$A$2,"."&amp;R$2&amp;R$1&amp;"P"&amp;$A39)="N/A",0,RTD("tos.rtd",,$A$2,"."&amp;R$2&amp;R$1&amp;"P"&amp;$A39))</f>
        <v>0</v>
      </c>
      <c r="S39" s="56">
        <f ca="1">IF(RTD("tos.rtd",,$A$2,"."&amp;S$2&amp;S$1&amp;"C"&amp;$A39)="N/A",0,RTD("tos.rtd",,$A$2,"."&amp;S$2&amp;S$1&amp;"C"&amp;$A39))-IF(RTD("tos.rtd",,$A$2,"."&amp;S$2&amp;S$1&amp;"P"&amp;$A39)="N/A",0,RTD("tos.rtd",,$A$2,"."&amp;S$2&amp;S$1&amp;"P"&amp;$A39))</f>
        <v>0</v>
      </c>
      <c r="T39" s="56">
        <f ca="1">IF(RTD("tos.rtd",,$A$2,"."&amp;T$2&amp;T$1&amp;"C"&amp;$A39)="N/A",0,RTD("tos.rtd",,$A$2,"."&amp;T$2&amp;T$1&amp;"C"&amp;$A39))-IF(RTD("tos.rtd",,$A$2,"."&amp;T$2&amp;T$1&amp;"P"&amp;$A39)="N/A",0,RTD("tos.rtd",,$A$2,"."&amp;T$2&amp;T$1&amp;"P"&amp;$A39))</f>
        <v>0</v>
      </c>
      <c r="U39" s="56">
        <f ca="1">IF(RTD("tos.rtd",,$A$2,"."&amp;U$2&amp;U$1&amp;"C"&amp;$A39)="N/A",0,RTD("tos.rtd",,$A$2,"."&amp;U$2&amp;U$1&amp;"C"&amp;$A39))-IF(RTD("tos.rtd",,$A$2,"."&amp;U$2&amp;U$1&amp;"P"&amp;$A39)="N/A",0,RTD("tos.rtd",,$A$2,"."&amp;U$2&amp;U$1&amp;"P"&amp;$A39))</f>
        <v>0</v>
      </c>
      <c r="V39" s="56">
        <f ca="1">IF(RTD("tos.rtd",,$A$2,"."&amp;V$2&amp;V$1&amp;"C"&amp;$A39)="N/A",0,RTD("tos.rtd",,$A$2,"."&amp;V$2&amp;V$1&amp;"C"&amp;$A39))-IF(RTD("tos.rtd",,$A$2,"."&amp;V$2&amp;V$1&amp;"P"&amp;$A39)="N/A",0,RTD("tos.rtd",,$A$2,"."&amp;V$2&amp;V$1&amp;"P"&amp;$A39))</f>
        <v>0</v>
      </c>
      <c r="W39" s="56">
        <f ca="1">IF(RTD("tos.rtd",,$A$2,"."&amp;W$2&amp;W$1&amp;"C"&amp;$A39)="N/A",0,RTD("tos.rtd",,$A$2,"."&amp;W$2&amp;W$1&amp;"C"&amp;$A39))-IF(RTD("tos.rtd",,$A$2,"."&amp;W$2&amp;W$1&amp;"P"&amp;$A39)="N/A",0,RTD("tos.rtd",,$A$2,"."&amp;W$2&amp;W$1&amp;"P"&amp;$A39))</f>
        <v>0</v>
      </c>
      <c r="X39" s="56">
        <f ca="1">IF(RTD("tos.rtd",,$A$2,"."&amp;X$2&amp;X$1&amp;"C"&amp;$A39)="N/A",0,RTD("tos.rtd",,$A$2,"."&amp;X$2&amp;X$1&amp;"C"&amp;$A39))-IF(RTD("tos.rtd",,$A$2,"."&amp;X$2&amp;X$1&amp;"P"&amp;$A39)="N/A",0,RTD("tos.rtd",,$A$2,"."&amp;X$2&amp;X$1&amp;"P"&amp;$A39))</f>
        <v>0</v>
      </c>
      <c r="Y39" s="63">
        <f t="shared" ca="1" si="5"/>
        <v>-47281</v>
      </c>
    </row>
    <row r="40" spans="1:25" x14ac:dyDescent="0.25">
      <c r="A40" s="58">
        <f>+Hoja1!A39</f>
        <v>1</v>
      </c>
    </row>
    <row r="41" spans="1:25" x14ac:dyDescent="0.25">
      <c r="A41" s="58">
        <f>+Hoja1!A40</f>
        <v>672.36</v>
      </c>
    </row>
    <row r="42" spans="1:25" x14ac:dyDescent="0.25">
      <c r="A42" s="58">
        <f>+Hoja1!A41</f>
        <v>1.5220700152207001</v>
      </c>
      <c r="B42" s="57" t="str">
        <f ca="1">+B1</f>
        <v>251110</v>
      </c>
      <c r="C42" s="57" t="str">
        <f t="shared" ref="C42:X42" ca="1" si="6">+C1</f>
        <v>251111</v>
      </c>
      <c r="D42" s="57" t="str">
        <f t="shared" ca="1" si="6"/>
        <v>251112</v>
      </c>
      <c r="E42" s="57" t="str">
        <f t="shared" ca="1" si="6"/>
        <v>251113</v>
      </c>
      <c r="F42" s="57" t="str">
        <f t="shared" ca="1" si="6"/>
        <v/>
      </c>
      <c r="G42" s="57" t="str">
        <f t="shared" ca="1" si="6"/>
        <v/>
      </c>
      <c r="H42" s="57" t="str">
        <f t="shared" ca="1" si="6"/>
        <v>251128</v>
      </c>
      <c r="I42" s="57" t="str">
        <f t="shared" ca="1" si="6"/>
        <v>251205</v>
      </c>
      <c r="J42" s="57" t="str">
        <f t="shared" ca="1" si="6"/>
        <v>251212</v>
      </c>
      <c r="K42" s="57" t="str">
        <f t="shared" ca="1" si="6"/>
        <v>251219</v>
      </c>
      <c r="L42" s="57" t="str">
        <f t="shared" ca="1" si="6"/>
        <v>260109</v>
      </c>
      <c r="M42" s="57" t="str">
        <f t="shared" ca="1" si="6"/>
        <v>260130</v>
      </c>
      <c r="N42" s="57" t="str">
        <f t="shared" ca="1" si="6"/>
        <v>260206</v>
      </c>
      <c r="O42" s="57" t="str">
        <f t="shared" ca="1" si="6"/>
        <v>251231</v>
      </c>
      <c r="P42" s="57" t="str">
        <f t="shared" ca="1" si="6"/>
        <v>260227</v>
      </c>
      <c r="Q42" s="57" t="str">
        <f t="shared" ca="1" si="6"/>
        <v>260403</v>
      </c>
      <c r="R42" s="57" t="str">
        <f t="shared" ca="1" si="6"/>
        <v>260501</v>
      </c>
      <c r="S42" s="57" t="str">
        <f t="shared" ca="1" si="6"/>
        <v>260529</v>
      </c>
      <c r="T42" s="57" t="str">
        <f t="shared" ca="1" si="6"/>
        <v>260626</v>
      </c>
      <c r="U42" s="57" t="str">
        <f t="shared" ca="1" si="6"/>
        <v>260731</v>
      </c>
      <c r="V42" s="57" t="str">
        <f t="shared" ca="1" si="6"/>
        <v>260828</v>
      </c>
      <c r="W42" s="57" t="str">
        <f t="shared" ca="1" si="6"/>
        <v>261002</v>
      </c>
      <c r="X42" s="57" t="str">
        <f t="shared" ca="1" si="6"/>
        <v>261030</v>
      </c>
    </row>
    <row r="43" spans="1:25" x14ac:dyDescent="0.25">
      <c r="A43" s="58">
        <f>+Hoja1!A42</f>
        <v>611.9</v>
      </c>
      <c r="B43" s="57" t="str">
        <f>+A44</f>
        <v>QQQ</v>
      </c>
      <c r="C43" s="57" t="str">
        <f>+B43</f>
        <v>QQQ</v>
      </c>
      <c r="D43" s="57" t="str">
        <f t="shared" ref="D43:L43" si="7">+C43</f>
        <v>QQQ</v>
      </c>
      <c r="E43" s="57" t="str">
        <f t="shared" si="7"/>
        <v>QQQ</v>
      </c>
      <c r="F43" s="57" t="str">
        <f t="shared" si="7"/>
        <v>QQQ</v>
      </c>
      <c r="G43" s="57" t="str">
        <f t="shared" si="7"/>
        <v>QQQ</v>
      </c>
      <c r="H43" s="57" t="str">
        <f t="shared" si="7"/>
        <v>QQQ</v>
      </c>
      <c r="I43" s="57" t="str">
        <f t="shared" si="7"/>
        <v>QQQ</v>
      </c>
      <c r="J43" s="57" t="str">
        <f t="shared" si="7"/>
        <v>QQQ</v>
      </c>
      <c r="K43" s="57" t="str">
        <f t="shared" si="7"/>
        <v>QQQ</v>
      </c>
      <c r="L43" s="57" t="str">
        <f t="shared" si="7"/>
        <v>QQQ</v>
      </c>
      <c r="M43" s="57" t="str">
        <f t="shared" ref="M43:X43" si="8">+K43</f>
        <v>QQQ</v>
      </c>
      <c r="N43" s="57" t="str">
        <f t="shared" si="8"/>
        <v>QQQ</v>
      </c>
      <c r="O43" s="57" t="str">
        <f t="shared" si="8"/>
        <v>QQQ</v>
      </c>
      <c r="P43" s="57" t="str">
        <f t="shared" si="8"/>
        <v>QQQ</v>
      </c>
      <c r="Q43" s="57" t="str">
        <f t="shared" si="8"/>
        <v>QQQ</v>
      </c>
      <c r="R43" s="57" t="str">
        <f t="shared" si="8"/>
        <v>QQQ</v>
      </c>
      <c r="S43" s="57" t="str">
        <f t="shared" si="8"/>
        <v>QQQ</v>
      </c>
      <c r="T43" s="57" t="str">
        <f t="shared" si="8"/>
        <v>QQQ</v>
      </c>
      <c r="U43" s="57" t="str">
        <f t="shared" si="8"/>
        <v>QQQ</v>
      </c>
      <c r="V43" s="57" t="str">
        <f t="shared" si="8"/>
        <v>QQQ</v>
      </c>
      <c r="W43" s="57" t="str">
        <f t="shared" si="8"/>
        <v>QQQ</v>
      </c>
      <c r="X43" s="57" t="str">
        <f t="shared" si="8"/>
        <v>QQQ</v>
      </c>
    </row>
    <row r="44" spans="1:25" x14ac:dyDescent="0.25">
      <c r="A44" s="58" t="str">
        <f>+Hoja1!A43</f>
        <v>QQQ</v>
      </c>
      <c r="B44" s="59">
        <f>+B3</f>
        <v>45971</v>
      </c>
      <c r="C44" s="59">
        <f t="shared" ref="C44:X44" si="9">+C3</f>
        <v>45972</v>
      </c>
      <c r="D44" s="59">
        <f t="shared" si="9"/>
        <v>45973</v>
      </c>
      <c r="E44" s="59">
        <f t="shared" si="9"/>
        <v>45974</v>
      </c>
      <c r="F44" s="59">
        <f t="shared" si="9"/>
        <v>45975</v>
      </c>
      <c r="G44" s="59">
        <f t="shared" si="9"/>
        <v>45982</v>
      </c>
      <c r="H44" s="59">
        <f t="shared" si="9"/>
        <v>45989</v>
      </c>
      <c r="I44" s="59">
        <f t="shared" si="9"/>
        <v>45996</v>
      </c>
      <c r="J44" s="59">
        <f t="shared" si="9"/>
        <v>46003</v>
      </c>
      <c r="K44" s="59">
        <f t="shared" si="9"/>
        <v>46010</v>
      </c>
      <c r="L44" s="59">
        <f t="shared" si="9"/>
        <v>46031</v>
      </c>
      <c r="M44" s="59">
        <f t="shared" si="9"/>
        <v>46052</v>
      </c>
      <c r="N44" s="59">
        <f t="shared" si="9"/>
        <v>46059</v>
      </c>
      <c r="O44" s="59">
        <f t="shared" si="9"/>
        <v>46022</v>
      </c>
      <c r="P44" s="59">
        <f t="shared" si="9"/>
        <v>46080</v>
      </c>
      <c r="Q44" s="59">
        <f t="shared" si="9"/>
        <v>46115</v>
      </c>
      <c r="R44" s="59">
        <f t="shared" si="9"/>
        <v>46143</v>
      </c>
      <c r="S44" s="59">
        <f t="shared" si="9"/>
        <v>46171</v>
      </c>
      <c r="T44" s="59">
        <f t="shared" si="9"/>
        <v>46199</v>
      </c>
      <c r="U44" s="59">
        <f t="shared" si="9"/>
        <v>46234</v>
      </c>
      <c r="V44" s="59">
        <f t="shared" si="9"/>
        <v>46262</v>
      </c>
      <c r="W44" s="59">
        <f t="shared" si="9"/>
        <v>46297</v>
      </c>
      <c r="X44" s="59">
        <f t="shared" si="9"/>
        <v>46325</v>
      </c>
    </row>
    <row r="45" spans="1:25" x14ac:dyDescent="0.25">
      <c r="A45" s="58">
        <f>+Hoja1!A44</f>
        <v>611.9</v>
      </c>
      <c r="B45" s="57"/>
      <c r="C45" s="57"/>
      <c r="D45" s="57"/>
    </row>
    <row r="46" spans="1:25" x14ac:dyDescent="0.25">
      <c r="A46" s="58">
        <f>+Hoja1!A45</f>
        <v>629</v>
      </c>
      <c r="B46" s="56">
        <f ca="1">IF(RTD("tos.rtd",,$A$2,"."&amp;B$43&amp;B$1&amp;"C"&amp;$A46)="N/A",0,RTD("tos.rtd",,$A$2,"."&amp;B$43&amp;B$1&amp;"C"&amp;$A46))-IF(RTD("tos.rtd",,$A$2,"."&amp;B$43&amp;B$1&amp;"P"&amp;$A46)="N/A",0,RTD("tos.rtd",,$A$2,"."&amp;B$43&amp;B$1&amp;"P"&amp;$A46))</f>
        <v>1373</v>
      </c>
      <c r="C46" s="56">
        <f ca="1">IF(RTD("tos.rtd",,$A$2,"."&amp;C$43&amp;C$1&amp;"C"&amp;$A46)="N/A",0,RTD("tos.rtd",,$A$2,"."&amp;C$43&amp;C$1&amp;"C"&amp;$A46))-IF(RTD("tos.rtd",,$A$2,"."&amp;C$43&amp;C$1&amp;"P"&amp;$A46)="N/A",0,RTD("tos.rtd",,$A$2,"."&amp;C$43&amp;C$1&amp;"P"&amp;$A46))</f>
        <v>319</v>
      </c>
      <c r="D46" s="56">
        <f ca="1">IF(RTD("tos.rtd",,$A$2,"."&amp;D$43&amp;D$1&amp;"C"&amp;$A46)="N/A",0,RTD("tos.rtd",,$A$2,"."&amp;D$43&amp;D$1&amp;"C"&amp;$A46))-IF(RTD("tos.rtd",,$A$2,"."&amp;D$43&amp;D$1&amp;"P"&amp;$A46)="N/A",0,RTD("tos.rtd",,$A$2,"."&amp;D$43&amp;D$1&amp;"P"&amp;$A46))</f>
        <v>442</v>
      </c>
      <c r="E46" s="56">
        <f ca="1">IF(RTD("tos.rtd",,$A$2,"."&amp;E$43&amp;E$1&amp;"C"&amp;$A46)="N/A",0,RTD("tos.rtd",,$A$2,"."&amp;E$43&amp;E$1&amp;"C"&amp;$A46))-IF(RTD("tos.rtd",,$A$2,"."&amp;E$43&amp;E$1&amp;"P"&amp;$A46)="N/A",0,RTD("tos.rtd",,$A$2,"."&amp;E$43&amp;E$1&amp;"P"&amp;$A46))</f>
        <v>201</v>
      </c>
      <c r="F46" s="56">
        <f ca="1">IF(RTD("tos.rtd",,$A$2,"."&amp;F$43&amp;F$1&amp;"C"&amp;$A46)="N/A",0,RTD("tos.rtd",,$A$2,"."&amp;F$43&amp;F$1&amp;"C"&amp;$A46))-IF(RTD("tos.rtd",,$A$2,"."&amp;F$43&amp;F$1&amp;"P"&amp;$A46)="N/A",0,RTD("tos.rtd",,$A$2,"."&amp;F$43&amp;F$1&amp;"P"&amp;$A46))</f>
        <v>0</v>
      </c>
      <c r="G46" s="56">
        <f ca="1">IF(RTD("tos.rtd",,$A$2,"."&amp;G$43&amp;G$1&amp;"C"&amp;$A46)="N/A",0,RTD("tos.rtd",,$A$2,"."&amp;G$43&amp;G$1&amp;"C"&amp;$A46))-IF(RTD("tos.rtd",,$A$2,"."&amp;G$43&amp;G$1&amp;"P"&amp;$A46)="N/A",0,RTD("tos.rtd",,$A$2,"."&amp;G$43&amp;G$1&amp;"P"&amp;$A46))</f>
        <v>0</v>
      </c>
      <c r="H46" s="56">
        <f ca="1">IF(RTD("tos.rtd",,$A$2,"."&amp;H$43&amp;H$1&amp;"C"&amp;$A46)="N/A",0,RTD("tos.rtd",,$A$2,"."&amp;H$43&amp;H$1&amp;"C"&amp;$A46))-IF(RTD("tos.rtd",,$A$2,"."&amp;H$43&amp;H$1&amp;"P"&amp;$A46)="N/A",0,RTD("tos.rtd",,$A$2,"."&amp;H$43&amp;H$1&amp;"P"&amp;$A46))</f>
        <v>145</v>
      </c>
      <c r="I46" s="56">
        <f ca="1">IF(RTD("tos.rtd",,$A$2,"."&amp;I$43&amp;I$1&amp;"C"&amp;$A46)="N/A",0,RTD("tos.rtd",,$A$2,"."&amp;I$43&amp;I$1&amp;"C"&amp;$A46))-IF(RTD("tos.rtd",,$A$2,"."&amp;I$43&amp;I$1&amp;"P"&amp;$A46)="N/A",0,RTD("tos.rtd",,$A$2,"."&amp;I$43&amp;I$1&amp;"P"&amp;$A46))</f>
        <v>116</v>
      </c>
      <c r="J46" s="56">
        <f ca="1">IF(RTD("tos.rtd",,$A$2,"."&amp;J$43&amp;J$1&amp;"C"&amp;$A46)="N/A",0,RTD("tos.rtd",,$A$2,"."&amp;J$43&amp;J$1&amp;"C"&amp;$A46))-IF(RTD("tos.rtd",,$A$2,"."&amp;J$43&amp;J$1&amp;"P"&amp;$A46)="N/A",0,RTD("tos.rtd",,$A$2,"."&amp;J$43&amp;J$1&amp;"P"&amp;$A46))</f>
        <v>12</v>
      </c>
      <c r="K46" s="56">
        <f ca="1">IF(RTD("tos.rtd",,$A$2,"."&amp;K$43&amp;K$1&amp;"C"&amp;$A46)="N/A",0,RTD("tos.rtd",,$A$2,"."&amp;K$43&amp;K$1&amp;"C"&amp;$A46))-IF(RTD("tos.rtd",,$A$2,"."&amp;K$43&amp;K$1&amp;"P"&amp;$A46)="N/A",0,RTD("tos.rtd",,$A$2,"."&amp;K$43&amp;K$1&amp;"P"&amp;$A46))</f>
        <v>51</v>
      </c>
      <c r="L46" s="56">
        <f ca="1">IF(RTD("tos.rtd",,$A$2,"."&amp;L$43&amp;L$1&amp;"C"&amp;$A46)="N/A",0,RTD("tos.rtd",,$A$2,"."&amp;L$43&amp;L$1&amp;"C"&amp;$A46))-IF(RTD("tos.rtd",,$A$2,"."&amp;L$43&amp;L$1&amp;"P"&amp;$A46)="N/A",0,RTD("tos.rtd",,$A$2,"."&amp;L$43&amp;L$1&amp;"P"&amp;$A46))</f>
        <v>0</v>
      </c>
      <c r="M46" s="56">
        <f ca="1">IF(RTD("tos.rtd",,$A$2,"."&amp;M$43&amp;M$1&amp;"C"&amp;$A46)="N/A",0,RTD("tos.rtd",,$A$2,"."&amp;M$43&amp;M$1&amp;"C"&amp;$A46))-IF(RTD("tos.rtd",,$A$2,"."&amp;M$43&amp;M$1&amp;"P"&amp;$A46)="N/A",0,RTD("tos.rtd",,$A$2,"."&amp;M$43&amp;M$1&amp;"P"&amp;$A46))</f>
        <v>-1</v>
      </c>
      <c r="N46" s="56">
        <f ca="1">IF(RTD("tos.rtd",,$A$2,"."&amp;N$43&amp;N$1&amp;"C"&amp;$A46)="N/A",0,RTD("tos.rtd",,$A$2,"."&amp;N$43&amp;N$1&amp;"C"&amp;$A46))-IF(RTD("tos.rtd",,$A$2,"."&amp;N$43&amp;N$1&amp;"P"&amp;$A46)="N/A",0,RTD("tos.rtd",,$A$2,"."&amp;N$43&amp;N$1&amp;"P"&amp;$A46))</f>
        <v>0</v>
      </c>
      <c r="O46" s="56">
        <f ca="1">IF(RTD("tos.rtd",,$A$2,"."&amp;O$43&amp;O$1&amp;"C"&amp;$A46)="N/A",0,RTD("tos.rtd",,$A$2,"."&amp;O$43&amp;O$1&amp;"C"&amp;$A46))-IF(RTD("tos.rtd",,$A$2,"."&amp;O$43&amp;O$1&amp;"P"&amp;$A46)="N/A",0,RTD("tos.rtd",,$A$2,"."&amp;O$43&amp;O$1&amp;"P"&amp;$A46))</f>
        <v>55</v>
      </c>
      <c r="P46" s="56">
        <f ca="1">IF(RTD("tos.rtd",,$A$2,"."&amp;P$43&amp;P$1&amp;"C"&amp;$A46)="N/A",0,RTD("tos.rtd",,$A$2,"."&amp;P$43&amp;P$1&amp;"C"&amp;$A46))-IF(RTD("tos.rtd",,$A$2,"."&amp;P$43&amp;P$1&amp;"P"&amp;$A46)="N/A",0,RTD("tos.rtd",,$A$2,"."&amp;P$43&amp;P$1&amp;"P"&amp;$A46))</f>
        <v>0</v>
      </c>
      <c r="Q46" s="56">
        <f ca="1">IF(RTD("tos.rtd",,$A$2,"."&amp;Q$43&amp;Q$1&amp;"C"&amp;$A46)="N/A",0,RTD("tos.rtd",,$A$2,"."&amp;Q$43&amp;Q$1&amp;"C"&amp;$A46))-IF(RTD("tos.rtd",,$A$2,"."&amp;Q$43&amp;Q$1&amp;"P"&amp;$A46)="N/A",0,RTD("tos.rtd",,$A$2,"."&amp;Q$43&amp;Q$1&amp;"P"&amp;$A46))</f>
        <v>0</v>
      </c>
      <c r="R46" s="56">
        <f ca="1">IF(RTD("tos.rtd",,$A$2,"."&amp;R$43&amp;R$1&amp;"C"&amp;$A46)="N/A",0,RTD("tos.rtd",,$A$2,"."&amp;R$43&amp;R$1&amp;"C"&amp;$A46))-IF(RTD("tos.rtd",,$A$2,"."&amp;R$43&amp;R$1&amp;"P"&amp;$A46)="N/A",0,RTD("tos.rtd",,$A$2,"."&amp;R$43&amp;R$1&amp;"P"&amp;$A46))</f>
        <v>0</v>
      </c>
      <c r="S46" s="56">
        <f ca="1">IF(RTD("tos.rtd",,$A$2,"."&amp;S$43&amp;S$1&amp;"C"&amp;$A46)="N/A",0,RTD("tos.rtd",,$A$2,"."&amp;S$43&amp;S$1&amp;"C"&amp;$A46))-IF(RTD("tos.rtd",,$A$2,"."&amp;S$43&amp;S$1&amp;"P"&amp;$A46)="N/A",0,RTD("tos.rtd",,$A$2,"."&amp;S$43&amp;S$1&amp;"P"&amp;$A46))</f>
        <v>0</v>
      </c>
      <c r="T46" s="56">
        <f ca="1">IF(RTD("tos.rtd",,$A$2,"."&amp;T$43&amp;T$1&amp;"C"&amp;$A46)="N/A",0,RTD("tos.rtd",,$A$2,"."&amp;T$43&amp;T$1&amp;"C"&amp;$A46))-IF(RTD("tos.rtd",,$A$2,"."&amp;T$43&amp;T$1&amp;"P"&amp;$A46)="N/A",0,RTD("tos.rtd",,$A$2,"."&amp;T$43&amp;T$1&amp;"P"&amp;$A46))</f>
        <v>0</v>
      </c>
      <c r="U46" s="56">
        <f ca="1">IF(RTD("tos.rtd",,$A$2,"."&amp;U$43&amp;U$1&amp;"C"&amp;$A46)="N/A",0,RTD("tos.rtd",,$A$2,"."&amp;U$43&amp;U$1&amp;"C"&amp;$A46))-IF(RTD("tos.rtd",,$A$2,"."&amp;U$43&amp;U$1&amp;"P"&amp;$A46)="N/A",0,RTD("tos.rtd",,$A$2,"."&amp;U$43&amp;U$1&amp;"P"&amp;$A46))</f>
        <v>0</v>
      </c>
      <c r="V46" s="56">
        <f ca="1">IF(RTD("tos.rtd",,$A$2,"."&amp;V$43&amp;V$1&amp;"C"&amp;$A46)="N/A",0,RTD("tos.rtd",,$A$2,"."&amp;V$43&amp;V$1&amp;"C"&amp;$A46))-IF(RTD("tos.rtd",,$A$2,"."&amp;V$43&amp;V$1&amp;"P"&amp;$A46)="N/A",0,RTD("tos.rtd",,$A$2,"."&amp;V$43&amp;V$1&amp;"P"&amp;$A46))</f>
        <v>0</v>
      </c>
      <c r="W46" s="56">
        <f ca="1">IF(RTD("tos.rtd",,$A$2,"."&amp;W$43&amp;W$1&amp;"C"&amp;$A46)="N/A",0,RTD("tos.rtd",,$A$2,"."&amp;W$43&amp;W$1&amp;"C"&amp;$A46))-IF(RTD("tos.rtd",,$A$2,"."&amp;W$43&amp;W$1&amp;"P"&amp;$A46)="N/A",0,RTD("tos.rtd",,$A$2,"."&amp;W$43&amp;W$1&amp;"P"&amp;$A46))</f>
        <v>0</v>
      </c>
      <c r="X46" s="56">
        <f ca="1">IF(RTD("tos.rtd",,$A$2,"."&amp;X$43&amp;X$1&amp;"C"&amp;$A46)="N/A",0,RTD("tos.rtd",,$A$2,"."&amp;X$43&amp;X$1&amp;"C"&amp;$A46))-IF(RTD("tos.rtd",,$A$2,"."&amp;X$43&amp;X$1&amp;"P"&amp;$A46)="N/A",0,RTD("tos.rtd",,$A$2,"."&amp;X$43&amp;X$1&amp;"P"&amp;$A46))</f>
        <v>0</v>
      </c>
      <c r="Y46" s="63">
        <f ca="1">SUM(B46:X46)</f>
        <v>2713</v>
      </c>
    </row>
    <row r="47" spans="1:25" x14ac:dyDescent="0.25">
      <c r="A47" s="58">
        <f>+Hoja1!A46</f>
        <v>628</v>
      </c>
      <c r="B47" s="56">
        <f ca="1">IF(RTD("tos.rtd",,$A$2,"."&amp;B$43&amp;B$1&amp;"C"&amp;$A47)="N/A",0,RTD("tos.rtd",,$A$2,"."&amp;B$43&amp;B$1&amp;"C"&amp;$A47))-IF(RTD("tos.rtd",,$A$2,"."&amp;B$43&amp;B$1&amp;"P"&amp;$A47)="N/A",0,RTD("tos.rtd",,$A$2,"."&amp;B$43&amp;B$1&amp;"P"&amp;$A47))</f>
        <v>980</v>
      </c>
      <c r="C47" s="56">
        <f ca="1">IF(RTD("tos.rtd",,$A$2,"."&amp;C$43&amp;C$1&amp;"C"&amp;$A47)="N/A",0,RTD("tos.rtd",,$A$2,"."&amp;C$43&amp;C$1&amp;"C"&amp;$A47))-IF(RTD("tos.rtd",,$A$2,"."&amp;C$43&amp;C$1&amp;"P"&amp;$A47)="N/A",0,RTD("tos.rtd",,$A$2,"."&amp;C$43&amp;C$1&amp;"P"&amp;$A47))</f>
        <v>228</v>
      </c>
      <c r="D47" s="56">
        <f ca="1">IF(RTD("tos.rtd",,$A$2,"."&amp;D$43&amp;D$1&amp;"C"&amp;$A47)="N/A",0,RTD("tos.rtd",,$A$2,"."&amp;D$43&amp;D$1&amp;"C"&amp;$A47))-IF(RTD("tos.rtd",,$A$2,"."&amp;D$43&amp;D$1&amp;"P"&amp;$A47)="N/A",0,RTD("tos.rtd",,$A$2,"."&amp;D$43&amp;D$1&amp;"P"&amp;$A47))</f>
        <v>351</v>
      </c>
      <c r="E47" s="56">
        <f ca="1">IF(RTD("tos.rtd",,$A$2,"."&amp;E$43&amp;E$1&amp;"C"&amp;$A47)="N/A",0,RTD("tos.rtd",,$A$2,"."&amp;E$43&amp;E$1&amp;"C"&amp;$A47))-IF(RTD("tos.rtd",,$A$2,"."&amp;E$43&amp;E$1&amp;"P"&amp;$A47)="N/A",0,RTD("tos.rtd",,$A$2,"."&amp;E$43&amp;E$1&amp;"P"&amp;$A47))</f>
        <v>217</v>
      </c>
      <c r="F47" s="56">
        <f ca="1">IF(RTD("tos.rtd",,$A$2,"."&amp;F$43&amp;F$1&amp;"C"&amp;$A47)="N/A",0,RTD("tos.rtd",,$A$2,"."&amp;F$43&amp;F$1&amp;"C"&amp;$A47))-IF(RTD("tos.rtd",,$A$2,"."&amp;F$43&amp;F$1&amp;"P"&amp;$A47)="N/A",0,RTD("tos.rtd",,$A$2,"."&amp;F$43&amp;F$1&amp;"P"&amp;$A47))</f>
        <v>0</v>
      </c>
      <c r="G47" s="56">
        <f ca="1">IF(RTD("tos.rtd",,$A$2,"."&amp;G$43&amp;G$1&amp;"C"&amp;$A47)="N/A",0,RTD("tos.rtd",,$A$2,"."&amp;G$43&amp;G$1&amp;"C"&amp;$A47))-IF(RTD("tos.rtd",,$A$2,"."&amp;G$43&amp;G$1&amp;"P"&amp;$A47)="N/A",0,RTD("tos.rtd",,$A$2,"."&amp;G$43&amp;G$1&amp;"P"&amp;$A47))</f>
        <v>0</v>
      </c>
      <c r="H47" s="56">
        <f ca="1">IF(RTD("tos.rtd",,$A$2,"."&amp;H$43&amp;H$1&amp;"C"&amp;$A47)="N/A",0,RTD("tos.rtd",,$A$2,"."&amp;H$43&amp;H$1&amp;"C"&amp;$A47))-IF(RTD("tos.rtd",,$A$2,"."&amp;H$43&amp;H$1&amp;"P"&amp;$A47)="N/A",0,RTD("tos.rtd",,$A$2,"."&amp;H$43&amp;H$1&amp;"P"&amp;$A47))</f>
        <v>36</v>
      </c>
      <c r="I47" s="56">
        <f ca="1">IF(RTD("tos.rtd",,$A$2,"."&amp;I$43&amp;I$1&amp;"C"&amp;$A47)="N/A",0,RTD("tos.rtd",,$A$2,"."&amp;I$43&amp;I$1&amp;"C"&amp;$A47))-IF(RTD("tos.rtd",,$A$2,"."&amp;I$43&amp;I$1&amp;"P"&amp;$A47)="N/A",0,RTD("tos.rtd",,$A$2,"."&amp;I$43&amp;I$1&amp;"P"&amp;$A47))</f>
        <v>44</v>
      </c>
      <c r="J47" s="56">
        <f ca="1">IF(RTD("tos.rtd",,$A$2,"."&amp;J$43&amp;J$1&amp;"C"&amp;$A47)="N/A",0,RTD("tos.rtd",,$A$2,"."&amp;J$43&amp;J$1&amp;"C"&amp;$A47))-IF(RTD("tos.rtd",,$A$2,"."&amp;J$43&amp;J$1&amp;"P"&amp;$A47)="N/A",0,RTD("tos.rtd",,$A$2,"."&amp;J$43&amp;J$1&amp;"P"&amp;$A47))</f>
        <v>-2</v>
      </c>
      <c r="K47" s="56">
        <f ca="1">IF(RTD("tos.rtd",,$A$2,"."&amp;K$43&amp;K$1&amp;"C"&amp;$A47)="N/A",0,RTD("tos.rtd",,$A$2,"."&amp;K$43&amp;K$1&amp;"C"&amp;$A47))-IF(RTD("tos.rtd",,$A$2,"."&amp;K$43&amp;K$1&amp;"P"&amp;$A47)="N/A",0,RTD("tos.rtd",,$A$2,"."&amp;K$43&amp;K$1&amp;"P"&amp;$A47))</f>
        <v>96</v>
      </c>
      <c r="L47" s="56">
        <f ca="1">IF(RTD("tos.rtd",,$A$2,"."&amp;L$43&amp;L$1&amp;"C"&amp;$A47)="N/A",0,RTD("tos.rtd",,$A$2,"."&amp;L$43&amp;L$1&amp;"C"&amp;$A47))-IF(RTD("tos.rtd",,$A$2,"."&amp;L$43&amp;L$1&amp;"P"&amp;$A47)="N/A",0,RTD("tos.rtd",,$A$2,"."&amp;L$43&amp;L$1&amp;"P"&amp;$A47))</f>
        <v>0</v>
      </c>
      <c r="M47" s="56">
        <f ca="1">IF(RTD("tos.rtd",,$A$2,"."&amp;M$43&amp;M$1&amp;"C"&amp;$A47)="N/A",0,RTD("tos.rtd",,$A$2,"."&amp;M$43&amp;M$1&amp;"C"&amp;$A47))-IF(RTD("tos.rtd",,$A$2,"."&amp;M$43&amp;M$1&amp;"P"&amp;$A47)="N/A",0,RTD("tos.rtd",,$A$2,"."&amp;M$43&amp;M$1&amp;"P"&amp;$A47))</f>
        <v>1</v>
      </c>
      <c r="N47" s="56">
        <f ca="1">IF(RTD("tos.rtd",,$A$2,"."&amp;N$43&amp;N$1&amp;"C"&amp;$A47)="N/A",0,RTD("tos.rtd",,$A$2,"."&amp;N$43&amp;N$1&amp;"C"&amp;$A47))-IF(RTD("tos.rtd",,$A$2,"."&amp;N$43&amp;N$1&amp;"P"&amp;$A47)="N/A",0,RTD("tos.rtd",,$A$2,"."&amp;N$43&amp;N$1&amp;"P"&amp;$A47))</f>
        <v>0</v>
      </c>
      <c r="O47" s="56">
        <f ca="1">IF(RTD("tos.rtd",,$A$2,"."&amp;O$43&amp;O$1&amp;"C"&amp;$A47)="N/A",0,RTD("tos.rtd",,$A$2,"."&amp;O$43&amp;O$1&amp;"C"&amp;$A47))-IF(RTD("tos.rtd",,$A$2,"."&amp;O$43&amp;O$1&amp;"P"&amp;$A47)="N/A",0,RTD("tos.rtd",,$A$2,"."&amp;O$43&amp;O$1&amp;"P"&amp;$A47))</f>
        <v>29</v>
      </c>
      <c r="P47" s="56">
        <f ca="1">IF(RTD("tos.rtd",,$A$2,"."&amp;P$43&amp;P$1&amp;"C"&amp;$A47)="N/A",0,RTD("tos.rtd",,$A$2,"."&amp;P$43&amp;P$1&amp;"C"&amp;$A47))-IF(RTD("tos.rtd",,$A$2,"."&amp;P$43&amp;P$1&amp;"P"&amp;$A47)="N/A",0,RTD("tos.rtd",,$A$2,"."&amp;P$43&amp;P$1&amp;"P"&amp;$A47))</f>
        <v>0</v>
      </c>
      <c r="Q47" s="56">
        <f ca="1">IF(RTD("tos.rtd",,$A$2,"."&amp;Q$43&amp;Q$1&amp;"C"&amp;$A47)="N/A",0,RTD("tos.rtd",,$A$2,"."&amp;Q$43&amp;Q$1&amp;"C"&amp;$A47))-IF(RTD("tos.rtd",,$A$2,"."&amp;Q$43&amp;Q$1&amp;"P"&amp;$A47)="N/A",0,RTD("tos.rtd",,$A$2,"."&amp;Q$43&amp;Q$1&amp;"P"&amp;$A47))</f>
        <v>0</v>
      </c>
      <c r="R47" s="56">
        <f ca="1">IF(RTD("tos.rtd",,$A$2,"."&amp;R$43&amp;R$1&amp;"C"&amp;$A47)="N/A",0,RTD("tos.rtd",,$A$2,"."&amp;R$43&amp;R$1&amp;"C"&amp;$A47))-IF(RTD("tos.rtd",,$A$2,"."&amp;R$43&amp;R$1&amp;"P"&amp;$A47)="N/A",0,RTD("tos.rtd",,$A$2,"."&amp;R$43&amp;R$1&amp;"P"&amp;$A47))</f>
        <v>0</v>
      </c>
      <c r="S47" s="56">
        <f ca="1">IF(RTD("tos.rtd",,$A$2,"."&amp;S$43&amp;S$1&amp;"C"&amp;$A47)="N/A",0,RTD("tos.rtd",,$A$2,"."&amp;S$43&amp;S$1&amp;"C"&amp;$A47))-IF(RTD("tos.rtd",,$A$2,"."&amp;S$43&amp;S$1&amp;"P"&amp;$A47)="N/A",0,RTD("tos.rtd",,$A$2,"."&amp;S$43&amp;S$1&amp;"P"&amp;$A47))</f>
        <v>0</v>
      </c>
      <c r="T47" s="56">
        <f ca="1">IF(RTD("tos.rtd",,$A$2,"."&amp;T$43&amp;T$1&amp;"C"&amp;$A47)="N/A",0,RTD("tos.rtd",,$A$2,"."&amp;T$43&amp;T$1&amp;"C"&amp;$A47))-IF(RTD("tos.rtd",,$A$2,"."&amp;T$43&amp;T$1&amp;"P"&amp;$A47)="N/A",0,RTD("tos.rtd",,$A$2,"."&amp;T$43&amp;T$1&amp;"P"&amp;$A47))</f>
        <v>0</v>
      </c>
      <c r="U47" s="56">
        <f ca="1">IF(RTD("tos.rtd",,$A$2,"."&amp;U$43&amp;U$1&amp;"C"&amp;$A47)="N/A",0,RTD("tos.rtd",,$A$2,"."&amp;U$43&amp;U$1&amp;"C"&amp;$A47))-IF(RTD("tos.rtd",,$A$2,"."&amp;U$43&amp;U$1&amp;"P"&amp;$A47)="N/A",0,RTD("tos.rtd",,$A$2,"."&amp;U$43&amp;U$1&amp;"P"&amp;$A47))</f>
        <v>0</v>
      </c>
      <c r="V47" s="56">
        <f ca="1">IF(RTD("tos.rtd",,$A$2,"."&amp;V$43&amp;V$1&amp;"C"&amp;$A47)="N/A",0,RTD("tos.rtd",,$A$2,"."&amp;V$43&amp;V$1&amp;"C"&amp;$A47))-IF(RTD("tos.rtd",,$A$2,"."&amp;V$43&amp;V$1&amp;"P"&amp;$A47)="N/A",0,RTD("tos.rtd",,$A$2,"."&amp;V$43&amp;V$1&amp;"P"&amp;$A47))</f>
        <v>0</v>
      </c>
      <c r="W47" s="56">
        <f ca="1">IF(RTD("tos.rtd",,$A$2,"."&amp;W$43&amp;W$1&amp;"C"&amp;$A47)="N/A",0,RTD("tos.rtd",,$A$2,"."&amp;W$43&amp;W$1&amp;"C"&amp;$A47))-IF(RTD("tos.rtd",,$A$2,"."&amp;W$43&amp;W$1&amp;"P"&amp;$A47)="N/A",0,RTD("tos.rtd",,$A$2,"."&amp;W$43&amp;W$1&amp;"P"&amp;$A47))</f>
        <v>0</v>
      </c>
      <c r="X47" s="56">
        <f ca="1">IF(RTD("tos.rtd",,$A$2,"."&amp;X$43&amp;X$1&amp;"C"&amp;$A47)="N/A",0,RTD("tos.rtd",,$A$2,"."&amp;X$43&amp;X$1&amp;"C"&amp;$A47))-IF(RTD("tos.rtd",,$A$2,"."&amp;X$43&amp;X$1&amp;"P"&amp;$A47)="N/A",0,RTD("tos.rtd",,$A$2,"."&amp;X$43&amp;X$1&amp;"P"&amp;$A47))</f>
        <v>0</v>
      </c>
      <c r="Y47" s="63">
        <f t="shared" ref="Y47:Y80" ca="1" si="10">SUM(B47:X47)</f>
        <v>1980</v>
      </c>
    </row>
    <row r="48" spans="1:25" x14ac:dyDescent="0.25">
      <c r="A48" s="58">
        <f>+Hoja1!A47</f>
        <v>627</v>
      </c>
      <c r="B48" s="56">
        <f ca="1">IF(RTD("tos.rtd",,$A$2,"."&amp;B$43&amp;B$1&amp;"C"&amp;$A48)="N/A",0,RTD("tos.rtd",,$A$2,"."&amp;B$43&amp;B$1&amp;"C"&amp;$A48))-IF(RTD("tos.rtd",,$A$2,"."&amp;B$43&amp;B$1&amp;"P"&amp;$A48)="N/A",0,RTD("tos.rtd",,$A$2,"."&amp;B$43&amp;B$1&amp;"P"&amp;$A48))</f>
        <v>735</v>
      </c>
      <c r="C48" s="56">
        <f ca="1">IF(RTD("tos.rtd",,$A$2,"."&amp;C$43&amp;C$1&amp;"C"&amp;$A48)="N/A",0,RTD("tos.rtd",,$A$2,"."&amp;C$43&amp;C$1&amp;"C"&amp;$A48))-IF(RTD("tos.rtd",,$A$2,"."&amp;C$43&amp;C$1&amp;"P"&amp;$A48)="N/A",0,RTD("tos.rtd",,$A$2,"."&amp;C$43&amp;C$1&amp;"P"&amp;$A48))</f>
        <v>928</v>
      </c>
      <c r="D48" s="56">
        <f ca="1">IF(RTD("tos.rtd",,$A$2,"."&amp;D$43&amp;D$1&amp;"C"&amp;$A48)="N/A",0,RTD("tos.rtd",,$A$2,"."&amp;D$43&amp;D$1&amp;"C"&amp;$A48))-IF(RTD("tos.rtd",,$A$2,"."&amp;D$43&amp;D$1&amp;"P"&amp;$A48)="N/A",0,RTD("tos.rtd",,$A$2,"."&amp;D$43&amp;D$1&amp;"P"&amp;$A48))</f>
        <v>180</v>
      </c>
      <c r="E48" s="56">
        <f ca="1">IF(RTD("tos.rtd",,$A$2,"."&amp;E$43&amp;E$1&amp;"C"&amp;$A48)="N/A",0,RTD("tos.rtd",,$A$2,"."&amp;E$43&amp;E$1&amp;"C"&amp;$A48))-IF(RTD("tos.rtd",,$A$2,"."&amp;E$43&amp;E$1&amp;"P"&amp;$A48)="N/A",0,RTD("tos.rtd",,$A$2,"."&amp;E$43&amp;E$1&amp;"P"&amp;$A48))</f>
        <v>183</v>
      </c>
      <c r="F48" s="56">
        <f ca="1">IF(RTD("tos.rtd",,$A$2,"."&amp;F$43&amp;F$1&amp;"C"&amp;$A48)="N/A",0,RTD("tos.rtd",,$A$2,"."&amp;F$43&amp;F$1&amp;"C"&amp;$A48))-IF(RTD("tos.rtd",,$A$2,"."&amp;F$43&amp;F$1&amp;"P"&amp;$A48)="N/A",0,RTD("tos.rtd",,$A$2,"."&amp;F$43&amp;F$1&amp;"P"&amp;$A48))</f>
        <v>0</v>
      </c>
      <c r="G48" s="56">
        <f ca="1">IF(RTD("tos.rtd",,$A$2,"."&amp;G$43&amp;G$1&amp;"C"&amp;$A48)="N/A",0,RTD("tos.rtd",,$A$2,"."&amp;G$43&amp;G$1&amp;"C"&amp;$A48))-IF(RTD("tos.rtd",,$A$2,"."&amp;G$43&amp;G$1&amp;"P"&amp;$A48)="N/A",0,RTD("tos.rtd",,$A$2,"."&amp;G$43&amp;G$1&amp;"P"&amp;$A48))</f>
        <v>0</v>
      </c>
      <c r="H48" s="56">
        <f ca="1">IF(RTD("tos.rtd",,$A$2,"."&amp;H$43&amp;H$1&amp;"C"&amp;$A48)="N/A",0,RTD("tos.rtd",,$A$2,"."&amp;H$43&amp;H$1&amp;"C"&amp;$A48))-IF(RTD("tos.rtd",,$A$2,"."&amp;H$43&amp;H$1&amp;"P"&amp;$A48)="N/A",0,RTD("tos.rtd",,$A$2,"."&amp;H$43&amp;H$1&amp;"P"&amp;$A48))</f>
        <v>184</v>
      </c>
      <c r="I48" s="56">
        <f ca="1">IF(RTD("tos.rtd",,$A$2,"."&amp;I$43&amp;I$1&amp;"C"&amp;$A48)="N/A",0,RTD("tos.rtd",,$A$2,"."&amp;I$43&amp;I$1&amp;"C"&amp;$A48))-IF(RTD("tos.rtd",,$A$2,"."&amp;I$43&amp;I$1&amp;"P"&amp;$A48)="N/A",0,RTD("tos.rtd",,$A$2,"."&amp;I$43&amp;I$1&amp;"P"&amp;$A48))</f>
        <v>102</v>
      </c>
      <c r="J48" s="56">
        <f ca="1">IF(RTD("tos.rtd",,$A$2,"."&amp;J$43&amp;J$1&amp;"C"&amp;$A48)="N/A",0,RTD("tos.rtd",,$A$2,"."&amp;J$43&amp;J$1&amp;"C"&amp;$A48))-IF(RTD("tos.rtd",,$A$2,"."&amp;J$43&amp;J$1&amp;"P"&amp;$A48)="N/A",0,RTD("tos.rtd",,$A$2,"."&amp;J$43&amp;J$1&amp;"P"&amp;$A48))</f>
        <v>61</v>
      </c>
      <c r="K48" s="56">
        <f ca="1">IF(RTD("tos.rtd",,$A$2,"."&amp;K$43&amp;K$1&amp;"C"&amp;$A48)="N/A",0,RTD("tos.rtd",,$A$2,"."&amp;K$43&amp;K$1&amp;"C"&amp;$A48))-IF(RTD("tos.rtd",,$A$2,"."&amp;K$43&amp;K$1&amp;"P"&amp;$A48)="N/A",0,RTD("tos.rtd",,$A$2,"."&amp;K$43&amp;K$1&amp;"P"&amp;$A48))</f>
        <v>53</v>
      </c>
      <c r="L48" s="56">
        <f ca="1">IF(RTD("tos.rtd",,$A$2,"."&amp;L$43&amp;L$1&amp;"C"&amp;$A48)="N/A",0,RTD("tos.rtd",,$A$2,"."&amp;L$43&amp;L$1&amp;"C"&amp;$A48))-IF(RTD("tos.rtd",,$A$2,"."&amp;L$43&amp;L$1&amp;"P"&amp;$A48)="N/A",0,RTD("tos.rtd",,$A$2,"."&amp;L$43&amp;L$1&amp;"P"&amp;$A48))</f>
        <v>0</v>
      </c>
      <c r="M48" s="56">
        <f ca="1">IF(RTD("tos.rtd",,$A$2,"."&amp;M$43&amp;M$1&amp;"C"&amp;$A48)="N/A",0,RTD("tos.rtd",,$A$2,"."&amp;M$43&amp;M$1&amp;"C"&amp;$A48))-IF(RTD("tos.rtd",,$A$2,"."&amp;M$43&amp;M$1&amp;"P"&amp;$A48)="N/A",0,RTD("tos.rtd",,$A$2,"."&amp;M$43&amp;M$1&amp;"P"&amp;$A48))</f>
        <v>-1</v>
      </c>
      <c r="N48" s="56">
        <f ca="1">IF(RTD("tos.rtd",,$A$2,"."&amp;N$43&amp;N$1&amp;"C"&amp;$A48)="N/A",0,RTD("tos.rtd",,$A$2,"."&amp;N$43&amp;N$1&amp;"C"&amp;$A48))-IF(RTD("tos.rtd",,$A$2,"."&amp;N$43&amp;N$1&amp;"P"&amp;$A48)="N/A",0,RTD("tos.rtd",,$A$2,"."&amp;N$43&amp;N$1&amp;"P"&amp;$A48))</f>
        <v>0</v>
      </c>
      <c r="O48" s="56">
        <f ca="1">IF(RTD("tos.rtd",,$A$2,"."&amp;O$43&amp;O$1&amp;"C"&amp;$A48)="N/A",0,RTD("tos.rtd",,$A$2,"."&amp;O$43&amp;O$1&amp;"C"&amp;$A48))-IF(RTD("tos.rtd",,$A$2,"."&amp;O$43&amp;O$1&amp;"P"&amp;$A48)="N/A",0,RTD("tos.rtd",,$A$2,"."&amp;O$43&amp;O$1&amp;"P"&amp;$A48))</f>
        <v>90</v>
      </c>
      <c r="P48" s="56">
        <f ca="1">IF(RTD("tos.rtd",,$A$2,"."&amp;P$43&amp;P$1&amp;"C"&amp;$A48)="N/A",0,RTD("tos.rtd",,$A$2,"."&amp;P$43&amp;P$1&amp;"C"&amp;$A48))-IF(RTD("tos.rtd",,$A$2,"."&amp;P$43&amp;P$1&amp;"P"&amp;$A48)="N/A",0,RTD("tos.rtd",,$A$2,"."&amp;P$43&amp;P$1&amp;"P"&amp;$A48))</f>
        <v>0</v>
      </c>
      <c r="Q48" s="56">
        <f ca="1">IF(RTD("tos.rtd",,$A$2,"."&amp;Q$43&amp;Q$1&amp;"C"&amp;$A48)="N/A",0,RTD("tos.rtd",,$A$2,"."&amp;Q$43&amp;Q$1&amp;"C"&amp;$A48))-IF(RTD("tos.rtd",,$A$2,"."&amp;Q$43&amp;Q$1&amp;"P"&amp;$A48)="N/A",0,RTD("tos.rtd",,$A$2,"."&amp;Q$43&amp;Q$1&amp;"P"&amp;$A48))</f>
        <v>0</v>
      </c>
      <c r="R48" s="56">
        <f ca="1">IF(RTD("tos.rtd",,$A$2,"."&amp;R$43&amp;R$1&amp;"C"&amp;$A48)="N/A",0,RTD("tos.rtd",,$A$2,"."&amp;R$43&amp;R$1&amp;"C"&amp;$A48))-IF(RTD("tos.rtd",,$A$2,"."&amp;R$43&amp;R$1&amp;"P"&amp;$A48)="N/A",0,RTD("tos.rtd",,$A$2,"."&amp;R$43&amp;R$1&amp;"P"&amp;$A48))</f>
        <v>0</v>
      </c>
      <c r="S48" s="56">
        <f ca="1">IF(RTD("tos.rtd",,$A$2,"."&amp;S$43&amp;S$1&amp;"C"&amp;$A48)="N/A",0,RTD("tos.rtd",,$A$2,"."&amp;S$43&amp;S$1&amp;"C"&amp;$A48))-IF(RTD("tos.rtd",,$A$2,"."&amp;S$43&amp;S$1&amp;"P"&amp;$A48)="N/A",0,RTD("tos.rtd",,$A$2,"."&amp;S$43&amp;S$1&amp;"P"&amp;$A48))</f>
        <v>0</v>
      </c>
      <c r="T48" s="56">
        <f ca="1">IF(RTD("tos.rtd",,$A$2,"."&amp;T$43&amp;T$1&amp;"C"&amp;$A48)="N/A",0,RTD("tos.rtd",,$A$2,"."&amp;T$43&amp;T$1&amp;"C"&amp;$A48))-IF(RTD("tos.rtd",,$A$2,"."&amp;T$43&amp;T$1&amp;"P"&amp;$A48)="N/A",0,RTD("tos.rtd",,$A$2,"."&amp;T$43&amp;T$1&amp;"P"&amp;$A48))</f>
        <v>0</v>
      </c>
      <c r="U48" s="56">
        <f ca="1">IF(RTD("tos.rtd",,$A$2,"."&amp;U$43&amp;U$1&amp;"C"&amp;$A48)="N/A",0,RTD("tos.rtd",,$A$2,"."&amp;U$43&amp;U$1&amp;"C"&amp;$A48))-IF(RTD("tos.rtd",,$A$2,"."&amp;U$43&amp;U$1&amp;"P"&amp;$A48)="N/A",0,RTD("tos.rtd",,$A$2,"."&amp;U$43&amp;U$1&amp;"P"&amp;$A48))</f>
        <v>0</v>
      </c>
      <c r="V48" s="56">
        <f ca="1">IF(RTD("tos.rtd",,$A$2,"."&amp;V$43&amp;V$1&amp;"C"&amp;$A48)="N/A",0,RTD("tos.rtd",,$A$2,"."&amp;V$43&amp;V$1&amp;"C"&amp;$A48))-IF(RTD("tos.rtd",,$A$2,"."&amp;V$43&amp;V$1&amp;"P"&amp;$A48)="N/A",0,RTD("tos.rtd",,$A$2,"."&amp;V$43&amp;V$1&amp;"P"&amp;$A48))</f>
        <v>0</v>
      </c>
      <c r="W48" s="56">
        <f ca="1">IF(RTD("tos.rtd",,$A$2,"."&amp;W$43&amp;W$1&amp;"C"&amp;$A48)="N/A",0,RTD("tos.rtd",,$A$2,"."&amp;W$43&amp;W$1&amp;"C"&amp;$A48))-IF(RTD("tos.rtd",,$A$2,"."&amp;W$43&amp;W$1&amp;"P"&amp;$A48)="N/A",0,RTD("tos.rtd",,$A$2,"."&amp;W$43&amp;W$1&amp;"P"&amp;$A48))</f>
        <v>0</v>
      </c>
      <c r="X48" s="56">
        <f ca="1">IF(RTD("tos.rtd",,$A$2,"."&amp;X$43&amp;X$1&amp;"C"&amp;$A48)="N/A",0,RTD("tos.rtd",,$A$2,"."&amp;X$43&amp;X$1&amp;"C"&amp;$A48))-IF(RTD("tos.rtd",,$A$2,"."&amp;X$43&amp;X$1&amp;"P"&amp;$A48)="N/A",0,RTD("tos.rtd",,$A$2,"."&amp;X$43&amp;X$1&amp;"P"&amp;$A48))</f>
        <v>0</v>
      </c>
      <c r="Y48" s="63">
        <f t="shared" ca="1" si="10"/>
        <v>2515</v>
      </c>
    </row>
    <row r="49" spans="1:25" x14ac:dyDescent="0.25">
      <c r="A49" s="58">
        <f>+Hoja1!A48</f>
        <v>626</v>
      </c>
      <c r="B49" s="56">
        <f ca="1">IF(RTD("tos.rtd",,$A$2,"."&amp;B$43&amp;B$1&amp;"C"&amp;$A49)="N/A",0,RTD("tos.rtd",,$A$2,"."&amp;B$43&amp;B$1&amp;"C"&amp;$A49))-IF(RTD("tos.rtd",,$A$2,"."&amp;B$43&amp;B$1&amp;"P"&amp;$A49)="N/A",0,RTD("tos.rtd",,$A$2,"."&amp;B$43&amp;B$1&amp;"P"&amp;$A49))</f>
        <v>2143</v>
      </c>
      <c r="C49" s="56">
        <f ca="1">IF(RTD("tos.rtd",,$A$2,"."&amp;C$43&amp;C$1&amp;"C"&amp;$A49)="N/A",0,RTD("tos.rtd",,$A$2,"."&amp;C$43&amp;C$1&amp;"C"&amp;$A49))-IF(RTD("tos.rtd",,$A$2,"."&amp;C$43&amp;C$1&amp;"P"&amp;$A49)="N/A",0,RTD("tos.rtd",,$A$2,"."&amp;C$43&amp;C$1&amp;"P"&amp;$A49))</f>
        <v>694</v>
      </c>
      <c r="D49" s="56">
        <f ca="1">IF(RTD("tos.rtd",,$A$2,"."&amp;D$43&amp;D$1&amp;"C"&amp;$A49)="N/A",0,RTD("tos.rtd",,$A$2,"."&amp;D$43&amp;D$1&amp;"C"&amp;$A49))-IF(RTD("tos.rtd",,$A$2,"."&amp;D$43&amp;D$1&amp;"P"&amp;$A49)="N/A",0,RTD("tos.rtd",,$A$2,"."&amp;D$43&amp;D$1&amp;"P"&amp;$A49))</f>
        <v>543</v>
      </c>
      <c r="E49" s="56">
        <f ca="1">IF(RTD("tos.rtd",,$A$2,"."&amp;E$43&amp;E$1&amp;"C"&amp;$A49)="N/A",0,RTD("tos.rtd",,$A$2,"."&amp;E$43&amp;E$1&amp;"C"&amp;$A49))-IF(RTD("tos.rtd",,$A$2,"."&amp;E$43&amp;E$1&amp;"P"&amp;$A49)="N/A",0,RTD("tos.rtd",,$A$2,"."&amp;E$43&amp;E$1&amp;"P"&amp;$A49))</f>
        <v>198</v>
      </c>
      <c r="F49" s="56">
        <f ca="1">IF(RTD("tos.rtd",,$A$2,"."&amp;F$43&amp;F$1&amp;"C"&amp;$A49)="N/A",0,RTD("tos.rtd",,$A$2,"."&amp;F$43&amp;F$1&amp;"C"&amp;$A49))-IF(RTD("tos.rtd",,$A$2,"."&amp;F$43&amp;F$1&amp;"P"&amp;$A49)="N/A",0,RTD("tos.rtd",,$A$2,"."&amp;F$43&amp;F$1&amp;"P"&amp;$A49))</f>
        <v>0</v>
      </c>
      <c r="G49" s="56">
        <f ca="1">IF(RTD("tos.rtd",,$A$2,"."&amp;G$43&amp;G$1&amp;"C"&amp;$A49)="N/A",0,RTD("tos.rtd",,$A$2,"."&amp;G$43&amp;G$1&amp;"C"&amp;$A49))-IF(RTD("tos.rtd",,$A$2,"."&amp;G$43&amp;G$1&amp;"P"&amp;$A49)="N/A",0,RTD("tos.rtd",,$A$2,"."&amp;G$43&amp;G$1&amp;"P"&amp;$A49))</f>
        <v>0</v>
      </c>
      <c r="H49" s="56">
        <f ca="1">IF(RTD("tos.rtd",,$A$2,"."&amp;H$43&amp;H$1&amp;"C"&amp;$A49)="N/A",0,RTD("tos.rtd",,$A$2,"."&amp;H$43&amp;H$1&amp;"C"&amp;$A49))-IF(RTD("tos.rtd",,$A$2,"."&amp;H$43&amp;H$1&amp;"P"&amp;$A49)="N/A",0,RTD("tos.rtd",,$A$2,"."&amp;H$43&amp;H$1&amp;"P"&amp;$A49))</f>
        <v>824</v>
      </c>
      <c r="I49" s="56">
        <f ca="1">IF(RTD("tos.rtd",,$A$2,"."&amp;I$43&amp;I$1&amp;"C"&amp;$A49)="N/A",0,RTD("tos.rtd",,$A$2,"."&amp;I$43&amp;I$1&amp;"C"&amp;$A49))-IF(RTD("tos.rtd",,$A$2,"."&amp;I$43&amp;I$1&amp;"P"&amp;$A49)="N/A",0,RTD("tos.rtd",,$A$2,"."&amp;I$43&amp;I$1&amp;"P"&amp;$A49))</f>
        <v>151</v>
      </c>
      <c r="J49" s="56">
        <f ca="1">IF(RTD("tos.rtd",,$A$2,"."&amp;J$43&amp;J$1&amp;"C"&amp;$A49)="N/A",0,RTD("tos.rtd",,$A$2,"."&amp;J$43&amp;J$1&amp;"C"&amp;$A49))-IF(RTD("tos.rtd",,$A$2,"."&amp;J$43&amp;J$1&amp;"P"&amp;$A49)="N/A",0,RTD("tos.rtd",,$A$2,"."&amp;J$43&amp;J$1&amp;"P"&amp;$A49))</f>
        <v>48</v>
      </c>
      <c r="K49" s="56">
        <f ca="1">IF(RTD("tos.rtd",,$A$2,"."&amp;K$43&amp;K$1&amp;"C"&amp;$A49)="N/A",0,RTD("tos.rtd",,$A$2,"."&amp;K$43&amp;K$1&amp;"C"&amp;$A49))-IF(RTD("tos.rtd",,$A$2,"."&amp;K$43&amp;K$1&amp;"P"&amp;$A49)="N/A",0,RTD("tos.rtd",,$A$2,"."&amp;K$43&amp;K$1&amp;"P"&amp;$A49))</f>
        <v>71</v>
      </c>
      <c r="L49" s="56">
        <f ca="1">IF(RTD("tos.rtd",,$A$2,"."&amp;L$43&amp;L$1&amp;"C"&amp;$A49)="N/A",0,RTD("tos.rtd",,$A$2,"."&amp;L$43&amp;L$1&amp;"C"&amp;$A49))-IF(RTD("tos.rtd",,$A$2,"."&amp;L$43&amp;L$1&amp;"P"&amp;$A49)="N/A",0,RTD("tos.rtd",,$A$2,"."&amp;L$43&amp;L$1&amp;"P"&amp;$A49))</f>
        <v>0</v>
      </c>
      <c r="M49" s="56">
        <f ca="1">IF(RTD("tos.rtd",,$A$2,"."&amp;M$43&amp;M$1&amp;"C"&amp;$A49)="N/A",0,RTD("tos.rtd",,$A$2,"."&amp;M$43&amp;M$1&amp;"C"&amp;$A49))-IF(RTD("tos.rtd",,$A$2,"."&amp;M$43&amp;M$1&amp;"P"&amp;$A49)="N/A",0,RTD("tos.rtd",,$A$2,"."&amp;M$43&amp;M$1&amp;"P"&amp;$A49))</f>
        <v>-38</v>
      </c>
      <c r="N49" s="56">
        <f ca="1">IF(RTD("tos.rtd",,$A$2,"."&amp;N$43&amp;N$1&amp;"C"&amp;$A49)="N/A",0,RTD("tos.rtd",,$A$2,"."&amp;N$43&amp;N$1&amp;"C"&amp;$A49))-IF(RTD("tos.rtd",,$A$2,"."&amp;N$43&amp;N$1&amp;"P"&amp;$A49)="N/A",0,RTD("tos.rtd",,$A$2,"."&amp;N$43&amp;N$1&amp;"P"&amp;$A49))</f>
        <v>0</v>
      </c>
      <c r="O49" s="56">
        <f ca="1">IF(RTD("tos.rtd",,$A$2,"."&amp;O$43&amp;O$1&amp;"C"&amp;$A49)="N/A",0,RTD("tos.rtd",,$A$2,"."&amp;O$43&amp;O$1&amp;"C"&amp;$A49))-IF(RTD("tos.rtd",,$A$2,"."&amp;O$43&amp;O$1&amp;"P"&amp;$A49)="N/A",0,RTD("tos.rtd",,$A$2,"."&amp;O$43&amp;O$1&amp;"P"&amp;$A49))</f>
        <v>68</v>
      </c>
      <c r="P49" s="56">
        <f ca="1">IF(RTD("tos.rtd",,$A$2,"."&amp;P$43&amp;P$1&amp;"C"&amp;$A49)="N/A",0,RTD("tos.rtd",,$A$2,"."&amp;P$43&amp;P$1&amp;"C"&amp;$A49))-IF(RTD("tos.rtd",,$A$2,"."&amp;P$43&amp;P$1&amp;"P"&amp;$A49)="N/A",0,RTD("tos.rtd",,$A$2,"."&amp;P$43&amp;P$1&amp;"P"&amp;$A49))</f>
        <v>0</v>
      </c>
      <c r="Q49" s="56">
        <f ca="1">IF(RTD("tos.rtd",,$A$2,"."&amp;Q$43&amp;Q$1&amp;"C"&amp;$A49)="N/A",0,RTD("tos.rtd",,$A$2,"."&amp;Q$43&amp;Q$1&amp;"C"&amp;$A49))-IF(RTD("tos.rtd",,$A$2,"."&amp;Q$43&amp;Q$1&amp;"P"&amp;$A49)="N/A",0,RTD("tos.rtd",,$A$2,"."&amp;Q$43&amp;Q$1&amp;"P"&amp;$A49))</f>
        <v>0</v>
      </c>
      <c r="R49" s="56">
        <f ca="1">IF(RTD("tos.rtd",,$A$2,"."&amp;R$43&amp;R$1&amp;"C"&amp;$A49)="N/A",0,RTD("tos.rtd",,$A$2,"."&amp;R$43&amp;R$1&amp;"C"&amp;$A49))-IF(RTD("tos.rtd",,$A$2,"."&amp;R$43&amp;R$1&amp;"P"&amp;$A49)="N/A",0,RTD("tos.rtd",,$A$2,"."&amp;R$43&amp;R$1&amp;"P"&amp;$A49))</f>
        <v>0</v>
      </c>
      <c r="S49" s="56">
        <f ca="1">IF(RTD("tos.rtd",,$A$2,"."&amp;S$43&amp;S$1&amp;"C"&amp;$A49)="N/A",0,RTD("tos.rtd",,$A$2,"."&amp;S$43&amp;S$1&amp;"C"&amp;$A49))-IF(RTD("tos.rtd",,$A$2,"."&amp;S$43&amp;S$1&amp;"P"&amp;$A49)="N/A",0,RTD("tos.rtd",,$A$2,"."&amp;S$43&amp;S$1&amp;"P"&amp;$A49))</f>
        <v>0</v>
      </c>
      <c r="T49" s="56">
        <f ca="1">IF(RTD("tos.rtd",,$A$2,"."&amp;T$43&amp;T$1&amp;"C"&amp;$A49)="N/A",0,RTD("tos.rtd",,$A$2,"."&amp;T$43&amp;T$1&amp;"C"&amp;$A49))-IF(RTD("tos.rtd",,$A$2,"."&amp;T$43&amp;T$1&amp;"P"&amp;$A49)="N/A",0,RTD("tos.rtd",,$A$2,"."&amp;T$43&amp;T$1&amp;"P"&amp;$A49))</f>
        <v>0</v>
      </c>
      <c r="U49" s="56">
        <f ca="1">IF(RTD("tos.rtd",,$A$2,"."&amp;U$43&amp;U$1&amp;"C"&amp;$A49)="N/A",0,RTD("tos.rtd",,$A$2,"."&amp;U$43&amp;U$1&amp;"C"&amp;$A49))-IF(RTD("tos.rtd",,$A$2,"."&amp;U$43&amp;U$1&amp;"P"&amp;$A49)="N/A",0,RTD("tos.rtd",,$A$2,"."&amp;U$43&amp;U$1&amp;"P"&amp;$A49))</f>
        <v>0</v>
      </c>
      <c r="V49" s="56">
        <f ca="1">IF(RTD("tos.rtd",,$A$2,"."&amp;V$43&amp;V$1&amp;"C"&amp;$A49)="N/A",0,RTD("tos.rtd",,$A$2,"."&amp;V$43&amp;V$1&amp;"C"&amp;$A49))-IF(RTD("tos.rtd",,$A$2,"."&amp;V$43&amp;V$1&amp;"P"&amp;$A49)="N/A",0,RTD("tos.rtd",,$A$2,"."&amp;V$43&amp;V$1&amp;"P"&amp;$A49))</f>
        <v>0</v>
      </c>
      <c r="W49" s="56">
        <f ca="1">IF(RTD("tos.rtd",,$A$2,"."&amp;W$43&amp;W$1&amp;"C"&amp;$A49)="N/A",0,RTD("tos.rtd",,$A$2,"."&amp;W$43&amp;W$1&amp;"C"&amp;$A49))-IF(RTD("tos.rtd",,$A$2,"."&amp;W$43&amp;W$1&amp;"P"&amp;$A49)="N/A",0,RTD("tos.rtd",,$A$2,"."&amp;W$43&amp;W$1&amp;"P"&amp;$A49))</f>
        <v>0</v>
      </c>
      <c r="X49" s="56">
        <f ca="1">IF(RTD("tos.rtd",,$A$2,"."&amp;X$43&amp;X$1&amp;"C"&amp;$A49)="N/A",0,RTD("tos.rtd",,$A$2,"."&amp;X$43&amp;X$1&amp;"C"&amp;$A49))-IF(RTD("tos.rtd",,$A$2,"."&amp;X$43&amp;X$1&amp;"P"&amp;$A49)="N/A",0,RTD("tos.rtd",,$A$2,"."&amp;X$43&amp;X$1&amp;"P"&amp;$A49))</f>
        <v>0</v>
      </c>
      <c r="Y49" s="63">
        <f t="shared" ca="1" si="10"/>
        <v>4702</v>
      </c>
    </row>
    <row r="50" spans="1:25" x14ac:dyDescent="0.25">
      <c r="A50" s="58">
        <f>+Hoja1!A49</f>
        <v>625</v>
      </c>
      <c r="B50" s="56">
        <f ca="1">IF(RTD("tos.rtd",,$A$2,"."&amp;B$43&amp;B$1&amp;"C"&amp;$A50)="N/A",0,RTD("tos.rtd",,$A$2,"."&amp;B$43&amp;B$1&amp;"C"&amp;$A50))-IF(RTD("tos.rtd",,$A$2,"."&amp;B$43&amp;B$1&amp;"P"&amp;$A50)="N/A",0,RTD("tos.rtd",,$A$2,"."&amp;B$43&amp;B$1&amp;"P"&amp;$A50))</f>
        <v>6346</v>
      </c>
      <c r="C50" s="56">
        <f ca="1">IF(RTD("tos.rtd",,$A$2,"."&amp;C$43&amp;C$1&amp;"C"&amp;$A50)="N/A",0,RTD("tos.rtd",,$A$2,"."&amp;C$43&amp;C$1&amp;"C"&amp;$A50))-IF(RTD("tos.rtd",,$A$2,"."&amp;C$43&amp;C$1&amp;"P"&amp;$A50)="N/A",0,RTD("tos.rtd",,$A$2,"."&amp;C$43&amp;C$1&amp;"P"&amp;$A50))</f>
        <v>1269</v>
      </c>
      <c r="D50" s="56">
        <f ca="1">IF(RTD("tos.rtd",,$A$2,"."&amp;D$43&amp;D$1&amp;"C"&amp;$A50)="N/A",0,RTD("tos.rtd",,$A$2,"."&amp;D$43&amp;D$1&amp;"C"&amp;$A50))-IF(RTD("tos.rtd",,$A$2,"."&amp;D$43&amp;D$1&amp;"P"&amp;$A50)="N/A",0,RTD("tos.rtd",,$A$2,"."&amp;D$43&amp;D$1&amp;"P"&amp;$A50))</f>
        <v>11184</v>
      </c>
      <c r="E50" s="56">
        <f ca="1">IF(RTD("tos.rtd",,$A$2,"."&amp;E$43&amp;E$1&amp;"C"&amp;$A50)="N/A",0,RTD("tos.rtd",,$A$2,"."&amp;E$43&amp;E$1&amp;"C"&amp;$A50))-IF(RTD("tos.rtd",,$A$2,"."&amp;E$43&amp;E$1&amp;"P"&amp;$A50)="N/A",0,RTD("tos.rtd",,$A$2,"."&amp;E$43&amp;E$1&amp;"P"&amp;$A50))</f>
        <v>616</v>
      </c>
      <c r="F50" s="56">
        <f ca="1">IF(RTD("tos.rtd",,$A$2,"."&amp;F$43&amp;F$1&amp;"C"&amp;$A50)="N/A",0,RTD("tos.rtd",,$A$2,"."&amp;F$43&amp;F$1&amp;"C"&amp;$A50))-IF(RTD("tos.rtd",,$A$2,"."&amp;F$43&amp;F$1&amp;"P"&amp;$A50)="N/A",0,RTD("tos.rtd",,$A$2,"."&amp;F$43&amp;F$1&amp;"P"&amp;$A50))</f>
        <v>0</v>
      </c>
      <c r="G50" s="56">
        <f ca="1">IF(RTD("tos.rtd",,$A$2,"."&amp;G$43&amp;G$1&amp;"C"&amp;$A50)="N/A",0,RTD("tos.rtd",,$A$2,"."&amp;G$43&amp;G$1&amp;"C"&amp;$A50))-IF(RTD("tos.rtd",,$A$2,"."&amp;G$43&amp;G$1&amp;"P"&amp;$A50)="N/A",0,RTD("tos.rtd",,$A$2,"."&amp;G$43&amp;G$1&amp;"P"&amp;$A50))</f>
        <v>0</v>
      </c>
      <c r="H50" s="56">
        <f ca="1">IF(RTD("tos.rtd",,$A$2,"."&amp;H$43&amp;H$1&amp;"C"&amp;$A50)="N/A",0,RTD("tos.rtd",,$A$2,"."&amp;H$43&amp;H$1&amp;"C"&amp;$A50))-IF(RTD("tos.rtd",,$A$2,"."&amp;H$43&amp;H$1&amp;"P"&amp;$A50)="N/A",0,RTD("tos.rtd",,$A$2,"."&amp;H$43&amp;H$1&amp;"P"&amp;$A50))</f>
        <v>335</v>
      </c>
      <c r="I50" s="56">
        <f ca="1">IF(RTD("tos.rtd",,$A$2,"."&amp;I$43&amp;I$1&amp;"C"&amp;$A50)="N/A",0,RTD("tos.rtd",,$A$2,"."&amp;I$43&amp;I$1&amp;"C"&amp;$A50))-IF(RTD("tos.rtd",,$A$2,"."&amp;I$43&amp;I$1&amp;"P"&amp;$A50)="N/A",0,RTD("tos.rtd",,$A$2,"."&amp;I$43&amp;I$1&amp;"P"&amp;$A50))</f>
        <v>292</v>
      </c>
      <c r="J50" s="56">
        <f ca="1">IF(RTD("tos.rtd",,$A$2,"."&amp;J$43&amp;J$1&amp;"C"&amp;$A50)="N/A",0,RTD("tos.rtd",,$A$2,"."&amp;J$43&amp;J$1&amp;"C"&amp;$A50))-IF(RTD("tos.rtd",,$A$2,"."&amp;J$43&amp;J$1&amp;"P"&amp;$A50)="N/A",0,RTD("tos.rtd",,$A$2,"."&amp;J$43&amp;J$1&amp;"P"&amp;$A50))</f>
        <v>136</v>
      </c>
      <c r="K50" s="56">
        <f ca="1">IF(RTD("tos.rtd",,$A$2,"."&amp;K$43&amp;K$1&amp;"C"&amp;$A50)="N/A",0,RTD("tos.rtd",,$A$2,"."&amp;K$43&amp;K$1&amp;"C"&amp;$A50))-IF(RTD("tos.rtd",,$A$2,"."&amp;K$43&amp;K$1&amp;"P"&amp;$A50)="N/A",0,RTD("tos.rtd",,$A$2,"."&amp;K$43&amp;K$1&amp;"P"&amp;$A50))</f>
        <v>541</v>
      </c>
      <c r="L50" s="56">
        <f ca="1">IF(RTD("tos.rtd",,$A$2,"."&amp;L$43&amp;L$1&amp;"C"&amp;$A50)="N/A",0,RTD("tos.rtd",,$A$2,"."&amp;L$43&amp;L$1&amp;"C"&amp;$A50))-IF(RTD("tos.rtd",,$A$2,"."&amp;L$43&amp;L$1&amp;"P"&amp;$A50)="N/A",0,RTD("tos.rtd",,$A$2,"."&amp;L$43&amp;L$1&amp;"P"&amp;$A50))</f>
        <v>0</v>
      </c>
      <c r="M50" s="56">
        <f ca="1">IF(RTD("tos.rtd",,$A$2,"."&amp;M$43&amp;M$1&amp;"C"&amp;$A50)="N/A",0,RTD("tos.rtd",,$A$2,"."&amp;M$43&amp;M$1&amp;"C"&amp;$A50))-IF(RTD("tos.rtd",,$A$2,"."&amp;M$43&amp;M$1&amp;"P"&amp;$A50)="N/A",0,RTD("tos.rtd",,$A$2,"."&amp;M$43&amp;M$1&amp;"P"&amp;$A50))</f>
        <v>51</v>
      </c>
      <c r="N50" s="56">
        <f ca="1">IF(RTD("tos.rtd",,$A$2,"."&amp;N$43&amp;N$1&amp;"C"&amp;$A50)="N/A",0,RTD("tos.rtd",,$A$2,"."&amp;N$43&amp;N$1&amp;"C"&amp;$A50))-IF(RTD("tos.rtd",,$A$2,"."&amp;N$43&amp;N$1&amp;"P"&amp;$A50)="N/A",0,RTD("tos.rtd",,$A$2,"."&amp;N$43&amp;N$1&amp;"P"&amp;$A50))</f>
        <v>0</v>
      </c>
      <c r="O50" s="56">
        <f ca="1">IF(RTD("tos.rtd",,$A$2,"."&amp;O$43&amp;O$1&amp;"C"&amp;$A50)="N/A",0,RTD("tos.rtd",,$A$2,"."&amp;O$43&amp;O$1&amp;"C"&amp;$A50))-IF(RTD("tos.rtd",,$A$2,"."&amp;O$43&amp;O$1&amp;"P"&amp;$A50)="N/A",0,RTD("tos.rtd",,$A$2,"."&amp;O$43&amp;O$1&amp;"P"&amp;$A50))</f>
        <v>32</v>
      </c>
      <c r="P50" s="56">
        <f ca="1">IF(RTD("tos.rtd",,$A$2,"."&amp;P$43&amp;P$1&amp;"C"&amp;$A50)="N/A",0,RTD("tos.rtd",,$A$2,"."&amp;P$43&amp;P$1&amp;"C"&amp;$A50))-IF(RTD("tos.rtd",,$A$2,"."&amp;P$43&amp;P$1&amp;"P"&amp;$A50)="N/A",0,RTD("tos.rtd",,$A$2,"."&amp;P$43&amp;P$1&amp;"P"&amp;$A50))</f>
        <v>0</v>
      </c>
      <c r="Q50" s="56">
        <f ca="1">IF(RTD("tos.rtd",,$A$2,"."&amp;Q$43&amp;Q$1&amp;"C"&amp;$A50)="N/A",0,RTD("tos.rtd",,$A$2,"."&amp;Q$43&amp;Q$1&amp;"C"&amp;$A50))-IF(RTD("tos.rtd",,$A$2,"."&amp;Q$43&amp;Q$1&amp;"P"&amp;$A50)="N/A",0,RTD("tos.rtd",,$A$2,"."&amp;Q$43&amp;Q$1&amp;"P"&amp;$A50))</f>
        <v>0</v>
      </c>
      <c r="R50" s="56">
        <f ca="1">IF(RTD("tos.rtd",,$A$2,"."&amp;R$43&amp;R$1&amp;"C"&amp;$A50)="N/A",0,RTD("tos.rtd",,$A$2,"."&amp;R$43&amp;R$1&amp;"C"&amp;$A50))-IF(RTD("tos.rtd",,$A$2,"."&amp;R$43&amp;R$1&amp;"P"&amp;$A50)="N/A",0,RTD("tos.rtd",,$A$2,"."&amp;R$43&amp;R$1&amp;"P"&amp;$A50))</f>
        <v>0</v>
      </c>
      <c r="S50" s="56">
        <f ca="1">IF(RTD("tos.rtd",,$A$2,"."&amp;S$43&amp;S$1&amp;"C"&amp;$A50)="N/A",0,RTD("tos.rtd",,$A$2,"."&amp;S$43&amp;S$1&amp;"C"&amp;$A50))-IF(RTD("tos.rtd",,$A$2,"."&amp;S$43&amp;S$1&amp;"P"&amp;$A50)="N/A",0,RTD("tos.rtd",,$A$2,"."&amp;S$43&amp;S$1&amp;"P"&amp;$A50))</f>
        <v>0</v>
      </c>
      <c r="T50" s="56">
        <f ca="1">IF(RTD("tos.rtd",,$A$2,"."&amp;T$43&amp;T$1&amp;"C"&amp;$A50)="N/A",0,RTD("tos.rtd",,$A$2,"."&amp;T$43&amp;T$1&amp;"C"&amp;$A50))-IF(RTD("tos.rtd",,$A$2,"."&amp;T$43&amp;T$1&amp;"P"&amp;$A50)="N/A",0,RTD("tos.rtd",,$A$2,"."&amp;T$43&amp;T$1&amp;"P"&amp;$A50))</f>
        <v>0</v>
      </c>
      <c r="U50" s="56">
        <f ca="1">IF(RTD("tos.rtd",,$A$2,"."&amp;U$43&amp;U$1&amp;"C"&amp;$A50)="N/A",0,RTD("tos.rtd",,$A$2,"."&amp;U$43&amp;U$1&amp;"C"&amp;$A50))-IF(RTD("tos.rtd",,$A$2,"."&amp;U$43&amp;U$1&amp;"P"&amp;$A50)="N/A",0,RTD("tos.rtd",,$A$2,"."&amp;U$43&amp;U$1&amp;"P"&amp;$A50))</f>
        <v>0</v>
      </c>
      <c r="V50" s="56">
        <f ca="1">IF(RTD("tos.rtd",,$A$2,"."&amp;V$43&amp;V$1&amp;"C"&amp;$A50)="N/A",0,RTD("tos.rtd",,$A$2,"."&amp;V$43&amp;V$1&amp;"C"&amp;$A50))-IF(RTD("tos.rtd",,$A$2,"."&amp;V$43&amp;V$1&amp;"P"&amp;$A50)="N/A",0,RTD("tos.rtd",,$A$2,"."&amp;V$43&amp;V$1&amp;"P"&amp;$A50))</f>
        <v>0</v>
      </c>
      <c r="W50" s="56">
        <f ca="1">IF(RTD("tos.rtd",,$A$2,"."&amp;W$43&amp;W$1&amp;"C"&amp;$A50)="N/A",0,RTD("tos.rtd",,$A$2,"."&amp;W$43&amp;W$1&amp;"C"&amp;$A50))-IF(RTD("tos.rtd",,$A$2,"."&amp;W$43&amp;W$1&amp;"P"&amp;$A50)="N/A",0,RTD("tos.rtd",,$A$2,"."&amp;W$43&amp;W$1&amp;"P"&amp;$A50))</f>
        <v>0</v>
      </c>
      <c r="X50" s="56">
        <f ca="1">IF(RTD("tos.rtd",,$A$2,"."&amp;X$43&amp;X$1&amp;"C"&amp;$A50)="N/A",0,RTD("tos.rtd",,$A$2,"."&amp;X$43&amp;X$1&amp;"C"&amp;$A50))-IF(RTD("tos.rtd",,$A$2,"."&amp;X$43&amp;X$1&amp;"P"&amp;$A50)="N/A",0,RTD("tos.rtd",,$A$2,"."&amp;X$43&amp;X$1&amp;"P"&amp;$A50))</f>
        <v>0</v>
      </c>
      <c r="Y50" s="63">
        <f t="shared" ca="1" si="10"/>
        <v>20802</v>
      </c>
    </row>
    <row r="51" spans="1:25" x14ac:dyDescent="0.25">
      <c r="A51" s="58">
        <f>+Hoja1!A50</f>
        <v>624</v>
      </c>
      <c r="B51" s="56">
        <f ca="1">IF(RTD("tos.rtd",,$A$2,"."&amp;B$43&amp;B$1&amp;"C"&amp;$A51)="N/A",0,RTD("tos.rtd",,$A$2,"."&amp;B$43&amp;B$1&amp;"C"&amp;$A51))-IF(RTD("tos.rtd",,$A$2,"."&amp;B$43&amp;B$1&amp;"P"&amp;$A51)="N/A",0,RTD("tos.rtd",,$A$2,"."&amp;B$43&amp;B$1&amp;"P"&amp;$A51))</f>
        <v>1825</v>
      </c>
      <c r="C51" s="56">
        <f ca="1">IF(RTD("tos.rtd",,$A$2,"."&amp;C$43&amp;C$1&amp;"C"&amp;$A51)="N/A",0,RTD("tos.rtd",,$A$2,"."&amp;C$43&amp;C$1&amp;"C"&amp;$A51))-IF(RTD("tos.rtd",,$A$2,"."&amp;C$43&amp;C$1&amp;"P"&amp;$A51)="N/A",0,RTD("tos.rtd",,$A$2,"."&amp;C$43&amp;C$1&amp;"P"&amp;$A51))</f>
        <v>403</v>
      </c>
      <c r="D51" s="56">
        <f ca="1">IF(RTD("tos.rtd",,$A$2,"."&amp;D$43&amp;D$1&amp;"C"&amp;$A51)="N/A",0,RTD("tos.rtd",,$A$2,"."&amp;D$43&amp;D$1&amp;"C"&amp;$A51))-IF(RTD("tos.rtd",,$A$2,"."&amp;D$43&amp;D$1&amp;"P"&amp;$A51)="N/A",0,RTD("tos.rtd",,$A$2,"."&amp;D$43&amp;D$1&amp;"P"&amp;$A51))</f>
        <v>11917</v>
      </c>
      <c r="E51" s="56">
        <f ca="1">IF(RTD("tos.rtd",,$A$2,"."&amp;E$43&amp;E$1&amp;"C"&amp;$A51)="N/A",0,RTD("tos.rtd",,$A$2,"."&amp;E$43&amp;E$1&amp;"C"&amp;$A51))-IF(RTD("tos.rtd",,$A$2,"."&amp;E$43&amp;E$1&amp;"P"&amp;$A51)="N/A",0,RTD("tos.rtd",,$A$2,"."&amp;E$43&amp;E$1&amp;"P"&amp;$A51))</f>
        <v>58</v>
      </c>
      <c r="F51" s="56">
        <f ca="1">IF(RTD("tos.rtd",,$A$2,"."&amp;F$43&amp;F$1&amp;"C"&amp;$A51)="N/A",0,RTD("tos.rtd",,$A$2,"."&amp;F$43&amp;F$1&amp;"C"&amp;$A51))-IF(RTD("tos.rtd",,$A$2,"."&amp;F$43&amp;F$1&amp;"P"&amp;$A51)="N/A",0,RTD("tos.rtd",,$A$2,"."&amp;F$43&amp;F$1&amp;"P"&amp;$A51))</f>
        <v>0</v>
      </c>
      <c r="G51" s="56">
        <f ca="1">IF(RTD("tos.rtd",,$A$2,"."&amp;G$43&amp;G$1&amp;"C"&amp;$A51)="N/A",0,RTD("tos.rtd",,$A$2,"."&amp;G$43&amp;G$1&amp;"C"&amp;$A51))-IF(RTD("tos.rtd",,$A$2,"."&amp;G$43&amp;G$1&amp;"P"&amp;$A51)="N/A",0,RTD("tos.rtd",,$A$2,"."&amp;G$43&amp;G$1&amp;"P"&amp;$A51))</f>
        <v>0</v>
      </c>
      <c r="H51" s="56">
        <f ca="1">IF(RTD("tos.rtd",,$A$2,"."&amp;H$43&amp;H$1&amp;"C"&amp;$A51)="N/A",0,RTD("tos.rtd",,$A$2,"."&amp;H$43&amp;H$1&amp;"C"&amp;$A51))-IF(RTD("tos.rtd",,$A$2,"."&amp;H$43&amp;H$1&amp;"P"&amp;$A51)="N/A",0,RTD("tos.rtd",,$A$2,"."&amp;H$43&amp;H$1&amp;"P"&amp;$A51))</f>
        <v>79</v>
      </c>
      <c r="I51" s="56">
        <f ca="1">IF(RTD("tos.rtd",,$A$2,"."&amp;I$43&amp;I$1&amp;"C"&amp;$A51)="N/A",0,RTD("tos.rtd",,$A$2,"."&amp;I$43&amp;I$1&amp;"C"&amp;$A51))-IF(RTD("tos.rtd",,$A$2,"."&amp;I$43&amp;I$1&amp;"P"&amp;$A51)="N/A",0,RTD("tos.rtd",,$A$2,"."&amp;I$43&amp;I$1&amp;"P"&amp;$A51))</f>
        <v>114</v>
      </c>
      <c r="J51" s="56">
        <f ca="1">IF(RTD("tos.rtd",,$A$2,"."&amp;J$43&amp;J$1&amp;"C"&amp;$A51)="N/A",0,RTD("tos.rtd",,$A$2,"."&amp;J$43&amp;J$1&amp;"C"&amp;$A51))-IF(RTD("tos.rtd",,$A$2,"."&amp;J$43&amp;J$1&amp;"P"&amp;$A51)="N/A",0,RTD("tos.rtd",,$A$2,"."&amp;J$43&amp;J$1&amp;"P"&amp;$A51))</f>
        <v>29</v>
      </c>
      <c r="K51" s="56">
        <f ca="1">IF(RTD("tos.rtd",,$A$2,"."&amp;K$43&amp;K$1&amp;"C"&amp;$A51)="N/A",0,RTD("tos.rtd",,$A$2,"."&amp;K$43&amp;K$1&amp;"C"&amp;$A51))-IF(RTD("tos.rtd",,$A$2,"."&amp;K$43&amp;K$1&amp;"P"&amp;$A51)="N/A",0,RTD("tos.rtd",,$A$2,"."&amp;K$43&amp;K$1&amp;"P"&amp;$A51))</f>
        <v>86</v>
      </c>
      <c r="L51" s="56">
        <f ca="1">IF(RTD("tos.rtd",,$A$2,"."&amp;L$43&amp;L$1&amp;"C"&amp;$A51)="N/A",0,RTD("tos.rtd",,$A$2,"."&amp;L$43&amp;L$1&amp;"C"&amp;$A51))-IF(RTD("tos.rtd",,$A$2,"."&amp;L$43&amp;L$1&amp;"P"&amp;$A51)="N/A",0,RTD("tos.rtd",,$A$2,"."&amp;L$43&amp;L$1&amp;"P"&amp;$A51))</f>
        <v>0</v>
      </c>
      <c r="M51" s="56">
        <f ca="1">IF(RTD("tos.rtd",,$A$2,"."&amp;M$43&amp;M$1&amp;"C"&amp;$A51)="N/A",0,RTD("tos.rtd",,$A$2,"."&amp;M$43&amp;M$1&amp;"C"&amp;$A51))-IF(RTD("tos.rtd",,$A$2,"."&amp;M$43&amp;M$1&amp;"P"&amp;$A51)="N/A",0,RTD("tos.rtd",,$A$2,"."&amp;M$43&amp;M$1&amp;"P"&amp;$A51))</f>
        <v>11</v>
      </c>
      <c r="N51" s="56">
        <f ca="1">IF(RTD("tos.rtd",,$A$2,"."&amp;N$43&amp;N$1&amp;"C"&amp;$A51)="N/A",0,RTD("tos.rtd",,$A$2,"."&amp;N$43&amp;N$1&amp;"C"&amp;$A51))-IF(RTD("tos.rtd",,$A$2,"."&amp;N$43&amp;N$1&amp;"P"&amp;$A51)="N/A",0,RTD("tos.rtd",,$A$2,"."&amp;N$43&amp;N$1&amp;"P"&amp;$A51))</f>
        <v>0</v>
      </c>
      <c r="O51" s="56">
        <f ca="1">IF(RTD("tos.rtd",,$A$2,"."&amp;O$43&amp;O$1&amp;"C"&amp;$A51)="N/A",0,RTD("tos.rtd",,$A$2,"."&amp;O$43&amp;O$1&amp;"C"&amp;$A51))-IF(RTD("tos.rtd",,$A$2,"."&amp;O$43&amp;O$1&amp;"P"&amp;$A51)="N/A",0,RTD("tos.rtd",,$A$2,"."&amp;O$43&amp;O$1&amp;"P"&amp;$A51))</f>
        <v>30</v>
      </c>
      <c r="P51" s="56">
        <f ca="1">IF(RTD("tos.rtd",,$A$2,"."&amp;P$43&amp;P$1&amp;"C"&amp;$A51)="N/A",0,RTD("tos.rtd",,$A$2,"."&amp;P$43&amp;P$1&amp;"C"&amp;$A51))-IF(RTD("tos.rtd",,$A$2,"."&amp;P$43&amp;P$1&amp;"P"&amp;$A51)="N/A",0,RTD("tos.rtd",,$A$2,"."&amp;P$43&amp;P$1&amp;"P"&amp;$A51))</f>
        <v>0</v>
      </c>
      <c r="Q51" s="56">
        <f ca="1">IF(RTD("tos.rtd",,$A$2,"."&amp;Q$43&amp;Q$1&amp;"C"&amp;$A51)="N/A",0,RTD("tos.rtd",,$A$2,"."&amp;Q$43&amp;Q$1&amp;"C"&amp;$A51))-IF(RTD("tos.rtd",,$A$2,"."&amp;Q$43&amp;Q$1&amp;"P"&amp;$A51)="N/A",0,RTD("tos.rtd",,$A$2,"."&amp;Q$43&amp;Q$1&amp;"P"&amp;$A51))</f>
        <v>0</v>
      </c>
      <c r="R51" s="56">
        <f ca="1">IF(RTD("tos.rtd",,$A$2,"."&amp;R$43&amp;R$1&amp;"C"&amp;$A51)="N/A",0,RTD("tos.rtd",,$A$2,"."&amp;R$43&amp;R$1&amp;"C"&amp;$A51))-IF(RTD("tos.rtd",,$A$2,"."&amp;R$43&amp;R$1&amp;"P"&amp;$A51)="N/A",0,RTD("tos.rtd",,$A$2,"."&amp;R$43&amp;R$1&amp;"P"&amp;$A51))</f>
        <v>0</v>
      </c>
      <c r="S51" s="56">
        <f ca="1">IF(RTD("tos.rtd",,$A$2,"."&amp;S$43&amp;S$1&amp;"C"&amp;$A51)="N/A",0,RTD("tos.rtd",,$A$2,"."&amp;S$43&amp;S$1&amp;"C"&amp;$A51))-IF(RTD("tos.rtd",,$A$2,"."&amp;S$43&amp;S$1&amp;"P"&amp;$A51)="N/A",0,RTD("tos.rtd",,$A$2,"."&amp;S$43&amp;S$1&amp;"P"&amp;$A51))</f>
        <v>0</v>
      </c>
      <c r="T51" s="56">
        <f ca="1">IF(RTD("tos.rtd",,$A$2,"."&amp;T$43&amp;T$1&amp;"C"&amp;$A51)="N/A",0,RTD("tos.rtd",,$A$2,"."&amp;T$43&amp;T$1&amp;"C"&amp;$A51))-IF(RTD("tos.rtd",,$A$2,"."&amp;T$43&amp;T$1&amp;"P"&amp;$A51)="N/A",0,RTD("tos.rtd",,$A$2,"."&amp;T$43&amp;T$1&amp;"P"&amp;$A51))</f>
        <v>0</v>
      </c>
      <c r="U51" s="56">
        <f ca="1">IF(RTD("tos.rtd",,$A$2,"."&amp;U$43&amp;U$1&amp;"C"&amp;$A51)="N/A",0,RTD("tos.rtd",,$A$2,"."&amp;U$43&amp;U$1&amp;"C"&amp;$A51))-IF(RTD("tos.rtd",,$A$2,"."&amp;U$43&amp;U$1&amp;"P"&amp;$A51)="N/A",0,RTD("tos.rtd",,$A$2,"."&amp;U$43&amp;U$1&amp;"P"&amp;$A51))</f>
        <v>0</v>
      </c>
      <c r="V51" s="56">
        <f ca="1">IF(RTD("tos.rtd",,$A$2,"."&amp;V$43&amp;V$1&amp;"C"&amp;$A51)="N/A",0,RTD("tos.rtd",,$A$2,"."&amp;V$43&amp;V$1&amp;"C"&amp;$A51))-IF(RTD("tos.rtd",,$A$2,"."&amp;V$43&amp;V$1&amp;"P"&amp;$A51)="N/A",0,RTD("tos.rtd",,$A$2,"."&amp;V$43&amp;V$1&amp;"P"&amp;$A51))</f>
        <v>0</v>
      </c>
      <c r="W51" s="56">
        <f ca="1">IF(RTD("tos.rtd",,$A$2,"."&amp;W$43&amp;W$1&amp;"C"&amp;$A51)="N/A",0,RTD("tos.rtd",,$A$2,"."&amp;W$43&amp;W$1&amp;"C"&amp;$A51))-IF(RTD("tos.rtd",,$A$2,"."&amp;W$43&amp;W$1&amp;"P"&amp;$A51)="N/A",0,RTD("tos.rtd",,$A$2,"."&amp;W$43&amp;W$1&amp;"P"&amp;$A51))</f>
        <v>0</v>
      </c>
      <c r="X51" s="56">
        <f ca="1">IF(RTD("tos.rtd",,$A$2,"."&amp;X$43&amp;X$1&amp;"C"&amp;$A51)="N/A",0,RTD("tos.rtd",,$A$2,"."&amp;X$43&amp;X$1&amp;"C"&amp;$A51))-IF(RTD("tos.rtd",,$A$2,"."&amp;X$43&amp;X$1&amp;"P"&amp;$A51)="N/A",0,RTD("tos.rtd",,$A$2,"."&amp;X$43&amp;X$1&amp;"P"&amp;$A51))</f>
        <v>0</v>
      </c>
      <c r="Y51" s="63">
        <f t="shared" ca="1" si="10"/>
        <v>14552</v>
      </c>
    </row>
    <row r="52" spans="1:25" x14ac:dyDescent="0.25">
      <c r="A52" s="58">
        <f>+Hoja1!A51</f>
        <v>623</v>
      </c>
      <c r="B52" s="56">
        <f ca="1">IF(RTD("tos.rtd",,$A$2,"."&amp;B$43&amp;B$1&amp;"C"&amp;$A52)="N/A",0,RTD("tos.rtd",,$A$2,"."&amp;B$43&amp;B$1&amp;"C"&amp;$A52))-IF(RTD("tos.rtd",,$A$2,"."&amp;B$43&amp;B$1&amp;"P"&amp;$A52)="N/A",0,RTD("tos.rtd",,$A$2,"."&amp;B$43&amp;B$1&amp;"P"&amp;$A52))</f>
        <v>2862</v>
      </c>
      <c r="C52" s="56">
        <f ca="1">IF(RTD("tos.rtd",,$A$2,"."&amp;C$43&amp;C$1&amp;"C"&amp;$A52)="N/A",0,RTD("tos.rtd",,$A$2,"."&amp;C$43&amp;C$1&amp;"C"&amp;$A52))-IF(RTD("tos.rtd",,$A$2,"."&amp;C$43&amp;C$1&amp;"P"&amp;$A52)="N/A",0,RTD("tos.rtd",,$A$2,"."&amp;C$43&amp;C$1&amp;"P"&amp;$A52))</f>
        <v>661</v>
      </c>
      <c r="D52" s="56">
        <f ca="1">IF(RTD("tos.rtd",,$A$2,"."&amp;D$43&amp;D$1&amp;"C"&amp;$A52)="N/A",0,RTD("tos.rtd",,$A$2,"."&amp;D$43&amp;D$1&amp;"C"&amp;$A52))-IF(RTD("tos.rtd",,$A$2,"."&amp;D$43&amp;D$1&amp;"P"&amp;$A52)="N/A",0,RTD("tos.rtd",,$A$2,"."&amp;D$43&amp;D$1&amp;"P"&amp;$A52))</f>
        <v>549</v>
      </c>
      <c r="E52" s="56">
        <f ca="1">IF(RTD("tos.rtd",,$A$2,"."&amp;E$43&amp;E$1&amp;"C"&amp;$A52)="N/A",0,RTD("tos.rtd",,$A$2,"."&amp;E$43&amp;E$1&amp;"C"&amp;$A52))-IF(RTD("tos.rtd",,$A$2,"."&amp;E$43&amp;E$1&amp;"P"&amp;$A52)="N/A",0,RTD("tos.rtd",,$A$2,"."&amp;E$43&amp;E$1&amp;"P"&amp;$A52))</f>
        <v>3</v>
      </c>
      <c r="F52" s="56">
        <f ca="1">IF(RTD("tos.rtd",,$A$2,"."&amp;F$43&amp;F$1&amp;"C"&amp;$A52)="N/A",0,RTD("tos.rtd",,$A$2,"."&amp;F$43&amp;F$1&amp;"C"&amp;$A52))-IF(RTD("tos.rtd",,$A$2,"."&amp;F$43&amp;F$1&amp;"P"&amp;$A52)="N/A",0,RTD("tos.rtd",,$A$2,"."&amp;F$43&amp;F$1&amp;"P"&amp;$A52))</f>
        <v>0</v>
      </c>
      <c r="G52" s="56">
        <f ca="1">IF(RTD("tos.rtd",,$A$2,"."&amp;G$43&amp;G$1&amp;"C"&amp;$A52)="N/A",0,RTD("tos.rtd",,$A$2,"."&amp;G$43&amp;G$1&amp;"C"&amp;$A52))-IF(RTD("tos.rtd",,$A$2,"."&amp;G$43&amp;G$1&amp;"P"&amp;$A52)="N/A",0,RTD("tos.rtd",,$A$2,"."&amp;G$43&amp;G$1&amp;"P"&amp;$A52))</f>
        <v>0</v>
      </c>
      <c r="H52" s="56">
        <f ca="1">IF(RTD("tos.rtd",,$A$2,"."&amp;H$43&amp;H$1&amp;"C"&amp;$A52)="N/A",0,RTD("tos.rtd",,$A$2,"."&amp;H$43&amp;H$1&amp;"C"&amp;$A52))-IF(RTD("tos.rtd",,$A$2,"."&amp;H$43&amp;H$1&amp;"P"&amp;$A52)="N/A",0,RTD("tos.rtd",,$A$2,"."&amp;H$43&amp;H$1&amp;"P"&amp;$A52))</f>
        <v>25</v>
      </c>
      <c r="I52" s="56">
        <f ca="1">IF(RTD("tos.rtd",,$A$2,"."&amp;I$43&amp;I$1&amp;"C"&amp;$A52)="N/A",0,RTD("tos.rtd",,$A$2,"."&amp;I$43&amp;I$1&amp;"C"&amp;$A52))-IF(RTD("tos.rtd",,$A$2,"."&amp;I$43&amp;I$1&amp;"P"&amp;$A52)="N/A",0,RTD("tos.rtd",,$A$2,"."&amp;I$43&amp;I$1&amp;"P"&amp;$A52))</f>
        <v>140</v>
      </c>
      <c r="J52" s="56">
        <f ca="1">IF(RTD("tos.rtd",,$A$2,"."&amp;J$43&amp;J$1&amp;"C"&amp;$A52)="N/A",0,RTD("tos.rtd",,$A$2,"."&amp;J$43&amp;J$1&amp;"C"&amp;$A52))-IF(RTD("tos.rtd",,$A$2,"."&amp;J$43&amp;J$1&amp;"P"&amp;$A52)="N/A",0,RTD("tos.rtd",,$A$2,"."&amp;J$43&amp;J$1&amp;"P"&amp;$A52))</f>
        <v>17</v>
      </c>
      <c r="K52" s="56">
        <f ca="1">IF(RTD("tos.rtd",,$A$2,"."&amp;K$43&amp;K$1&amp;"C"&amp;$A52)="N/A",0,RTD("tos.rtd",,$A$2,"."&amp;K$43&amp;K$1&amp;"C"&amp;$A52))-IF(RTD("tos.rtd",,$A$2,"."&amp;K$43&amp;K$1&amp;"P"&amp;$A52)="N/A",0,RTD("tos.rtd",,$A$2,"."&amp;K$43&amp;K$1&amp;"P"&amp;$A52))</f>
        <v>141</v>
      </c>
      <c r="L52" s="56">
        <f ca="1">IF(RTD("tos.rtd",,$A$2,"."&amp;L$43&amp;L$1&amp;"C"&amp;$A52)="N/A",0,RTD("tos.rtd",,$A$2,"."&amp;L$43&amp;L$1&amp;"C"&amp;$A52))-IF(RTD("tos.rtd",,$A$2,"."&amp;L$43&amp;L$1&amp;"P"&amp;$A52)="N/A",0,RTD("tos.rtd",,$A$2,"."&amp;L$43&amp;L$1&amp;"P"&amp;$A52))</f>
        <v>0</v>
      </c>
      <c r="M52" s="56">
        <f ca="1">IF(RTD("tos.rtd",,$A$2,"."&amp;M$43&amp;M$1&amp;"C"&amp;$A52)="N/A",0,RTD("tos.rtd",,$A$2,"."&amp;M$43&amp;M$1&amp;"C"&amp;$A52))-IF(RTD("tos.rtd",,$A$2,"."&amp;M$43&amp;M$1&amp;"P"&amp;$A52)="N/A",0,RTD("tos.rtd",,$A$2,"."&amp;M$43&amp;M$1&amp;"P"&amp;$A52))</f>
        <v>35</v>
      </c>
      <c r="N52" s="56">
        <f ca="1">IF(RTD("tos.rtd",,$A$2,"."&amp;N$43&amp;N$1&amp;"C"&amp;$A52)="N/A",0,RTD("tos.rtd",,$A$2,"."&amp;N$43&amp;N$1&amp;"C"&amp;$A52))-IF(RTD("tos.rtd",,$A$2,"."&amp;N$43&amp;N$1&amp;"P"&amp;$A52)="N/A",0,RTD("tos.rtd",,$A$2,"."&amp;N$43&amp;N$1&amp;"P"&amp;$A52))</f>
        <v>0</v>
      </c>
      <c r="O52" s="56">
        <f ca="1">IF(RTD("tos.rtd",,$A$2,"."&amp;O$43&amp;O$1&amp;"C"&amp;$A52)="N/A",0,RTD("tos.rtd",,$A$2,"."&amp;O$43&amp;O$1&amp;"C"&amp;$A52))-IF(RTD("tos.rtd",,$A$2,"."&amp;O$43&amp;O$1&amp;"P"&amp;$A52)="N/A",0,RTD("tos.rtd",,$A$2,"."&amp;O$43&amp;O$1&amp;"P"&amp;$A52))</f>
        <v>3</v>
      </c>
      <c r="P52" s="56">
        <f ca="1">IF(RTD("tos.rtd",,$A$2,"."&amp;P$43&amp;P$1&amp;"C"&amp;$A52)="N/A",0,RTD("tos.rtd",,$A$2,"."&amp;P$43&amp;P$1&amp;"C"&amp;$A52))-IF(RTD("tos.rtd",,$A$2,"."&amp;P$43&amp;P$1&amp;"P"&amp;$A52)="N/A",0,RTD("tos.rtd",,$A$2,"."&amp;P$43&amp;P$1&amp;"P"&amp;$A52))</f>
        <v>0</v>
      </c>
      <c r="Q52" s="56">
        <f ca="1">IF(RTD("tos.rtd",,$A$2,"."&amp;Q$43&amp;Q$1&amp;"C"&amp;$A52)="N/A",0,RTD("tos.rtd",,$A$2,"."&amp;Q$43&amp;Q$1&amp;"C"&amp;$A52))-IF(RTD("tos.rtd",,$A$2,"."&amp;Q$43&amp;Q$1&amp;"P"&amp;$A52)="N/A",0,RTD("tos.rtd",,$A$2,"."&amp;Q$43&amp;Q$1&amp;"P"&amp;$A52))</f>
        <v>0</v>
      </c>
      <c r="R52" s="56">
        <f ca="1">IF(RTD("tos.rtd",,$A$2,"."&amp;R$43&amp;R$1&amp;"C"&amp;$A52)="N/A",0,RTD("tos.rtd",,$A$2,"."&amp;R$43&amp;R$1&amp;"C"&amp;$A52))-IF(RTD("tos.rtd",,$A$2,"."&amp;R$43&amp;R$1&amp;"P"&amp;$A52)="N/A",0,RTD("tos.rtd",,$A$2,"."&amp;R$43&amp;R$1&amp;"P"&amp;$A52))</f>
        <v>0</v>
      </c>
      <c r="S52" s="56">
        <f ca="1">IF(RTD("tos.rtd",,$A$2,"."&amp;S$43&amp;S$1&amp;"C"&amp;$A52)="N/A",0,RTD("tos.rtd",,$A$2,"."&amp;S$43&amp;S$1&amp;"C"&amp;$A52))-IF(RTD("tos.rtd",,$A$2,"."&amp;S$43&amp;S$1&amp;"P"&amp;$A52)="N/A",0,RTD("tos.rtd",,$A$2,"."&amp;S$43&amp;S$1&amp;"P"&amp;$A52))</f>
        <v>0</v>
      </c>
      <c r="T52" s="56">
        <f ca="1">IF(RTD("tos.rtd",,$A$2,"."&amp;T$43&amp;T$1&amp;"C"&amp;$A52)="N/A",0,RTD("tos.rtd",,$A$2,"."&amp;T$43&amp;T$1&amp;"C"&amp;$A52))-IF(RTD("tos.rtd",,$A$2,"."&amp;T$43&amp;T$1&amp;"P"&amp;$A52)="N/A",0,RTD("tos.rtd",,$A$2,"."&amp;T$43&amp;T$1&amp;"P"&amp;$A52))</f>
        <v>0</v>
      </c>
      <c r="U52" s="56">
        <f ca="1">IF(RTD("tos.rtd",,$A$2,"."&amp;U$43&amp;U$1&amp;"C"&amp;$A52)="N/A",0,RTD("tos.rtd",,$A$2,"."&amp;U$43&amp;U$1&amp;"C"&amp;$A52))-IF(RTD("tos.rtd",,$A$2,"."&amp;U$43&amp;U$1&amp;"P"&amp;$A52)="N/A",0,RTD("tos.rtd",,$A$2,"."&amp;U$43&amp;U$1&amp;"P"&amp;$A52))</f>
        <v>0</v>
      </c>
      <c r="V52" s="56">
        <f ca="1">IF(RTD("tos.rtd",,$A$2,"."&amp;V$43&amp;V$1&amp;"C"&amp;$A52)="N/A",0,RTD("tos.rtd",,$A$2,"."&amp;V$43&amp;V$1&amp;"C"&amp;$A52))-IF(RTD("tos.rtd",,$A$2,"."&amp;V$43&amp;V$1&amp;"P"&amp;$A52)="N/A",0,RTD("tos.rtd",,$A$2,"."&amp;V$43&amp;V$1&amp;"P"&amp;$A52))</f>
        <v>0</v>
      </c>
      <c r="W52" s="56">
        <f ca="1">IF(RTD("tos.rtd",,$A$2,"."&amp;W$43&amp;W$1&amp;"C"&amp;$A52)="N/A",0,RTD("tos.rtd",,$A$2,"."&amp;W$43&amp;W$1&amp;"C"&amp;$A52))-IF(RTD("tos.rtd",,$A$2,"."&amp;W$43&amp;W$1&amp;"P"&amp;$A52)="N/A",0,RTD("tos.rtd",,$A$2,"."&amp;W$43&amp;W$1&amp;"P"&amp;$A52))</f>
        <v>0</v>
      </c>
      <c r="X52" s="56">
        <f ca="1">IF(RTD("tos.rtd",,$A$2,"."&amp;X$43&amp;X$1&amp;"C"&amp;$A52)="N/A",0,RTD("tos.rtd",,$A$2,"."&amp;X$43&amp;X$1&amp;"C"&amp;$A52))-IF(RTD("tos.rtd",,$A$2,"."&amp;X$43&amp;X$1&amp;"P"&amp;$A52)="N/A",0,RTD("tos.rtd",,$A$2,"."&amp;X$43&amp;X$1&amp;"P"&amp;$A52))</f>
        <v>0</v>
      </c>
      <c r="Y52" s="63">
        <f t="shared" ca="1" si="10"/>
        <v>4436</v>
      </c>
    </row>
    <row r="53" spans="1:25" x14ac:dyDescent="0.25">
      <c r="A53" s="58">
        <f>+Hoja1!A52</f>
        <v>622</v>
      </c>
      <c r="B53" s="56">
        <f ca="1">IF(RTD("tos.rtd",,$A$2,"."&amp;B$43&amp;B$1&amp;"C"&amp;$A53)="N/A",0,RTD("tos.rtd",,$A$2,"."&amp;B$43&amp;B$1&amp;"C"&amp;$A53))-IF(RTD("tos.rtd",,$A$2,"."&amp;B$43&amp;B$1&amp;"P"&amp;$A53)="N/A",0,RTD("tos.rtd",,$A$2,"."&amp;B$43&amp;B$1&amp;"P"&amp;$A53))</f>
        <v>2873</v>
      </c>
      <c r="C53" s="56">
        <f ca="1">IF(RTD("tos.rtd",,$A$2,"."&amp;C$43&amp;C$1&amp;"C"&amp;$A53)="N/A",0,RTD("tos.rtd",,$A$2,"."&amp;C$43&amp;C$1&amp;"C"&amp;$A53))-IF(RTD("tos.rtd",,$A$2,"."&amp;C$43&amp;C$1&amp;"P"&amp;$A53)="N/A",0,RTD("tos.rtd",,$A$2,"."&amp;C$43&amp;C$1&amp;"P"&amp;$A53))</f>
        <v>561</v>
      </c>
      <c r="D53" s="56">
        <f ca="1">IF(RTD("tos.rtd",,$A$2,"."&amp;D$43&amp;D$1&amp;"C"&amp;$A53)="N/A",0,RTD("tos.rtd",,$A$2,"."&amp;D$43&amp;D$1&amp;"C"&amp;$A53))-IF(RTD("tos.rtd",,$A$2,"."&amp;D$43&amp;D$1&amp;"P"&amp;$A53)="N/A",0,RTD("tos.rtd",,$A$2,"."&amp;D$43&amp;D$1&amp;"P"&amp;$A53))</f>
        <v>375</v>
      </c>
      <c r="E53" s="56">
        <f ca="1">IF(RTD("tos.rtd",,$A$2,"."&amp;E$43&amp;E$1&amp;"C"&amp;$A53)="N/A",0,RTD("tos.rtd",,$A$2,"."&amp;E$43&amp;E$1&amp;"C"&amp;$A53))-IF(RTD("tos.rtd",,$A$2,"."&amp;E$43&amp;E$1&amp;"P"&amp;$A53)="N/A",0,RTD("tos.rtd",,$A$2,"."&amp;E$43&amp;E$1&amp;"P"&amp;$A53))</f>
        <v>584</v>
      </c>
      <c r="F53" s="56">
        <f ca="1">IF(RTD("tos.rtd",,$A$2,"."&amp;F$43&amp;F$1&amp;"C"&amp;$A53)="N/A",0,RTD("tos.rtd",,$A$2,"."&amp;F$43&amp;F$1&amp;"C"&amp;$A53))-IF(RTD("tos.rtd",,$A$2,"."&amp;F$43&amp;F$1&amp;"P"&amp;$A53)="N/A",0,RTD("tos.rtd",,$A$2,"."&amp;F$43&amp;F$1&amp;"P"&amp;$A53))</f>
        <v>0</v>
      </c>
      <c r="G53" s="56">
        <f ca="1">IF(RTD("tos.rtd",,$A$2,"."&amp;G$43&amp;G$1&amp;"C"&amp;$A53)="N/A",0,RTD("tos.rtd",,$A$2,"."&amp;G$43&amp;G$1&amp;"C"&amp;$A53))-IF(RTD("tos.rtd",,$A$2,"."&amp;G$43&amp;G$1&amp;"P"&amp;$A53)="N/A",0,RTD("tos.rtd",,$A$2,"."&amp;G$43&amp;G$1&amp;"P"&amp;$A53))</f>
        <v>0</v>
      </c>
      <c r="H53" s="56">
        <f ca="1">IF(RTD("tos.rtd",,$A$2,"."&amp;H$43&amp;H$1&amp;"C"&amp;$A53)="N/A",0,RTD("tos.rtd",,$A$2,"."&amp;H$43&amp;H$1&amp;"C"&amp;$A53))-IF(RTD("tos.rtd",,$A$2,"."&amp;H$43&amp;H$1&amp;"P"&amp;$A53)="N/A",0,RTD("tos.rtd",,$A$2,"."&amp;H$43&amp;H$1&amp;"P"&amp;$A53))</f>
        <v>-150</v>
      </c>
      <c r="I53" s="56">
        <f ca="1">IF(RTD("tos.rtd",,$A$2,"."&amp;I$43&amp;I$1&amp;"C"&amp;$A53)="N/A",0,RTD("tos.rtd",,$A$2,"."&amp;I$43&amp;I$1&amp;"C"&amp;$A53))-IF(RTD("tos.rtd",,$A$2,"."&amp;I$43&amp;I$1&amp;"P"&amp;$A53)="N/A",0,RTD("tos.rtd",,$A$2,"."&amp;I$43&amp;I$1&amp;"P"&amp;$A53))</f>
        <v>155</v>
      </c>
      <c r="J53" s="56">
        <f ca="1">IF(RTD("tos.rtd",,$A$2,"."&amp;J$43&amp;J$1&amp;"C"&amp;$A53)="N/A",0,RTD("tos.rtd",,$A$2,"."&amp;J$43&amp;J$1&amp;"C"&amp;$A53))-IF(RTD("tos.rtd",,$A$2,"."&amp;J$43&amp;J$1&amp;"P"&amp;$A53)="N/A",0,RTD("tos.rtd",,$A$2,"."&amp;J$43&amp;J$1&amp;"P"&amp;$A53))</f>
        <v>21</v>
      </c>
      <c r="K53" s="56">
        <f ca="1">IF(RTD("tos.rtd",,$A$2,"."&amp;K$43&amp;K$1&amp;"C"&amp;$A53)="N/A",0,RTD("tos.rtd",,$A$2,"."&amp;K$43&amp;K$1&amp;"C"&amp;$A53))-IF(RTD("tos.rtd",,$A$2,"."&amp;K$43&amp;K$1&amp;"P"&amp;$A53)="N/A",0,RTD("tos.rtd",,$A$2,"."&amp;K$43&amp;K$1&amp;"P"&amp;$A53))</f>
        <v>56</v>
      </c>
      <c r="L53" s="56">
        <f ca="1">IF(RTD("tos.rtd",,$A$2,"."&amp;L$43&amp;L$1&amp;"C"&amp;$A53)="N/A",0,RTD("tos.rtd",,$A$2,"."&amp;L$43&amp;L$1&amp;"C"&amp;$A53))-IF(RTD("tos.rtd",,$A$2,"."&amp;L$43&amp;L$1&amp;"P"&amp;$A53)="N/A",0,RTD("tos.rtd",,$A$2,"."&amp;L$43&amp;L$1&amp;"P"&amp;$A53))</f>
        <v>0</v>
      </c>
      <c r="M53" s="56">
        <f ca="1">IF(RTD("tos.rtd",,$A$2,"."&amp;M$43&amp;M$1&amp;"C"&amp;$A53)="N/A",0,RTD("tos.rtd",,$A$2,"."&amp;M$43&amp;M$1&amp;"C"&amp;$A53))-IF(RTD("tos.rtd",,$A$2,"."&amp;M$43&amp;M$1&amp;"P"&amp;$A53)="N/A",0,RTD("tos.rtd",,$A$2,"."&amp;M$43&amp;M$1&amp;"P"&amp;$A53))</f>
        <v>-11</v>
      </c>
      <c r="N53" s="56">
        <f ca="1">IF(RTD("tos.rtd",,$A$2,"."&amp;N$43&amp;N$1&amp;"C"&amp;$A53)="N/A",0,RTD("tos.rtd",,$A$2,"."&amp;N$43&amp;N$1&amp;"C"&amp;$A53))-IF(RTD("tos.rtd",,$A$2,"."&amp;N$43&amp;N$1&amp;"P"&amp;$A53)="N/A",0,RTD("tos.rtd",,$A$2,"."&amp;N$43&amp;N$1&amp;"P"&amp;$A53))</f>
        <v>0</v>
      </c>
      <c r="O53" s="56">
        <f ca="1">IF(RTD("tos.rtd",,$A$2,"."&amp;O$43&amp;O$1&amp;"C"&amp;$A53)="N/A",0,RTD("tos.rtd",,$A$2,"."&amp;O$43&amp;O$1&amp;"C"&amp;$A53))-IF(RTD("tos.rtd",,$A$2,"."&amp;O$43&amp;O$1&amp;"P"&amp;$A53)="N/A",0,RTD("tos.rtd",,$A$2,"."&amp;O$43&amp;O$1&amp;"P"&amp;$A53))</f>
        <v>14</v>
      </c>
      <c r="P53" s="56">
        <f ca="1">IF(RTD("tos.rtd",,$A$2,"."&amp;P$43&amp;P$1&amp;"C"&amp;$A53)="N/A",0,RTD("tos.rtd",,$A$2,"."&amp;P$43&amp;P$1&amp;"C"&amp;$A53))-IF(RTD("tos.rtd",,$A$2,"."&amp;P$43&amp;P$1&amp;"P"&amp;$A53)="N/A",0,RTD("tos.rtd",,$A$2,"."&amp;P$43&amp;P$1&amp;"P"&amp;$A53))</f>
        <v>0</v>
      </c>
      <c r="Q53" s="56">
        <f ca="1">IF(RTD("tos.rtd",,$A$2,"."&amp;Q$43&amp;Q$1&amp;"C"&amp;$A53)="N/A",0,RTD("tos.rtd",,$A$2,"."&amp;Q$43&amp;Q$1&amp;"C"&amp;$A53))-IF(RTD("tos.rtd",,$A$2,"."&amp;Q$43&amp;Q$1&amp;"P"&amp;$A53)="N/A",0,RTD("tos.rtd",,$A$2,"."&amp;Q$43&amp;Q$1&amp;"P"&amp;$A53))</f>
        <v>0</v>
      </c>
      <c r="R53" s="56">
        <f ca="1">IF(RTD("tos.rtd",,$A$2,"."&amp;R$43&amp;R$1&amp;"C"&amp;$A53)="N/A",0,RTD("tos.rtd",,$A$2,"."&amp;R$43&amp;R$1&amp;"C"&amp;$A53))-IF(RTD("tos.rtd",,$A$2,"."&amp;R$43&amp;R$1&amp;"P"&amp;$A53)="N/A",0,RTD("tos.rtd",,$A$2,"."&amp;R$43&amp;R$1&amp;"P"&amp;$A53))</f>
        <v>0</v>
      </c>
      <c r="S53" s="56">
        <f ca="1">IF(RTD("tos.rtd",,$A$2,"."&amp;S$43&amp;S$1&amp;"C"&amp;$A53)="N/A",0,RTD("tos.rtd",,$A$2,"."&amp;S$43&amp;S$1&amp;"C"&amp;$A53))-IF(RTD("tos.rtd",,$A$2,"."&amp;S$43&amp;S$1&amp;"P"&amp;$A53)="N/A",0,RTD("tos.rtd",,$A$2,"."&amp;S$43&amp;S$1&amp;"P"&amp;$A53))</f>
        <v>0</v>
      </c>
      <c r="T53" s="56">
        <f ca="1">IF(RTD("tos.rtd",,$A$2,"."&amp;T$43&amp;T$1&amp;"C"&amp;$A53)="N/A",0,RTD("tos.rtd",,$A$2,"."&amp;T$43&amp;T$1&amp;"C"&amp;$A53))-IF(RTD("tos.rtd",,$A$2,"."&amp;T$43&amp;T$1&amp;"P"&amp;$A53)="N/A",0,RTD("tos.rtd",,$A$2,"."&amp;T$43&amp;T$1&amp;"P"&amp;$A53))</f>
        <v>0</v>
      </c>
      <c r="U53" s="56">
        <f ca="1">IF(RTD("tos.rtd",,$A$2,"."&amp;U$43&amp;U$1&amp;"C"&amp;$A53)="N/A",0,RTD("tos.rtd",,$A$2,"."&amp;U$43&amp;U$1&amp;"C"&amp;$A53))-IF(RTD("tos.rtd",,$A$2,"."&amp;U$43&amp;U$1&amp;"P"&amp;$A53)="N/A",0,RTD("tos.rtd",,$A$2,"."&amp;U$43&amp;U$1&amp;"P"&amp;$A53))</f>
        <v>0</v>
      </c>
      <c r="V53" s="56">
        <f ca="1">IF(RTD("tos.rtd",,$A$2,"."&amp;V$43&amp;V$1&amp;"C"&amp;$A53)="N/A",0,RTD("tos.rtd",,$A$2,"."&amp;V$43&amp;V$1&amp;"C"&amp;$A53))-IF(RTD("tos.rtd",,$A$2,"."&amp;V$43&amp;V$1&amp;"P"&amp;$A53)="N/A",0,RTD("tos.rtd",,$A$2,"."&amp;V$43&amp;V$1&amp;"P"&amp;$A53))</f>
        <v>0</v>
      </c>
      <c r="W53" s="56">
        <f ca="1">IF(RTD("tos.rtd",,$A$2,"."&amp;W$43&amp;W$1&amp;"C"&amp;$A53)="N/A",0,RTD("tos.rtd",,$A$2,"."&amp;W$43&amp;W$1&amp;"C"&amp;$A53))-IF(RTD("tos.rtd",,$A$2,"."&amp;W$43&amp;W$1&amp;"P"&amp;$A53)="N/A",0,RTD("tos.rtd",,$A$2,"."&amp;W$43&amp;W$1&amp;"P"&amp;$A53))</f>
        <v>0</v>
      </c>
      <c r="X53" s="56">
        <f ca="1">IF(RTD("tos.rtd",,$A$2,"."&amp;X$43&amp;X$1&amp;"C"&amp;$A53)="N/A",0,RTD("tos.rtd",,$A$2,"."&amp;X$43&amp;X$1&amp;"C"&amp;$A53))-IF(RTD("tos.rtd",,$A$2,"."&amp;X$43&amp;X$1&amp;"P"&amp;$A53)="N/A",0,RTD("tos.rtd",,$A$2,"."&amp;X$43&amp;X$1&amp;"P"&amp;$A53))</f>
        <v>0</v>
      </c>
      <c r="Y53" s="63">
        <f t="shared" ca="1" si="10"/>
        <v>4478</v>
      </c>
    </row>
    <row r="54" spans="1:25" x14ac:dyDescent="0.25">
      <c r="A54" s="58">
        <f>+Hoja1!A53</f>
        <v>621</v>
      </c>
      <c r="B54" s="56">
        <f ca="1">IF(RTD("tos.rtd",,$A$2,"."&amp;B$43&amp;B$1&amp;"C"&amp;$A54)="N/A",0,RTD("tos.rtd",,$A$2,"."&amp;B$43&amp;B$1&amp;"C"&amp;$A54))-IF(RTD("tos.rtd",,$A$2,"."&amp;B$43&amp;B$1&amp;"P"&amp;$A54)="N/A",0,RTD("tos.rtd",,$A$2,"."&amp;B$43&amp;B$1&amp;"P"&amp;$A54))</f>
        <v>4620</v>
      </c>
      <c r="C54" s="56">
        <f ca="1">IF(RTD("tos.rtd",,$A$2,"."&amp;C$43&amp;C$1&amp;"C"&amp;$A54)="N/A",0,RTD("tos.rtd",,$A$2,"."&amp;C$43&amp;C$1&amp;"C"&amp;$A54))-IF(RTD("tos.rtd",,$A$2,"."&amp;C$43&amp;C$1&amp;"P"&amp;$A54)="N/A",0,RTD("tos.rtd",,$A$2,"."&amp;C$43&amp;C$1&amp;"P"&amp;$A54))</f>
        <v>1090</v>
      </c>
      <c r="D54" s="56">
        <f ca="1">IF(RTD("tos.rtd",,$A$2,"."&amp;D$43&amp;D$1&amp;"C"&amp;$A54)="N/A",0,RTD("tos.rtd",,$A$2,"."&amp;D$43&amp;D$1&amp;"C"&amp;$A54))-IF(RTD("tos.rtd",,$A$2,"."&amp;D$43&amp;D$1&amp;"P"&amp;$A54)="N/A",0,RTD("tos.rtd",,$A$2,"."&amp;D$43&amp;D$1&amp;"P"&amp;$A54))</f>
        <v>458</v>
      </c>
      <c r="E54" s="56">
        <f ca="1">IF(RTD("tos.rtd",,$A$2,"."&amp;E$43&amp;E$1&amp;"C"&amp;$A54)="N/A",0,RTD("tos.rtd",,$A$2,"."&amp;E$43&amp;E$1&amp;"C"&amp;$A54))-IF(RTD("tos.rtd",,$A$2,"."&amp;E$43&amp;E$1&amp;"P"&amp;$A54)="N/A",0,RTD("tos.rtd",,$A$2,"."&amp;E$43&amp;E$1&amp;"P"&amp;$A54))</f>
        <v>219</v>
      </c>
      <c r="F54" s="56">
        <f ca="1">IF(RTD("tos.rtd",,$A$2,"."&amp;F$43&amp;F$1&amp;"C"&amp;$A54)="N/A",0,RTD("tos.rtd",,$A$2,"."&amp;F$43&amp;F$1&amp;"C"&amp;$A54))-IF(RTD("tos.rtd",,$A$2,"."&amp;F$43&amp;F$1&amp;"P"&amp;$A54)="N/A",0,RTD("tos.rtd",,$A$2,"."&amp;F$43&amp;F$1&amp;"P"&amp;$A54))</f>
        <v>0</v>
      </c>
      <c r="G54" s="56">
        <f ca="1">IF(RTD("tos.rtd",,$A$2,"."&amp;G$43&amp;G$1&amp;"C"&amp;$A54)="N/A",0,RTD("tos.rtd",,$A$2,"."&amp;G$43&amp;G$1&amp;"C"&amp;$A54))-IF(RTD("tos.rtd",,$A$2,"."&amp;G$43&amp;G$1&amp;"P"&amp;$A54)="N/A",0,RTD("tos.rtd",,$A$2,"."&amp;G$43&amp;G$1&amp;"P"&amp;$A54))</f>
        <v>0</v>
      </c>
      <c r="H54" s="56">
        <f ca="1">IF(RTD("tos.rtd",,$A$2,"."&amp;H$43&amp;H$1&amp;"C"&amp;$A54)="N/A",0,RTD("tos.rtd",,$A$2,"."&amp;H$43&amp;H$1&amp;"C"&amp;$A54))-IF(RTD("tos.rtd",,$A$2,"."&amp;H$43&amp;H$1&amp;"P"&amp;$A54)="N/A",0,RTD("tos.rtd",,$A$2,"."&amp;H$43&amp;H$1&amp;"P"&amp;$A54))</f>
        <v>58</v>
      </c>
      <c r="I54" s="56">
        <f ca="1">IF(RTD("tos.rtd",,$A$2,"."&amp;I$43&amp;I$1&amp;"C"&amp;$A54)="N/A",0,RTD("tos.rtd",,$A$2,"."&amp;I$43&amp;I$1&amp;"C"&amp;$A54))-IF(RTD("tos.rtd",,$A$2,"."&amp;I$43&amp;I$1&amp;"P"&amp;$A54)="N/A",0,RTD("tos.rtd",,$A$2,"."&amp;I$43&amp;I$1&amp;"P"&amp;$A54))</f>
        <v>80</v>
      </c>
      <c r="J54" s="56">
        <f ca="1">IF(RTD("tos.rtd",,$A$2,"."&amp;J$43&amp;J$1&amp;"C"&amp;$A54)="N/A",0,RTD("tos.rtd",,$A$2,"."&amp;J$43&amp;J$1&amp;"C"&amp;$A54))-IF(RTD("tos.rtd",,$A$2,"."&amp;J$43&amp;J$1&amp;"P"&amp;$A54)="N/A",0,RTD("tos.rtd",,$A$2,"."&amp;J$43&amp;J$1&amp;"P"&amp;$A54))</f>
        <v>29</v>
      </c>
      <c r="K54" s="56">
        <f ca="1">IF(RTD("tos.rtd",,$A$2,"."&amp;K$43&amp;K$1&amp;"C"&amp;$A54)="N/A",0,RTD("tos.rtd",,$A$2,"."&amp;K$43&amp;K$1&amp;"C"&amp;$A54))-IF(RTD("tos.rtd",,$A$2,"."&amp;K$43&amp;K$1&amp;"P"&amp;$A54)="N/A",0,RTD("tos.rtd",,$A$2,"."&amp;K$43&amp;K$1&amp;"P"&amp;$A54))</f>
        <v>115</v>
      </c>
      <c r="L54" s="56">
        <f ca="1">IF(RTD("tos.rtd",,$A$2,"."&amp;L$43&amp;L$1&amp;"C"&amp;$A54)="N/A",0,RTD("tos.rtd",,$A$2,"."&amp;L$43&amp;L$1&amp;"C"&amp;$A54))-IF(RTD("tos.rtd",,$A$2,"."&amp;L$43&amp;L$1&amp;"P"&amp;$A54)="N/A",0,RTD("tos.rtd",,$A$2,"."&amp;L$43&amp;L$1&amp;"P"&amp;$A54))</f>
        <v>0</v>
      </c>
      <c r="M54" s="56">
        <f ca="1">IF(RTD("tos.rtd",,$A$2,"."&amp;M$43&amp;M$1&amp;"C"&amp;$A54)="N/A",0,RTD("tos.rtd",,$A$2,"."&amp;M$43&amp;M$1&amp;"C"&amp;$A54))-IF(RTD("tos.rtd",,$A$2,"."&amp;M$43&amp;M$1&amp;"P"&amp;$A54)="N/A",0,RTD("tos.rtd",,$A$2,"."&amp;M$43&amp;M$1&amp;"P"&amp;$A54))</f>
        <v>-8</v>
      </c>
      <c r="N54" s="56">
        <f ca="1">IF(RTD("tos.rtd",,$A$2,"."&amp;N$43&amp;N$1&amp;"C"&amp;$A54)="N/A",0,RTD("tos.rtd",,$A$2,"."&amp;N$43&amp;N$1&amp;"C"&amp;$A54))-IF(RTD("tos.rtd",,$A$2,"."&amp;N$43&amp;N$1&amp;"P"&amp;$A54)="N/A",0,RTD("tos.rtd",,$A$2,"."&amp;N$43&amp;N$1&amp;"P"&amp;$A54))</f>
        <v>0</v>
      </c>
      <c r="O54" s="56">
        <f ca="1">IF(RTD("tos.rtd",,$A$2,"."&amp;O$43&amp;O$1&amp;"C"&amp;$A54)="N/A",0,RTD("tos.rtd",,$A$2,"."&amp;O$43&amp;O$1&amp;"C"&amp;$A54))-IF(RTD("tos.rtd",,$A$2,"."&amp;O$43&amp;O$1&amp;"P"&amp;$A54)="N/A",0,RTD("tos.rtd",,$A$2,"."&amp;O$43&amp;O$1&amp;"P"&amp;$A54))</f>
        <v>-58</v>
      </c>
      <c r="P54" s="56">
        <f ca="1">IF(RTD("tos.rtd",,$A$2,"."&amp;P$43&amp;P$1&amp;"C"&amp;$A54)="N/A",0,RTD("tos.rtd",,$A$2,"."&amp;P$43&amp;P$1&amp;"C"&amp;$A54))-IF(RTD("tos.rtd",,$A$2,"."&amp;P$43&amp;P$1&amp;"P"&amp;$A54)="N/A",0,RTD("tos.rtd",,$A$2,"."&amp;P$43&amp;P$1&amp;"P"&amp;$A54))</f>
        <v>0</v>
      </c>
      <c r="Q54" s="56">
        <f ca="1">IF(RTD("tos.rtd",,$A$2,"."&amp;Q$43&amp;Q$1&amp;"C"&amp;$A54)="N/A",0,RTD("tos.rtd",,$A$2,"."&amp;Q$43&amp;Q$1&amp;"C"&amp;$A54))-IF(RTD("tos.rtd",,$A$2,"."&amp;Q$43&amp;Q$1&amp;"P"&amp;$A54)="N/A",0,RTD("tos.rtd",,$A$2,"."&amp;Q$43&amp;Q$1&amp;"P"&amp;$A54))</f>
        <v>0</v>
      </c>
      <c r="R54" s="56">
        <f ca="1">IF(RTD("tos.rtd",,$A$2,"."&amp;R$43&amp;R$1&amp;"C"&amp;$A54)="N/A",0,RTD("tos.rtd",,$A$2,"."&amp;R$43&amp;R$1&amp;"C"&amp;$A54))-IF(RTD("tos.rtd",,$A$2,"."&amp;R$43&amp;R$1&amp;"P"&amp;$A54)="N/A",0,RTD("tos.rtd",,$A$2,"."&amp;R$43&amp;R$1&amp;"P"&amp;$A54))</f>
        <v>0</v>
      </c>
      <c r="S54" s="56">
        <f ca="1">IF(RTD("tos.rtd",,$A$2,"."&amp;S$43&amp;S$1&amp;"C"&amp;$A54)="N/A",0,RTD("tos.rtd",,$A$2,"."&amp;S$43&amp;S$1&amp;"C"&amp;$A54))-IF(RTD("tos.rtd",,$A$2,"."&amp;S$43&amp;S$1&amp;"P"&amp;$A54)="N/A",0,RTD("tos.rtd",,$A$2,"."&amp;S$43&amp;S$1&amp;"P"&amp;$A54))</f>
        <v>0</v>
      </c>
      <c r="T54" s="56">
        <f ca="1">IF(RTD("tos.rtd",,$A$2,"."&amp;T$43&amp;T$1&amp;"C"&amp;$A54)="N/A",0,RTD("tos.rtd",,$A$2,"."&amp;T$43&amp;T$1&amp;"C"&amp;$A54))-IF(RTD("tos.rtd",,$A$2,"."&amp;T$43&amp;T$1&amp;"P"&amp;$A54)="N/A",0,RTD("tos.rtd",,$A$2,"."&amp;T$43&amp;T$1&amp;"P"&amp;$A54))</f>
        <v>0</v>
      </c>
      <c r="U54" s="56">
        <f ca="1">IF(RTD("tos.rtd",,$A$2,"."&amp;U$43&amp;U$1&amp;"C"&amp;$A54)="N/A",0,RTD("tos.rtd",,$A$2,"."&amp;U$43&amp;U$1&amp;"C"&amp;$A54))-IF(RTD("tos.rtd",,$A$2,"."&amp;U$43&amp;U$1&amp;"P"&amp;$A54)="N/A",0,RTD("tos.rtd",,$A$2,"."&amp;U$43&amp;U$1&amp;"P"&amp;$A54))</f>
        <v>0</v>
      </c>
      <c r="V54" s="56">
        <f ca="1">IF(RTD("tos.rtd",,$A$2,"."&amp;V$43&amp;V$1&amp;"C"&amp;$A54)="N/A",0,RTD("tos.rtd",,$A$2,"."&amp;V$43&amp;V$1&amp;"C"&amp;$A54))-IF(RTD("tos.rtd",,$A$2,"."&amp;V$43&amp;V$1&amp;"P"&amp;$A54)="N/A",0,RTD("tos.rtd",,$A$2,"."&amp;V$43&amp;V$1&amp;"P"&amp;$A54))</f>
        <v>0</v>
      </c>
      <c r="W54" s="56">
        <f ca="1">IF(RTD("tos.rtd",,$A$2,"."&amp;W$43&amp;W$1&amp;"C"&amp;$A54)="N/A",0,RTD("tos.rtd",,$A$2,"."&amp;W$43&amp;W$1&amp;"C"&amp;$A54))-IF(RTD("tos.rtd",,$A$2,"."&amp;W$43&amp;W$1&amp;"P"&amp;$A54)="N/A",0,RTD("tos.rtd",,$A$2,"."&amp;W$43&amp;W$1&amp;"P"&amp;$A54))</f>
        <v>0</v>
      </c>
      <c r="X54" s="56">
        <f ca="1">IF(RTD("tos.rtd",,$A$2,"."&amp;X$43&amp;X$1&amp;"C"&amp;$A54)="N/A",0,RTD("tos.rtd",,$A$2,"."&amp;X$43&amp;X$1&amp;"C"&amp;$A54))-IF(RTD("tos.rtd",,$A$2,"."&amp;X$43&amp;X$1&amp;"P"&amp;$A54)="N/A",0,RTD("tos.rtd",,$A$2,"."&amp;X$43&amp;X$1&amp;"P"&amp;$A54))</f>
        <v>0</v>
      </c>
      <c r="Y54" s="63">
        <f t="shared" ca="1" si="10"/>
        <v>6603</v>
      </c>
    </row>
    <row r="55" spans="1:25" x14ac:dyDescent="0.25">
      <c r="A55" s="58">
        <f>+Hoja1!A54</f>
        <v>620</v>
      </c>
      <c r="B55" s="56">
        <f ca="1">IF(RTD("tos.rtd",,$A$2,"."&amp;B$43&amp;B$1&amp;"C"&amp;$A55)="N/A",0,RTD("tos.rtd",,$A$2,"."&amp;B$43&amp;B$1&amp;"C"&amp;$A55))-IF(RTD("tos.rtd",,$A$2,"."&amp;B$43&amp;B$1&amp;"P"&amp;$A55)="N/A",0,RTD("tos.rtd",,$A$2,"."&amp;B$43&amp;B$1&amp;"P"&amp;$A55))</f>
        <v>11213</v>
      </c>
      <c r="C55" s="56">
        <f ca="1">IF(RTD("tos.rtd",,$A$2,"."&amp;C$43&amp;C$1&amp;"C"&amp;$A55)="N/A",0,RTD("tos.rtd",,$A$2,"."&amp;C$43&amp;C$1&amp;"C"&amp;$A55))-IF(RTD("tos.rtd",,$A$2,"."&amp;C$43&amp;C$1&amp;"P"&amp;$A55)="N/A",0,RTD("tos.rtd",,$A$2,"."&amp;C$43&amp;C$1&amp;"P"&amp;$A55))</f>
        <v>3450</v>
      </c>
      <c r="D55" s="56">
        <f ca="1">IF(RTD("tos.rtd",,$A$2,"."&amp;D$43&amp;D$1&amp;"C"&amp;$A55)="N/A",0,RTD("tos.rtd",,$A$2,"."&amp;D$43&amp;D$1&amp;"C"&amp;$A55))-IF(RTD("tos.rtd",,$A$2,"."&amp;D$43&amp;D$1&amp;"P"&amp;$A55)="N/A",0,RTD("tos.rtd",,$A$2,"."&amp;D$43&amp;D$1&amp;"P"&amp;$A55))</f>
        <v>2129</v>
      </c>
      <c r="E55" s="56">
        <f ca="1">IF(RTD("tos.rtd",,$A$2,"."&amp;E$43&amp;E$1&amp;"C"&amp;$A55)="N/A",0,RTD("tos.rtd",,$A$2,"."&amp;E$43&amp;E$1&amp;"C"&amp;$A55))-IF(RTD("tos.rtd",,$A$2,"."&amp;E$43&amp;E$1&amp;"P"&amp;$A55)="N/A",0,RTD("tos.rtd",,$A$2,"."&amp;E$43&amp;E$1&amp;"P"&amp;$A55))</f>
        <v>1316</v>
      </c>
      <c r="F55" s="56">
        <f ca="1">IF(RTD("tos.rtd",,$A$2,"."&amp;F$43&amp;F$1&amp;"C"&amp;$A55)="N/A",0,RTD("tos.rtd",,$A$2,"."&amp;F$43&amp;F$1&amp;"C"&amp;$A55))-IF(RTD("tos.rtd",,$A$2,"."&amp;F$43&amp;F$1&amp;"P"&amp;$A55)="N/A",0,RTD("tos.rtd",,$A$2,"."&amp;F$43&amp;F$1&amp;"P"&amp;$A55))</f>
        <v>0</v>
      </c>
      <c r="G55" s="56">
        <f ca="1">IF(RTD("tos.rtd",,$A$2,"."&amp;G$43&amp;G$1&amp;"C"&amp;$A55)="N/A",0,RTD("tos.rtd",,$A$2,"."&amp;G$43&amp;G$1&amp;"C"&amp;$A55))-IF(RTD("tos.rtd",,$A$2,"."&amp;G$43&amp;G$1&amp;"P"&amp;$A55)="N/A",0,RTD("tos.rtd",,$A$2,"."&amp;G$43&amp;G$1&amp;"P"&amp;$A55))</f>
        <v>0</v>
      </c>
      <c r="H55" s="56">
        <f ca="1">IF(RTD("tos.rtd",,$A$2,"."&amp;H$43&amp;H$1&amp;"C"&amp;$A55)="N/A",0,RTD("tos.rtd",,$A$2,"."&amp;H$43&amp;H$1&amp;"C"&amp;$A55))-IF(RTD("tos.rtd",,$A$2,"."&amp;H$43&amp;H$1&amp;"P"&amp;$A55)="N/A",0,RTD("tos.rtd",,$A$2,"."&amp;H$43&amp;H$1&amp;"P"&amp;$A55))</f>
        <v>643</v>
      </c>
      <c r="I55" s="56">
        <f ca="1">IF(RTD("tos.rtd",,$A$2,"."&amp;I$43&amp;I$1&amp;"C"&amp;$A55)="N/A",0,RTD("tos.rtd",,$A$2,"."&amp;I$43&amp;I$1&amp;"C"&amp;$A55))-IF(RTD("tos.rtd",,$A$2,"."&amp;I$43&amp;I$1&amp;"P"&amp;$A55)="N/A",0,RTD("tos.rtd",,$A$2,"."&amp;I$43&amp;I$1&amp;"P"&amp;$A55))</f>
        <v>323</v>
      </c>
      <c r="J55" s="56">
        <f ca="1">IF(RTD("tos.rtd",,$A$2,"."&amp;J$43&amp;J$1&amp;"C"&amp;$A55)="N/A",0,RTD("tos.rtd",,$A$2,"."&amp;J$43&amp;J$1&amp;"C"&amp;$A55))-IF(RTD("tos.rtd",,$A$2,"."&amp;J$43&amp;J$1&amp;"P"&amp;$A55)="N/A",0,RTD("tos.rtd",,$A$2,"."&amp;J$43&amp;J$1&amp;"P"&amp;$A55))</f>
        <v>132</v>
      </c>
      <c r="K55" s="56">
        <f ca="1">IF(RTD("tos.rtd",,$A$2,"."&amp;K$43&amp;K$1&amp;"C"&amp;$A55)="N/A",0,RTD("tos.rtd",,$A$2,"."&amp;K$43&amp;K$1&amp;"C"&amp;$A55))-IF(RTD("tos.rtd",,$A$2,"."&amp;K$43&amp;K$1&amp;"P"&amp;$A55)="N/A",0,RTD("tos.rtd",,$A$2,"."&amp;K$43&amp;K$1&amp;"P"&amp;$A55))</f>
        <v>2830</v>
      </c>
      <c r="L55" s="56">
        <f ca="1">IF(RTD("tos.rtd",,$A$2,"."&amp;L$43&amp;L$1&amp;"C"&amp;$A55)="N/A",0,RTD("tos.rtd",,$A$2,"."&amp;L$43&amp;L$1&amp;"C"&amp;$A55))-IF(RTD("tos.rtd",,$A$2,"."&amp;L$43&amp;L$1&amp;"P"&amp;$A55)="N/A",0,RTD("tos.rtd",,$A$2,"."&amp;L$43&amp;L$1&amp;"P"&amp;$A55))</f>
        <v>0</v>
      </c>
      <c r="M55" s="56">
        <f ca="1">IF(RTD("tos.rtd",,$A$2,"."&amp;M$43&amp;M$1&amp;"C"&amp;$A55)="N/A",0,RTD("tos.rtd",,$A$2,"."&amp;M$43&amp;M$1&amp;"C"&amp;$A55))-IF(RTD("tos.rtd",,$A$2,"."&amp;M$43&amp;M$1&amp;"P"&amp;$A55)="N/A",0,RTD("tos.rtd",,$A$2,"."&amp;M$43&amp;M$1&amp;"P"&amp;$A55))</f>
        <v>46</v>
      </c>
      <c r="N55" s="56">
        <f ca="1">IF(RTD("tos.rtd",,$A$2,"."&amp;N$43&amp;N$1&amp;"C"&amp;$A55)="N/A",0,RTD("tos.rtd",,$A$2,"."&amp;N$43&amp;N$1&amp;"C"&amp;$A55))-IF(RTD("tos.rtd",,$A$2,"."&amp;N$43&amp;N$1&amp;"P"&amp;$A55)="N/A",0,RTD("tos.rtd",,$A$2,"."&amp;N$43&amp;N$1&amp;"P"&amp;$A55))</f>
        <v>0</v>
      </c>
      <c r="O55" s="56">
        <f ca="1">IF(RTD("tos.rtd",,$A$2,"."&amp;O$43&amp;O$1&amp;"C"&amp;$A55)="N/A",0,RTD("tos.rtd",,$A$2,"."&amp;O$43&amp;O$1&amp;"C"&amp;$A55))-IF(RTD("tos.rtd",,$A$2,"."&amp;O$43&amp;O$1&amp;"P"&amp;$A55)="N/A",0,RTD("tos.rtd",,$A$2,"."&amp;O$43&amp;O$1&amp;"P"&amp;$A55))</f>
        <v>977</v>
      </c>
      <c r="P55" s="56">
        <f ca="1">IF(RTD("tos.rtd",,$A$2,"."&amp;P$43&amp;P$1&amp;"C"&amp;$A55)="N/A",0,RTD("tos.rtd",,$A$2,"."&amp;P$43&amp;P$1&amp;"C"&amp;$A55))-IF(RTD("tos.rtd",,$A$2,"."&amp;P$43&amp;P$1&amp;"P"&amp;$A55)="N/A",0,RTD("tos.rtd",,$A$2,"."&amp;P$43&amp;P$1&amp;"P"&amp;$A55))</f>
        <v>0</v>
      </c>
      <c r="Q55" s="56">
        <f ca="1">IF(RTD("tos.rtd",,$A$2,"."&amp;Q$43&amp;Q$1&amp;"C"&amp;$A55)="N/A",0,RTD("tos.rtd",,$A$2,"."&amp;Q$43&amp;Q$1&amp;"C"&amp;$A55))-IF(RTD("tos.rtd",,$A$2,"."&amp;Q$43&amp;Q$1&amp;"P"&amp;$A55)="N/A",0,RTD("tos.rtd",,$A$2,"."&amp;Q$43&amp;Q$1&amp;"P"&amp;$A55))</f>
        <v>0</v>
      </c>
      <c r="R55" s="56">
        <f ca="1">IF(RTD("tos.rtd",,$A$2,"."&amp;R$43&amp;R$1&amp;"C"&amp;$A55)="N/A",0,RTD("tos.rtd",,$A$2,"."&amp;R$43&amp;R$1&amp;"C"&amp;$A55))-IF(RTD("tos.rtd",,$A$2,"."&amp;R$43&amp;R$1&amp;"P"&amp;$A55)="N/A",0,RTD("tos.rtd",,$A$2,"."&amp;R$43&amp;R$1&amp;"P"&amp;$A55))</f>
        <v>0</v>
      </c>
      <c r="S55" s="56">
        <f ca="1">IF(RTD("tos.rtd",,$A$2,"."&amp;S$43&amp;S$1&amp;"C"&amp;$A55)="N/A",0,RTD("tos.rtd",,$A$2,"."&amp;S$43&amp;S$1&amp;"C"&amp;$A55))-IF(RTD("tos.rtd",,$A$2,"."&amp;S$43&amp;S$1&amp;"P"&amp;$A55)="N/A",0,RTD("tos.rtd",,$A$2,"."&amp;S$43&amp;S$1&amp;"P"&amp;$A55))</f>
        <v>0</v>
      </c>
      <c r="T55" s="56">
        <f ca="1">IF(RTD("tos.rtd",,$A$2,"."&amp;T$43&amp;T$1&amp;"C"&amp;$A55)="N/A",0,RTD("tos.rtd",,$A$2,"."&amp;T$43&amp;T$1&amp;"C"&amp;$A55))-IF(RTD("tos.rtd",,$A$2,"."&amp;T$43&amp;T$1&amp;"P"&amp;$A55)="N/A",0,RTD("tos.rtd",,$A$2,"."&amp;T$43&amp;T$1&amp;"P"&amp;$A55))</f>
        <v>0</v>
      </c>
      <c r="U55" s="56">
        <f ca="1">IF(RTD("tos.rtd",,$A$2,"."&amp;U$43&amp;U$1&amp;"C"&amp;$A55)="N/A",0,RTD("tos.rtd",,$A$2,"."&amp;U$43&amp;U$1&amp;"C"&amp;$A55))-IF(RTD("tos.rtd",,$A$2,"."&amp;U$43&amp;U$1&amp;"P"&amp;$A55)="N/A",0,RTD("tos.rtd",,$A$2,"."&amp;U$43&amp;U$1&amp;"P"&amp;$A55))</f>
        <v>0</v>
      </c>
      <c r="V55" s="56">
        <f ca="1">IF(RTD("tos.rtd",,$A$2,"."&amp;V$43&amp;V$1&amp;"C"&amp;$A55)="N/A",0,RTD("tos.rtd",,$A$2,"."&amp;V$43&amp;V$1&amp;"C"&amp;$A55))-IF(RTD("tos.rtd",,$A$2,"."&amp;V$43&amp;V$1&amp;"P"&amp;$A55)="N/A",0,RTD("tos.rtd",,$A$2,"."&amp;V$43&amp;V$1&amp;"P"&amp;$A55))</f>
        <v>0</v>
      </c>
      <c r="W55" s="56">
        <f ca="1">IF(RTD("tos.rtd",,$A$2,"."&amp;W$43&amp;W$1&amp;"C"&amp;$A55)="N/A",0,RTD("tos.rtd",,$A$2,"."&amp;W$43&amp;W$1&amp;"C"&amp;$A55))-IF(RTD("tos.rtd",,$A$2,"."&amp;W$43&amp;W$1&amp;"P"&amp;$A55)="N/A",0,RTD("tos.rtd",,$A$2,"."&amp;W$43&amp;W$1&amp;"P"&amp;$A55))</f>
        <v>0</v>
      </c>
      <c r="X55" s="56">
        <f ca="1">IF(RTD("tos.rtd",,$A$2,"."&amp;X$43&amp;X$1&amp;"C"&amp;$A55)="N/A",0,RTD("tos.rtd",,$A$2,"."&amp;X$43&amp;X$1&amp;"C"&amp;$A55))-IF(RTD("tos.rtd",,$A$2,"."&amp;X$43&amp;X$1&amp;"P"&amp;$A55)="N/A",0,RTD("tos.rtd",,$A$2,"."&amp;X$43&amp;X$1&amp;"P"&amp;$A55))</f>
        <v>0</v>
      </c>
      <c r="Y55" s="63">
        <f t="shared" ca="1" si="10"/>
        <v>23059</v>
      </c>
    </row>
    <row r="56" spans="1:25" x14ac:dyDescent="0.25">
      <c r="A56" s="58">
        <f>+Hoja1!A55</f>
        <v>619</v>
      </c>
      <c r="B56" s="56">
        <f ca="1">IF(RTD("tos.rtd",,$A$2,"."&amp;B$43&amp;B$1&amp;"C"&amp;$A56)="N/A",0,RTD("tos.rtd",,$A$2,"."&amp;B$43&amp;B$1&amp;"C"&amp;$A56))-IF(RTD("tos.rtd",,$A$2,"."&amp;B$43&amp;B$1&amp;"P"&amp;$A56)="N/A",0,RTD("tos.rtd",,$A$2,"."&amp;B$43&amp;B$1&amp;"P"&amp;$A56))</f>
        <v>4630</v>
      </c>
      <c r="C56" s="56">
        <f ca="1">IF(RTD("tos.rtd",,$A$2,"."&amp;C$43&amp;C$1&amp;"C"&amp;$A56)="N/A",0,RTD("tos.rtd",,$A$2,"."&amp;C$43&amp;C$1&amp;"C"&amp;$A56))-IF(RTD("tos.rtd",,$A$2,"."&amp;C$43&amp;C$1&amp;"P"&amp;$A56)="N/A",0,RTD("tos.rtd",,$A$2,"."&amp;C$43&amp;C$1&amp;"P"&amp;$A56))</f>
        <v>846</v>
      </c>
      <c r="D56" s="56">
        <f ca="1">IF(RTD("tos.rtd",,$A$2,"."&amp;D$43&amp;D$1&amp;"C"&amp;$A56)="N/A",0,RTD("tos.rtd",,$A$2,"."&amp;D$43&amp;D$1&amp;"C"&amp;$A56))-IF(RTD("tos.rtd",,$A$2,"."&amp;D$43&amp;D$1&amp;"P"&amp;$A56)="N/A",0,RTD("tos.rtd",,$A$2,"."&amp;D$43&amp;D$1&amp;"P"&amp;$A56))</f>
        <v>723</v>
      </c>
      <c r="E56" s="56">
        <f ca="1">IF(RTD("tos.rtd",,$A$2,"."&amp;E$43&amp;E$1&amp;"C"&amp;$A56)="N/A",0,RTD("tos.rtd",,$A$2,"."&amp;E$43&amp;E$1&amp;"C"&amp;$A56))-IF(RTD("tos.rtd",,$A$2,"."&amp;E$43&amp;E$1&amp;"P"&amp;$A56)="N/A",0,RTD("tos.rtd",,$A$2,"."&amp;E$43&amp;E$1&amp;"P"&amp;$A56))</f>
        <v>273</v>
      </c>
      <c r="F56" s="56">
        <f ca="1">IF(RTD("tos.rtd",,$A$2,"."&amp;F$43&amp;F$1&amp;"C"&amp;$A56)="N/A",0,RTD("tos.rtd",,$A$2,"."&amp;F$43&amp;F$1&amp;"C"&amp;$A56))-IF(RTD("tos.rtd",,$A$2,"."&amp;F$43&amp;F$1&amp;"P"&amp;$A56)="N/A",0,RTD("tos.rtd",,$A$2,"."&amp;F$43&amp;F$1&amp;"P"&amp;$A56))</f>
        <v>0</v>
      </c>
      <c r="G56" s="56">
        <f ca="1">IF(RTD("tos.rtd",,$A$2,"."&amp;G$43&amp;G$1&amp;"C"&amp;$A56)="N/A",0,RTD("tos.rtd",,$A$2,"."&amp;G$43&amp;G$1&amp;"C"&amp;$A56))-IF(RTD("tos.rtd",,$A$2,"."&amp;G$43&amp;G$1&amp;"P"&amp;$A56)="N/A",0,RTD("tos.rtd",,$A$2,"."&amp;G$43&amp;G$1&amp;"P"&amp;$A56))</f>
        <v>0</v>
      </c>
      <c r="H56" s="56">
        <f ca="1">IF(RTD("tos.rtd",,$A$2,"."&amp;H$43&amp;H$1&amp;"C"&amp;$A56)="N/A",0,RTD("tos.rtd",,$A$2,"."&amp;H$43&amp;H$1&amp;"C"&amp;$A56))-IF(RTD("tos.rtd",,$A$2,"."&amp;H$43&amp;H$1&amp;"P"&amp;$A56)="N/A",0,RTD("tos.rtd",,$A$2,"."&amp;H$43&amp;H$1&amp;"P"&amp;$A56))</f>
        <v>126</v>
      </c>
      <c r="I56" s="56">
        <f ca="1">IF(RTD("tos.rtd",,$A$2,"."&amp;I$43&amp;I$1&amp;"C"&amp;$A56)="N/A",0,RTD("tos.rtd",,$A$2,"."&amp;I$43&amp;I$1&amp;"C"&amp;$A56))-IF(RTD("tos.rtd",,$A$2,"."&amp;I$43&amp;I$1&amp;"P"&amp;$A56)="N/A",0,RTD("tos.rtd",,$A$2,"."&amp;I$43&amp;I$1&amp;"P"&amp;$A56))</f>
        <v>127</v>
      </c>
      <c r="J56" s="56">
        <f ca="1">IF(RTD("tos.rtd",,$A$2,"."&amp;J$43&amp;J$1&amp;"C"&amp;$A56)="N/A",0,RTD("tos.rtd",,$A$2,"."&amp;J$43&amp;J$1&amp;"C"&amp;$A56))-IF(RTD("tos.rtd",,$A$2,"."&amp;J$43&amp;J$1&amp;"P"&amp;$A56)="N/A",0,RTD("tos.rtd",,$A$2,"."&amp;J$43&amp;J$1&amp;"P"&amp;$A56))</f>
        <v>5</v>
      </c>
      <c r="K56" s="56">
        <f ca="1">IF(RTD("tos.rtd",,$A$2,"."&amp;K$43&amp;K$1&amp;"C"&amp;$A56)="N/A",0,RTD("tos.rtd",,$A$2,"."&amp;K$43&amp;K$1&amp;"C"&amp;$A56))-IF(RTD("tos.rtd",,$A$2,"."&amp;K$43&amp;K$1&amp;"P"&amp;$A56)="N/A",0,RTD("tos.rtd",,$A$2,"."&amp;K$43&amp;K$1&amp;"P"&amp;$A56))</f>
        <v>-48</v>
      </c>
      <c r="L56" s="56">
        <f ca="1">IF(RTD("tos.rtd",,$A$2,"."&amp;L$43&amp;L$1&amp;"C"&amp;$A56)="N/A",0,RTD("tos.rtd",,$A$2,"."&amp;L$43&amp;L$1&amp;"C"&amp;$A56))-IF(RTD("tos.rtd",,$A$2,"."&amp;L$43&amp;L$1&amp;"P"&amp;$A56)="N/A",0,RTD("tos.rtd",,$A$2,"."&amp;L$43&amp;L$1&amp;"P"&amp;$A56))</f>
        <v>0</v>
      </c>
      <c r="M56" s="56">
        <f ca="1">IF(RTD("tos.rtd",,$A$2,"."&amp;M$43&amp;M$1&amp;"C"&amp;$A56)="N/A",0,RTD("tos.rtd",,$A$2,"."&amp;M$43&amp;M$1&amp;"C"&amp;$A56))-IF(RTD("tos.rtd",,$A$2,"."&amp;M$43&amp;M$1&amp;"P"&amp;$A56)="N/A",0,RTD("tos.rtd",,$A$2,"."&amp;M$43&amp;M$1&amp;"P"&amp;$A56))</f>
        <v>1</v>
      </c>
      <c r="N56" s="56">
        <f ca="1">IF(RTD("tos.rtd",,$A$2,"."&amp;N$43&amp;N$1&amp;"C"&amp;$A56)="N/A",0,RTD("tos.rtd",,$A$2,"."&amp;N$43&amp;N$1&amp;"C"&amp;$A56))-IF(RTD("tos.rtd",,$A$2,"."&amp;N$43&amp;N$1&amp;"P"&amp;$A56)="N/A",0,RTD("tos.rtd",,$A$2,"."&amp;N$43&amp;N$1&amp;"P"&amp;$A56))</f>
        <v>0</v>
      </c>
      <c r="O56" s="56">
        <f ca="1">IF(RTD("tos.rtd",,$A$2,"."&amp;O$43&amp;O$1&amp;"C"&amp;$A56)="N/A",0,RTD("tos.rtd",,$A$2,"."&amp;O$43&amp;O$1&amp;"C"&amp;$A56))-IF(RTD("tos.rtd",,$A$2,"."&amp;O$43&amp;O$1&amp;"P"&amp;$A56)="N/A",0,RTD("tos.rtd",,$A$2,"."&amp;O$43&amp;O$1&amp;"P"&amp;$A56))</f>
        <v>15</v>
      </c>
      <c r="P56" s="56">
        <f ca="1">IF(RTD("tos.rtd",,$A$2,"."&amp;P$43&amp;P$1&amp;"C"&amp;$A56)="N/A",0,RTD("tos.rtd",,$A$2,"."&amp;P$43&amp;P$1&amp;"C"&amp;$A56))-IF(RTD("tos.rtd",,$A$2,"."&amp;P$43&amp;P$1&amp;"P"&amp;$A56)="N/A",0,RTD("tos.rtd",,$A$2,"."&amp;P$43&amp;P$1&amp;"P"&amp;$A56))</f>
        <v>0</v>
      </c>
      <c r="Q56" s="56">
        <f ca="1">IF(RTD("tos.rtd",,$A$2,"."&amp;Q$43&amp;Q$1&amp;"C"&amp;$A56)="N/A",0,RTD("tos.rtd",,$A$2,"."&amp;Q$43&amp;Q$1&amp;"C"&amp;$A56))-IF(RTD("tos.rtd",,$A$2,"."&amp;Q$43&amp;Q$1&amp;"P"&amp;$A56)="N/A",0,RTD("tos.rtd",,$A$2,"."&amp;Q$43&amp;Q$1&amp;"P"&amp;$A56))</f>
        <v>0</v>
      </c>
      <c r="R56" s="56">
        <f ca="1">IF(RTD("tos.rtd",,$A$2,"."&amp;R$43&amp;R$1&amp;"C"&amp;$A56)="N/A",0,RTD("tos.rtd",,$A$2,"."&amp;R$43&amp;R$1&amp;"C"&amp;$A56))-IF(RTD("tos.rtd",,$A$2,"."&amp;R$43&amp;R$1&amp;"P"&amp;$A56)="N/A",0,RTD("tos.rtd",,$A$2,"."&amp;R$43&amp;R$1&amp;"P"&amp;$A56))</f>
        <v>0</v>
      </c>
      <c r="S56" s="56">
        <f ca="1">IF(RTD("tos.rtd",,$A$2,"."&amp;S$43&amp;S$1&amp;"C"&amp;$A56)="N/A",0,RTD("tos.rtd",,$A$2,"."&amp;S$43&amp;S$1&amp;"C"&amp;$A56))-IF(RTD("tos.rtd",,$A$2,"."&amp;S$43&amp;S$1&amp;"P"&amp;$A56)="N/A",0,RTD("tos.rtd",,$A$2,"."&amp;S$43&amp;S$1&amp;"P"&amp;$A56))</f>
        <v>0</v>
      </c>
      <c r="T56" s="56">
        <f ca="1">IF(RTD("tos.rtd",,$A$2,"."&amp;T$43&amp;T$1&amp;"C"&amp;$A56)="N/A",0,RTD("tos.rtd",,$A$2,"."&amp;T$43&amp;T$1&amp;"C"&amp;$A56))-IF(RTD("tos.rtd",,$A$2,"."&amp;T$43&amp;T$1&amp;"P"&amp;$A56)="N/A",0,RTD("tos.rtd",,$A$2,"."&amp;T$43&amp;T$1&amp;"P"&amp;$A56))</f>
        <v>0</v>
      </c>
      <c r="U56" s="56">
        <f ca="1">IF(RTD("tos.rtd",,$A$2,"."&amp;U$43&amp;U$1&amp;"C"&amp;$A56)="N/A",0,RTD("tos.rtd",,$A$2,"."&amp;U$43&amp;U$1&amp;"C"&amp;$A56))-IF(RTD("tos.rtd",,$A$2,"."&amp;U$43&amp;U$1&amp;"P"&amp;$A56)="N/A",0,RTD("tos.rtd",,$A$2,"."&amp;U$43&amp;U$1&amp;"P"&amp;$A56))</f>
        <v>0</v>
      </c>
      <c r="V56" s="56">
        <f ca="1">IF(RTD("tos.rtd",,$A$2,"."&amp;V$43&amp;V$1&amp;"C"&amp;$A56)="N/A",0,RTD("tos.rtd",,$A$2,"."&amp;V$43&amp;V$1&amp;"C"&amp;$A56))-IF(RTD("tos.rtd",,$A$2,"."&amp;V$43&amp;V$1&amp;"P"&amp;$A56)="N/A",0,RTD("tos.rtd",,$A$2,"."&amp;V$43&amp;V$1&amp;"P"&amp;$A56))</f>
        <v>0</v>
      </c>
      <c r="W56" s="56">
        <f ca="1">IF(RTD("tos.rtd",,$A$2,"."&amp;W$43&amp;W$1&amp;"C"&amp;$A56)="N/A",0,RTD("tos.rtd",,$A$2,"."&amp;W$43&amp;W$1&amp;"C"&amp;$A56))-IF(RTD("tos.rtd",,$A$2,"."&amp;W$43&amp;W$1&amp;"P"&amp;$A56)="N/A",0,RTD("tos.rtd",,$A$2,"."&amp;W$43&amp;W$1&amp;"P"&amp;$A56))</f>
        <v>0</v>
      </c>
      <c r="X56" s="56">
        <f ca="1">IF(RTD("tos.rtd",,$A$2,"."&amp;X$43&amp;X$1&amp;"C"&amp;$A56)="N/A",0,RTD("tos.rtd",,$A$2,"."&amp;X$43&amp;X$1&amp;"C"&amp;$A56))-IF(RTD("tos.rtd",,$A$2,"."&amp;X$43&amp;X$1&amp;"P"&amp;$A56)="N/A",0,RTD("tos.rtd",,$A$2,"."&amp;X$43&amp;X$1&amp;"P"&amp;$A56))</f>
        <v>0</v>
      </c>
      <c r="Y56" s="63">
        <f t="shared" ca="1" si="10"/>
        <v>6698</v>
      </c>
    </row>
    <row r="57" spans="1:25" x14ac:dyDescent="0.25">
      <c r="A57" s="58">
        <f>+Hoja1!A56</f>
        <v>618</v>
      </c>
      <c r="B57" s="56">
        <f ca="1">IF(RTD("tos.rtd",,$A$2,"."&amp;B$43&amp;B$1&amp;"C"&amp;$A57)="N/A",0,RTD("tos.rtd",,$A$2,"."&amp;B$43&amp;B$1&amp;"C"&amp;$A57))-IF(RTD("tos.rtd",,$A$2,"."&amp;B$43&amp;B$1&amp;"P"&amp;$A57)="N/A",0,RTD("tos.rtd",,$A$2,"."&amp;B$43&amp;B$1&amp;"P"&amp;$A57))</f>
        <v>10390</v>
      </c>
      <c r="C57" s="56">
        <f ca="1">IF(RTD("tos.rtd",,$A$2,"."&amp;C$43&amp;C$1&amp;"C"&amp;$A57)="N/A",0,RTD("tos.rtd",,$A$2,"."&amp;C$43&amp;C$1&amp;"C"&amp;$A57))-IF(RTD("tos.rtd",,$A$2,"."&amp;C$43&amp;C$1&amp;"P"&amp;$A57)="N/A",0,RTD("tos.rtd",,$A$2,"."&amp;C$43&amp;C$1&amp;"P"&amp;$A57))</f>
        <v>5773</v>
      </c>
      <c r="D57" s="56">
        <f ca="1">IF(RTD("tos.rtd",,$A$2,"."&amp;D$43&amp;D$1&amp;"C"&amp;$A57)="N/A",0,RTD("tos.rtd",,$A$2,"."&amp;D$43&amp;D$1&amp;"C"&amp;$A57))-IF(RTD("tos.rtd",,$A$2,"."&amp;D$43&amp;D$1&amp;"P"&amp;$A57)="N/A",0,RTD("tos.rtd",,$A$2,"."&amp;D$43&amp;D$1&amp;"P"&amp;$A57))</f>
        <v>1119</v>
      </c>
      <c r="E57" s="56">
        <f ca="1">IF(RTD("tos.rtd",,$A$2,"."&amp;E$43&amp;E$1&amp;"C"&amp;$A57)="N/A",0,RTD("tos.rtd",,$A$2,"."&amp;E$43&amp;E$1&amp;"C"&amp;$A57))-IF(RTD("tos.rtd",,$A$2,"."&amp;E$43&amp;E$1&amp;"P"&amp;$A57)="N/A",0,RTD("tos.rtd",,$A$2,"."&amp;E$43&amp;E$1&amp;"P"&amp;$A57))</f>
        <v>-3</v>
      </c>
      <c r="F57" s="56">
        <f ca="1">IF(RTD("tos.rtd",,$A$2,"."&amp;F$43&amp;F$1&amp;"C"&amp;$A57)="N/A",0,RTD("tos.rtd",,$A$2,"."&amp;F$43&amp;F$1&amp;"C"&amp;$A57))-IF(RTD("tos.rtd",,$A$2,"."&amp;F$43&amp;F$1&amp;"P"&amp;$A57)="N/A",0,RTD("tos.rtd",,$A$2,"."&amp;F$43&amp;F$1&amp;"P"&amp;$A57))</f>
        <v>0</v>
      </c>
      <c r="G57" s="56">
        <f ca="1">IF(RTD("tos.rtd",,$A$2,"."&amp;G$43&amp;G$1&amp;"C"&amp;$A57)="N/A",0,RTD("tos.rtd",,$A$2,"."&amp;G$43&amp;G$1&amp;"C"&amp;$A57))-IF(RTD("tos.rtd",,$A$2,"."&amp;G$43&amp;G$1&amp;"P"&amp;$A57)="N/A",0,RTD("tos.rtd",,$A$2,"."&amp;G$43&amp;G$1&amp;"P"&amp;$A57))</f>
        <v>0</v>
      </c>
      <c r="H57" s="56">
        <f ca="1">IF(RTD("tos.rtd",,$A$2,"."&amp;H$43&amp;H$1&amp;"C"&amp;$A57)="N/A",0,RTD("tos.rtd",,$A$2,"."&amp;H$43&amp;H$1&amp;"C"&amp;$A57))-IF(RTD("tos.rtd",,$A$2,"."&amp;H$43&amp;H$1&amp;"P"&amp;$A57)="N/A",0,RTD("tos.rtd",,$A$2,"."&amp;H$43&amp;H$1&amp;"P"&amp;$A57))</f>
        <v>-98</v>
      </c>
      <c r="I57" s="56">
        <f ca="1">IF(RTD("tos.rtd",,$A$2,"."&amp;I$43&amp;I$1&amp;"C"&amp;$A57)="N/A",0,RTD("tos.rtd",,$A$2,"."&amp;I$43&amp;I$1&amp;"C"&amp;$A57))-IF(RTD("tos.rtd",,$A$2,"."&amp;I$43&amp;I$1&amp;"P"&amp;$A57)="N/A",0,RTD("tos.rtd",,$A$2,"."&amp;I$43&amp;I$1&amp;"P"&amp;$A57))</f>
        <v>32</v>
      </c>
      <c r="J57" s="56">
        <f ca="1">IF(RTD("tos.rtd",,$A$2,"."&amp;J$43&amp;J$1&amp;"C"&amp;$A57)="N/A",0,RTD("tos.rtd",,$A$2,"."&amp;J$43&amp;J$1&amp;"C"&amp;$A57))-IF(RTD("tos.rtd",,$A$2,"."&amp;J$43&amp;J$1&amp;"P"&amp;$A57)="N/A",0,RTD("tos.rtd",,$A$2,"."&amp;J$43&amp;J$1&amp;"P"&amp;$A57))</f>
        <v>-21</v>
      </c>
      <c r="K57" s="56">
        <f ca="1">IF(RTD("tos.rtd",,$A$2,"."&amp;K$43&amp;K$1&amp;"C"&amp;$A57)="N/A",0,RTD("tos.rtd",,$A$2,"."&amp;K$43&amp;K$1&amp;"C"&amp;$A57))-IF(RTD("tos.rtd",,$A$2,"."&amp;K$43&amp;K$1&amp;"P"&amp;$A57)="N/A",0,RTD("tos.rtd",,$A$2,"."&amp;K$43&amp;K$1&amp;"P"&amp;$A57))</f>
        <v>184</v>
      </c>
      <c r="L57" s="56">
        <f ca="1">IF(RTD("tos.rtd",,$A$2,"."&amp;L$43&amp;L$1&amp;"C"&amp;$A57)="N/A",0,RTD("tos.rtd",,$A$2,"."&amp;L$43&amp;L$1&amp;"C"&amp;$A57))-IF(RTD("tos.rtd",,$A$2,"."&amp;L$43&amp;L$1&amp;"P"&amp;$A57)="N/A",0,RTD("tos.rtd",,$A$2,"."&amp;L$43&amp;L$1&amp;"P"&amp;$A57))</f>
        <v>0</v>
      </c>
      <c r="M57" s="56">
        <f ca="1">IF(RTD("tos.rtd",,$A$2,"."&amp;M$43&amp;M$1&amp;"C"&amp;$A57)="N/A",0,RTD("tos.rtd",,$A$2,"."&amp;M$43&amp;M$1&amp;"C"&amp;$A57))-IF(RTD("tos.rtd",,$A$2,"."&amp;M$43&amp;M$1&amp;"P"&amp;$A57)="N/A",0,RTD("tos.rtd",,$A$2,"."&amp;M$43&amp;M$1&amp;"P"&amp;$A57))</f>
        <v>1</v>
      </c>
      <c r="N57" s="56">
        <f ca="1">IF(RTD("tos.rtd",,$A$2,"."&amp;N$43&amp;N$1&amp;"C"&amp;$A57)="N/A",0,RTD("tos.rtd",,$A$2,"."&amp;N$43&amp;N$1&amp;"C"&amp;$A57))-IF(RTD("tos.rtd",,$A$2,"."&amp;N$43&amp;N$1&amp;"P"&amp;$A57)="N/A",0,RTD("tos.rtd",,$A$2,"."&amp;N$43&amp;N$1&amp;"P"&amp;$A57))</f>
        <v>0</v>
      </c>
      <c r="O57" s="56">
        <f ca="1">IF(RTD("tos.rtd",,$A$2,"."&amp;O$43&amp;O$1&amp;"C"&amp;$A57)="N/A",0,RTD("tos.rtd",,$A$2,"."&amp;O$43&amp;O$1&amp;"C"&amp;$A57))-IF(RTD("tos.rtd",,$A$2,"."&amp;O$43&amp;O$1&amp;"P"&amp;$A57)="N/A",0,RTD("tos.rtd",,$A$2,"."&amp;O$43&amp;O$1&amp;"P"&amp;$A57))</f>
        <v>46</v>
      </c>
      <c r="P57" s="56">
        <f ca="1">IF(RTD("tos.rtd",,$A$2,"."&amp;P$43&amp;P$1&amp;"C"&amp;$A57)="N/A",0,RTD("tos.rtd",,$A$2,"."&amp;P$43&amp;P$1&amp;"C"&amp;$A57))-IF(RTD("tos.rtd",,$A$2,"."&amp;P$43&amp;P$1&amp;"P"&amp;$A57)="N/A",0,RTD("tos.rtd",,$A$2,"."&amp;P$43&amp;P$1&amp;"P"&amp;$A57))</f>
        <v>0</v>
      </c>
      <c r="Q57" s="56">
        <f ca="1">IF(RTD("tos.rtd",,$A$2,"."&amp;Q$43&amp;Q$1&amp;"C"&amp;$A57)="N/A",0,RTD("tos.rtd",,$A$2,"."&amp;Q$43&amp;Q$1&amp;"C"&amp;$A57))-IF(RTD("tos.rtd",,$A$2,"."&amp;Q$43&amp;Q$1&amp;"P"&amp;$A57)="N/A",0,RTD("tos.rtd",,$A$2,"."&amp;Q$43&amp;Q$1&amp;"P"&amp;$A57))</f>
        <v>0</v>
      </c>
      <c r="R57" s="56">
        <f ca="1">IF(RTD("tos.rtd",,$A$2,"."&amp;R$43&amp;R$1&amp;"C"&amp;$A57)="N/A",0,RTD("tos.rtd",,$A$2,"."&amp;R$43&amp;R$1&amp;"C"&amp;$A57))-IF(RTD("tos.rtd",,$A$2,"."&amp;R$43&amp;R$1&amp;"P"&amp;$A57)="N/A",0,RTD("tos.rtd",,$A$2,"."&amp;R$43&amp;R$1&amp;"P"&amp;$A57))</f>
        <v>0</v>
      </c>
      <c r="S57" s="56">
        <f ca="1">IF(RTD("tos.rtd",,$A$2,"."&amp;S$43&amp;S$1&amp;"C"&amp;$A57)="N/A",0,RTD("tos.rtd",,$A$2,"."&amp;S$43&amp;S$1&amp;"C"&amp;$A57))-IF(RTD("tos.rtd",,$A$2,"."&amp;S$43&amp;S$1&amp;"P"&amp;$A57)="N/A",0,RTD("tos.rtd",,$A$2,"."&amp;S$43&amp;S$1&amp;"P"&amp;$A57))</f>
        <v>0</v>
      </c>
      <c r="T57" s="56">
        <f ca="1">IF(RTD("tos.rtd",,$A$2,"."&amp;T$43&amp;T$1&amp;"C"&amp;$A57)="N/A",0,RTD("tos.rtd",,$A$2,"."&amp;T$43&amp;T$1&amp;"C"&amp;$A57))-IF(RTD("tos.rtd",,$A$2,"."&amp;T$43&amp;T$1&amp;"P"&amp;$A57)="N/A",0,RTD("tos.rtd",,$A$2,"."&amp;T$43&amp;T$1&amp;"P"&amp;$A57))</f>
        <v>0</v>
      </c>
      <c r="U57" s="56">
        <f ca="1">IF(RTD("tos.rtd",,$A$2,"."&amp;U$43&amp;U$1&amp;"C"&amp;$A57)="N/A",0,RTD("tos.rtd",,$A$2,"."&amp;U$43&amp;U$1&amp;"C"&amp;$A57))-IF(RTD("tos.rtd",,$A$2,"."&amp;U$43&amp;U$1&amp;"P"&amp;$A57)="N/A",0,RTD("tos.rtd",,$A$2,"."&amp;U$43&amp;U$1&amp;"P"&amp;$A57))</f>
        <v>0</v>
      </c>
      <c r="V57" s="56">
        <f ca="1">IF(RTD("tos.rtd",,$A$2,"."&amp;V$43&amp;V$1&amp;"C"&amp;$A57)="N/A",0,RTD("tos.rtd",,$A$2,"."&amp;V$43&amp;V$1&amp;"C"&amp;$A57))-IF(RTD("tos.rtd",,$A$2,"."&amp;V$43&amp;V$1&amp;"P"&amp;$A57)="N/A",0,RTD("tos.rtd",,$A$2,"."&amp;V$43&amp;V$1&amp;"P"&amp;$A57))</f>
        <v>0</v>
      </c>
      <c r="W57" s="56">
        <f ca="1">IF(RTD("tos.rtd",,$A$2,"."&amp;W$43&amp;W$1&amp;"C"&amp;$A57)="N/A",0,RTD("tos.rtd",,$A$2,"."&amp;W$43&amp;W$1&amp;"C"&amp;$A57))-IF(RTD("tos.rtd",,$A$2,"."&amp;W$43&amp;W$1&amp;"P"&amp;$A57)="N/A",0,RTD("tos.rtd",,$A$2,"."&amp;W$43&amp;W$1&amp;"P"&amp;$A57))</f>
        <v>0</v>
      </c>
      <c r="X57" s="56">
        <f ca="1">IF(RTD("tos.rtd",,$A$2,"."&amp;X$43&amp;X$1&amp;"C"&amp;$A57)="N/A",0,RTD("tos.rtd",,$A$2,"."&amp;X$43&amp;X$1&amp;"C"&amp;$A57))-IF(RTD("tos.rtd",,$A$2,"."&amp;X$43&amp;X$1&amp;"P"&amp;$A57)="N/A",0,RTD("tos.rtd",,$A$2,"."&amp;X$43&amp;X$1&amp;"P"&amp;$A57))</f>
        <v>0</v>
      </c>
      <c r="Y57" s="63">
        <f t="shared" ca="1" si="10"/>
        <v>17423</v>
      </c>
    </row>
    <row r="58" spans="1:25" x14ac:dyDescent="0.25">
      <c r="A58" s="58">
        <f>+Hoja1!A57</f>
        <v>617</v>
      </c>
      <c r="B58" s="56">
        <f ca="1">IF(RTD("tos.rtd",,$A$2,"."&amp;B$43&amp;B$1&amp;"C"&amp;$A58)="N/A",0,RTD("tos.rtd",,$A$2,"."&amp;B$43&amp;B$1&amp;"C"&amp;$A58))-IF(RTD("tos.rtd",,$A$2,"."&amp;B$43&amp;B$1&amp;"P"&amp;$A58)="N/A",0,RTD("tos.rtd",,$A$2,"."&amp;B$43&amp;B$1&amp;"P"&amp;$A58))</f>
        <v>6795</v>
      </c>
      <c r="C58" s="56">
        <f ca="1">IF(RTD("tos.rtd",,$A$2,"."&amp;C$43&amp;C$1&amp;"C"&amp;$A58)="N/A",0,RTD("tos.rtd",,$A$2,"."&amp;C$43&amp;C$1&amp;"C"&amp;$A58))-IF(RTD("tos.rtd",,$A$2,"."&amp;C$43&amp;C$1&amp;"P"&amp;$A58)="N/A",0,RTD("tos.rtd",,$A$2,"."&amp;C$43&amp;C$1&amp;"P"&amp;$A58))</f>
        <v>1517</v>
      </c>
      <c r="D58" s="56">
        <f ca="1">IF(RTD("tos.rtd",,$A$2,"."&amp;D$43&amp;D$1&amp;"C"&amp;$A58)="N/A",0,RTD("tos.rtd",,$A$2,"."&amp;D$43&amp;D$1&amp;"C"&amp;$A58))-IF(RTD("tos.rtd",,$A$2,"."&amp;D$43&amp;D$1&amp;"P"&amp;$A58)="N/A",0,RTD("tos.rtd",,$A$2,"."&amp;D$43&amp;D$1&amp;"P"&amp;$A58))</f>
        <v>220</v>
      </c>
      <c r="E58" s="56">
        <f ca="1">IF(RTD("tos.rtd",,$A$2,"."&amp;E$43&amp;E$1&amp;"C"&amp;$A58)="N/A",0,RTD("tos.rtd",,$A$2,"."&amp;E$43&amp;E$1&amp;"C"&amp;$A58))-IF(RTD("tos.rtd",,$A$2,"."&amp;E$43&amp;E$1&amp;"P"&amp;$A58)="N/A",0,RTD("tos.rtd",,$A$2,"."&amp;E$43&amp;E$1&amp;"P"&amp;$A58))</f>
        <v>583</v>
      </c>
      <c r="F58" s="56">
        <f ca="1">IF(RTD("tos.rtd",,$A$2,"."&amp;F$43&amp;F$1&amp;"C"&amp;$A58)="N/A",0,RTD("tos.rtd",,$A$2,"."&amp;F$43&amp;F$1&amp;"C"&amp;$A58))-IF(RTD("tos.rtd",,$A$2,"."&amp;F$43&amp;F$1&amp;"P"&amp;$A58)="N/A",0,RTD("tos.rtd",,$A$2,"."&amp;F$43&amp;F$1&amp;"P"&amp;$A58))</f>
        <v>0</v>
      </c>
      <c r="G58" s="56">
        <f ca="1">IF(RTD("tos.rtd",,$A$2,"."&amp;G$43&amp;G$1&amp;"C"&amp;$A58)="N/A",0,RTD("tos.rtd",,$A$2,"."&amp;G$43&amp;G$1&amp;"C"&amp;$A58))-IF(RTD("tos.rtd",,$A$2,"."&amp;G$43&amp;G$1&amp;"P"&amp;$A58)="N/A",0,RTD("tos.rtd",,$A$2,"."&amp;G$43&amp;G$1&amp;"P"&amp;$A58))</f>
        <v>0</v>
      </c>
      <c r="H58" s="56">
        <f ca="1">IF(RTD("tos.rtd",,$A$2,"."&amp;H$43&amp;H$1&amp;"C"&amp;$A58)="N/A",0,RTD("tos.rtd",,$A$2,"."&amp;H$43&amp;H$1&amp;"C"&amp;$A58))-IF(RTD("tos.rtd",,$A$2,"."&amp;H$43&amp;H$1&amp;"P"&amp;$A58)="N/A",0,RTD("tos.rtd",,$A$2,"."&amp;H$43&amp;H$1&amp;"P"&amp;$A58))</f>
        <v>-408</v>
      </c>
      <c r="I58" s="56">
        <f ca="1">IF(RTD("tos.rtd",,$A$2,"."&amp;I$43&amp;I$1&amp;"C"&amp;$A58)="N/A",0,RTD("tos.rtd",,$A$2,"."&amp;I$43&amp;I$1&amp;"C"&amp;$A58))-IF(RTD("tos.rtd",,$A$2,"."&amp;I$43&amp;I$1&amp;"P"&amp;$A58)="N/A",0,RTD("tos.rtd",,$A$2,"."&amp;I$43&amp;I$1&amp;"P"&amp;$A58))</f>
        <v>41</v>
      </c>
      <c r="J58" s="56">
        <f ca="1">IF(RTD("tos.rtd",,$A$2,"."&amp;J$43&amp;J$1&amp;"C"&amp;$A58)="N/A",0,RTD("tos.rtd",,$A$2,"."&amp;J$43&amp;J$1&amp;"C"&amp;$A58))-IF(RTD("tos.rtd",,$A$2,"."&amp;J$43&amp;J$1&amp;"P"&amp;$A58)="N/A",0,RTD("tos.rtd",,$A$2,"."&amp;J$43&amp;J$1&amp;"P"&amp;$A58))</f>
        <v>78</v>
      </c>
      <c r="K58" s="56">
        <f ca="1">IF(RTD("tos.rtd",,$A$2,"."&amp;K$43&amp;K$1&amp;"C"&amp;$A58)="N/A",0,RTD("tos.rtd",,$A$2,"."&amp;K$43&amp;K$1&amp;"C"&amp;$A58))-IF(RTD("tos.rtd",,$A$2,"."&amp;K$43&amp;K$1&amp;"P"&amp;$A58)="N/A",0,RTD("tos.rtd",,$A$2,"."&amp;K$43&amp;K$1&amp;"P"&amp;$A58))</f>
        <v>169</v>
      </c>
      <c r="L58" s="56">
        <f ca="1">IF(RTD("tos.rtd",,$A$2,"."&amp;L$43&amp;L$1&amp;"C"&amp;$A58)="N/A",0,RTD("tos.rtd",,$A$2,"."&amp;L$43&amp;L$1&amp;"C"&amp;$A58))-IF(RTD("tos.rtd",,$A$2,"."&amp;L$43&amp;L$1&amp;"P"&amp;$A58)="N/A",0,RTD("tos.rtd",,$A$2,"."&amp;L$43&amp;L$1&amp;"P"&amp;$A58))</f>
        <v>0</v>
      </c>
      <c r="M58" s="56">
        <f ca="1">IF(RTD("tos.rtd",,$A$2,"."&amp;M$43&amp;M$1&amp;"C"&amp;$A58)="N/A",0,RTD("tos.rtd",,$A$2,"."&amp;M$43&amp;M$1&amp;"C"&amp;$A58))-IF(RTD("tos.rtd",,$A$2,"."&amp;M$43&amp;M$1&amp;"P"&amp;$A58)="N/A",0,RTD("tos.rtd",,$A$2,"."&amp;M$43&amp;M$1&amp;"P"&amp;$A58))</f>
        <v>5</v>
      </c>
      <c r="N58" s="56">
        <f ca="1">IF(RTD("tos.rtd",,$A$2,"."&amp;N$43&amp;N$1&amp;"C"&amp;$A58)="N/A",0,RTD("tos.rtd",,$A$2,"."&amp;N$43&amp;N$1&amp;"C"&amp;$A58))-IF(RTD("tos.rtd",,$A$2,"."&amp;N$43&amp;N$1&amp;"P"&amp;$A58)="N/A",0,RTD("tos.rtd",,$A$2,"."&amp;N$43&amp;N$1&amp;"P"&amp;$A58))</f>
        <v>0</v>
      </c>
      <c r="O58" s="56">
        <f ca="1">IF(RTD("tos.rtd",,$A$2,"."&amp;O$43&amp;O$1&amp;"C"&amp;$A58)="N/A",0,RTD("tos.rtd",,$A$2,"."&amp;O$43&amp;O$1&amp;"C"&amp;$A58))-IF(RTD("tos.rtd",,$A$2,"."&amp;O$43&amp;O$1&amp;"P"&amp;$A58)="N/A",0,RTD("tos.rtd",,$A$2,"."&amp;O$43&amp;O$1&amp;"P"&amp;$A58))</f>
        <v>-18</v>
      </c>
      <c r="P58" s="56">
        <f ca="1">IF(RTD("tos.rtd",,$A$2,"."&amp;P$43&amp;P$1&amp;"C"&amp;$A58)="N/A",0,RTD("tos.rtd",,$A$2,"."&amp;P$43&amp;P$1&amp;"C"&amp;$A58))-IF(RTD("tos.rtd",,$A$2,"."&amp;P$43&amp;P$1&amp;"P"&amp;$A58)="N/A",0,RTD("tos.rtd",,$A$2,"."&amp;P$43&amp;P$1&amp;"P"&amp;$A58))</f>
        <v>0</v>
      </c>
      <c r="Q58" s="56">
        <f ca="1">IF(RTD("tos.rtd",,$A$2,"."&amp;Q$43&amp;Q$1&amp;"C"&amp;$A58)="N/A",0,RTD("tos.rtd",,$A$2,"."&amp;Q$43&amp;Q$1&amp;"C"&amp;$A58))-IF(RTD("tos.rtd",,$A$2,"."&amp;Q$43&amp;Q$1&amp;"P"&amp;$A58)="N/A",0,RTD("tos.rtd",,$A$2,"."&amp;Q$43&amp;Q$1&amp;"P"&amp;$A58))</f>
        <v>0</v>
      </c>
      <c r="R58" s="56">
        <f ca="1">IF(RTD("tos.rtd",,$A$2,"."&amp;R$43&amp;R$1&amp;"C"&amp;$A58)="N/A",0,RTD("tos.rtd",,$A$2,"."&amp;R$43&amp;R$1&amp;"C"&amp;$A58))-IF(RTD("tos.rtd",,$A$2,"."&amp;R$43&amp;R$1&amp;"P"&amp;$A58)="N/A",0,RTD("tos.rtd",,$A$2,"."&amp;R$43&amp;R$1&amp;"P"&amp;$A58))</f>
        <v>0</v>
      </c>
      <c r="S58" s="56">
        <f ca="1">IF(RTD("tos.rtd",,$A$2,"."&amp;S$43&amp;S$1&amp;"C"&amp;$A58)="N/A",0,RTD("tos.rtd",,$A$2,"."&amp;S$43&amp;S$1&amp;"C"&amp;$A58))-IF(RTD("tos.rtd",,$A$2,"."&amp;S$43&amp;S$1&amp;"P"&amp;$A58)="N/A",0,RTD("tos.rtd",,$A$2,"."&amp;S$43&amp;S$1&amp;"P"&amp;$A58))</f>
        <v>0</v>
      </c>
      <c r="T58" s="56">
        <f ca="1">IF(RTD("tos.rtd",,$A$2,"."&amp;T$43&amp;T$1&amp;"C"&amp;$A58)="N/A",0,RTD("tos.rtd",,$A$2,"."&amp;T$43&amp;T$1&amp;"C"&amp;$A58))-IF(RTD("tos.rtd",,$A$2,"."&amp;T$43&amp;T$1&amp;"P"&amp;$A58)="N/A",0,RTD("tos.rtd",,$A$2,"."&amp;T$43&amp;T$1&amp;"P"&amp;$A58))</f>
        <v>0</v>
      </c>
      <c r="U58" s="56">
        <f ca="1">IF(RTD("tos.rtd",,$A$2,"."&amp;U$43&amp;U$1&amp;"C"&amp;$A58)="N/A",0,RTD("tos.rtd",,$A$2,"."&amp;U$43&amp;U$1&amp;"C"&amp;$A58))-IF(RTD("tos.rtd",,$A$2,"."&amp;U$43&amp;U$1&amp;"P"&amp;$A58)="N/A",0,RTD("tos.rtd",,$A$2,"."&amp;U$43&amp;U$1&amp;"P"&amp;$A58))</f>
        <v>0</v>
      </c>
      <c r="V58" s="56">
        <f ca="1">IF(RTD("tos.rtd",,$A$2,"."&amp;V$43&amp;V$1&amp;"C"&amp;$A58)="N/A",0,RTD("tos.rtd",,$A$2,"."&amp;V$43&amp;V$1&amp;"C"&amp;$A58))-IF(RTD("tos.rtd",,$A$2,"."&amp;V$43&amp;V$1&amp;"P"&amp;$A58)="N/A",0,RTD("tos.rtd",,$A$2,"."&amp;V$43&amp;V$1&amp;"P"&amp;$A58))</f>
        <v>0</v>
      </c>
      <c r="W58" s="56">
        <f ca="1">IF(RTD("tos.rtd",,$A$2,"."&amp;W$43&amp;W$1&amp;"C"&amp;$A58)="N/A",0,RTD("tos.rtd",,$A$2,"."&amp;W$43&amp;W$1&amp;"C"&amp;$A58))-IF(RTD("tos.rtd",,$A$2,"."&amp;W$43&amp;W$1&amp;"P"&amp;$A58)="N/A",0,RTD("tos.rtd",,$A$2,"."&amp;W$43&amp;W$1&amp;"P"&amp;$A58))</f>
        <v>0</v>
      </c>
      <c r="X58" s="56">
        <f ca="1">IF(RTD("tos.rtd",,$A$2,"."&amp;X$43&amp;X$1&amp;"C"&amp;$A58)="N/A",0,RTD("tos.rtd",,$A$2,"."&amp;X$43&amp;X$1&amp;"C"&amp;$A58))-IF(RTD("tos.rtd",,$A$2,"."&amp;X$43&amp;X$1&amp;"P"&amp;$A58)="N/A",0,RTD("tos.rtd",,$A$2,"."&amp;X$43&amp;X$1&amp;"P"&amp;$A58))</f>
        <v>0</v>
      </c>
      <c r="Y58" s="63">
        <f t="shared" ca="1" si="10"/>
        <v>8982</v>
      </c>
    </row>
    <row r="59" spans="1:25" x14ac:dyDescent="0.25">
      <c r="A59" s="58">
        <f>+Hoja1!A58</f>
        <v>616</v>
      </c>
      <c r="B59" s="56">
        <f ca="1">IF(RTD("tos.rtd",,$A$2,"."&amp;B$43&amp;B$1&amp;"C"&amp;$A59)="N/A",0,RTD("tos.rtd",,$A$2,"."&amp;B$43&amp;B$1&amp;"C"&amp;$A59))-IF(RTD("tos.rtd",,$A$2,"."&amp;B$43&amp;B$1&amp;"P"&amp;$A59)="N/A",0,RTD("tos.rtd",,$A$2,"."&amp;B$43&amp;B$1&amp;"P"&amp;$A59))</f>
        <v>5854</v>
      </c>
      <c r="C59" s="56">
        <f ca="1">IF(RTD("tos.rtd",,$A$2,"."&amp;C$43&amp;C$1&amp;"C"&amp;$A59)="N/A",0,RTD("tos.rtd",,$A$2,"."&amp;C$43&amp;C$1&amp;"C"&amp;$A59))-IF(RTD("tos.rtd",,$A$2,"."&amp;C$43&amp;C$1&amp;"P"&amp;$A59)="N/A",0,RTD("tos.rtd",,$A$2,"."&amp;C$43&amp;C$1&amp;"P"&amp;$A59))</f>
        <v>1504</v>
      </c>
      <c r="D59" s="56">
        <f ca="1">IF(RTD("tos.rtd",,$A$2,"."&amp;D$43&amp;D$1&amp;"C"&amp;$A59)="N/A",0,RTD("tos.rtd",,$A$2,"."&amp;D$43&amp;D$1&amp;"C"&amp;$A59))-IF(RTD("tos.rtd",,$A$2,"."&amp;D$43&amp;D$1&amp;"P"&amp;$A59)="N/A",0,RTD("tos.rtd",,$A$2,"."&amp;D$43&amp;D$1&amp;"P"&amp;$A59))</f>
        <v>985</v>
      </c>
      <c r="E59" s="56">
        <f ca="1">IF(RTD("tos.rtd",,$A$2,"."&amp;E$43&amp;E$1&amp;"C"&amp;$A59)="N/A",0,RTD("tos.rtd",,$A$2,"."&amp;E$43&amp;E$1&amp;"C"&amp;$A59))-IF(RTD("tos.rtd",,$A$2,"."&amp;E$43&amp;E$1&amp;"P"&amp;$A59)="N/A",0,RTD("tos.rtd",,$A$2,"."&amp;E$43&amp;E$1&amp;"P"&amp;$A59))</f>
        <v>97</v>
      </c>
      <c r="F59" s="56">
        <f ca="1">IF(RTD("tos.rtd",,$A$2,"."&amp;F$43&amp;F$1&amp;"C"&amp;$A59)="N/A",0,RTD("tos.rtd",,$A$2,"."&amp;F$43&amp;F$1&amp;"C"&amp;$A59))-IF(RTD("tos.rtd",,$A$2,"."&amp;F$43&amp;F$1&amp;"P"&amp;$A59)="N/A",0,RTD("tos.rtd",,$A$2,"."&amp;F$43&amp;F$1&amp;"P"&amp;$A59))</f>
        <v>0</v>
      </c>
      <c r="G59" s="56">
        <f ca="1">IF(RTD("tos.rtd",,$A$2,"."&amp;G$43&amp;G$1&amp;"C"&amp;$A59)="N/A",0,RTD("tos.rtd",,$A$2,"."&amp;G$43&amp;G$1&amp;"C"&amp;$A59))-IF(RTD("tos.rtd",,$A$2,"."&amp;G$43&amp;G$1&amp;"P"&amp;$A59)="N/A",0,RTD("tos.rtd",,$A$2,"."&amp;G$43&amp;G$1&amp;"P"&amp;$A59))</f>
        <v>0</v>
      </c>
      <c r="H59" s="56">
        <f ca="1">IF(RTD("tos.rtd",,$A$2,"."&amp;H$43&amp;H$1&amp;"C"&amp;$A59)="N/A",0,RTD("tos.rtd",,$A$2,"."&amp;H$43&amp;H$1&amp;"C"&amp;$A59))-IF(RTD("tos.rtd",,$A$2,"."&amp;H$43&amp;H$1&amp;"P"&amp;$A59)="N/A",0,RTD("tos.rtd",,$A$2,"."&amp;H$43&amp;H$1&amp;"P"&amp;$A59))</f>
        <v>0</v>
      </c>
      <c r="I59" s="56">
        <f ca="1">IF(RTD("tos.rtd",,$A$2,"."&amp;I$43&amp;I$1&amp;"C"&amp;$A59)="N/A",0,RTD("tos.rtd",,$A$2,"."&amp;I$43&amp;I$1&amp;"C"&amp;$A59))-IF(RTD("tos.rtd",,$A$2,"."&amp;I$43&amp;I$1&amp;"P"&amp;$A59)="N/A",0,RTD("tos.rtd",,$A$2,"."&amp;I$43&amp;I$1&amp;"P"&amp;$A59))</f>
        <v>168</v>
      </c>
      <c r="J59" s="56">
        <f ca="1">IF(RTD("tos.rtd",,$A$2,"."&amp;J$43&amp;J$1&amp;"C"&amp;$A59)="N/A",0,RTD("tos.rtd",,$A$2,"."&amp;J$43&amp;J$1&amp;"C"&amp;$A59))-IF(RTD("tos.rtd",,$A$2,"."&amp;J$43&amp;J$1&amp;"P"&amp;$A59)="N/A",0,RTD("tos.rtd",,$A$2,"."&amp;J$43&amp;J$1&amp;"P"&amp;$A59))</f>
        <v>1</v>
      </c>
      <c r="K59" s="56">
        <f ca="1">IF(RTD("tos.rtd",,$A$2,"."&amp;K$43&amp;K$1&amp;"C"&amp;$A59)="N/A",0,RTD("tos.rtd",,$A$2,"."&amp;K$43&amp;K$1&amp;"C"&amp;$A59))-IF(RTD("tos.rtd",,$A$2,"."&amp;K$43&amp;K$1&amp;"P"&amp;$A59)="N/A",0,RTD("tos.rtd",,$A$2,"."&amp;K$43&amp;K$1&amp;"P"&amp;$A59))</f>
        <v>645</v>
      </c>
      <c r="L59" s="56">
        <f ca="1">IF(RTD("tos.rtd",,$A$2,"."&amp;L$43&amp;L$1&amp;"C"&amp;$A59)="N/A",0,RTD("tos.rtd",,$A$2,"."&amp;L$43&amp;L$1&amp;"C"&amp;$A59))-IF(RTD("tos.rtd",,$A$2,"."&amp;L$43&amp;L$1&amp;"P"&amp;$A59)="N/A",0,RTD("tos.rtd",,$A$2,"."&amp;L$43&amp;L$1&amp;"P"&amp;$A59))</f>
        <v>0</v>
      </c>
      <c r="M59" s="56">
        <f ca="1">IF(RTD("tos.rtd",,$A$2,"."&amp;M$43&amp;M$1&amp;"C"&amp;$A59)="N/A",0,RTD("tos.rtd",,$A$2,"."&amp;M$43&amp;M$1&amp;"C"&amp;$A59))-IF(RTD("tos.rtd",,$A$2,"."&amp;M$43&amp;M$1&amp;"P"&amp;$A59)="N/A",0,RTD("tos.rtd",,$A$2,"."&amp;M$43&amp;M$1&amp;"P"&amp;$A59))</f>
        <v>-10</v>
      </c>
      <c r="N59" s="56">
        <f ca="1">IF(RTD("tos.rtd",,$A$2,"."&amp;N$43&amp;N$1&amp;"C"&amp;$A59)="N/A",0,RTD("tos.rtd",,$A$2,"."&amp;N$43&amp;N$1&amp;"C"&amp;$A59))-IF(RTD("tos.rtd",,$A$2,"."&amp;N$43&amp;N$1&amp;"P"&amp;$A59)="N/A",0,RTD("tos.rtd",,$A$2,"."&amp;N$43&amp;N$1&amp;"P"&amp;$A59))</f>
        <v>0</v>
      </c>
      <c r="O59" s="56">
        <f ca="1">IF(RTD("tos.rtd",,$A$2,"."&amp;O$43&amp;O$1&amp;"C"&amp;$A59)="N/A",0,RTD("tos.rtd",,$A$2,"."&amp;O$43&amp;O$1&amp;"C"&amp;$A59))-IF(RTD("tos.rtd",,$A$2,"."&amp;O$43&amp;O$1&amp;"P"&amp;$A59)="N/A",0,RTD("tos.rtd",,$A$2,"."&amp;O$43&amp;O$1&amp;"P"&amp;$A59))</f>
        <v>17</v>
      </c>
      <c r="P59" s="56">
        <f ca="1">IF(RTD("tos.rtd",,$A$2,"."&amp;P$43&amp;P$1&amp;"C"&amp;$A59)="N/A",0,RTD("tos.rtd",,$A$2,"."&amp;P$43&amp;P$1&amp;"C"&amp;$A59))-IF(RTD("tos.rtd",,$A$2,"."&amp;P$43&amp;P$1&amp;"P"&amp;$A59)="N/A",0,RTD("tos.rtd",,$A$2,"."&amp;P$43&amp;P$1&amp;"P"&amp;$A59))</f>
        <v>0</v>
      </c>
      <c r="Q59" s="56">
        <f ca="1">IF(RTD("tos.rtd",,$A$2,"."&amp;Q$43&amp;Q$1&amp;"C"&amp;$A59)="N/A",0,RTD("tos.rtd",,$A$2,"."&amp;Q$43&amp;Q$1&amp;"C"&amp;$A59))-IF(RTD("tos.rtd",,$A$2,"."&amp;Q$43&amp;Q$1&amp;"P"&amp;$A59)="N/A",0,RTD("tos.rtd",,$A$2,"."&amp;Q$43&amp;Q$1&amp;"P"&amp;$A59))</f>
        <v>0</v>
      </c>
      <c r="R59" s="56">
        <f ca="1">IF(RTD("tos.rtd",,$A$2,"."&amp;R$43&amp;R$1&amp;"C"&amp;$A59)="N/A",0,RTD("tos.rtd",,$A$2,"."&amp;R$43&amp;R$1&amp;"C"&amp;$A59))-IF(RTD("tos.rtd",,$A$2,"."&amp;R$43&amp;R$1&amp;"P"&amp;$A59)="N/A",0,RTD("tos.rtd",,$A$2,"."&amp;R$43&amp;R$1&amp;"P"&amp;$A59))</f>
        <v>0</v>
      </c>
      <c r="S59" s="56">
        <f ca="1">IF(RTD("tos.rtd",,$A$2,"."&amp;S$43&amp;S$1&amp;"C"&amp;$A59)="N/A",0,RTD("tos.rtd",,$A$2,"."&amp;S$43&amp;S$1&amp;"C"&amp;$A59))-IF(RTD("tos.rtd",,$A$2,"."&amp;S$43&amp;S$1&amp;"P"&amp;$A59)="N/A",0,RTD("tos.rtd",,$A$2,"."&amp;S$43&amp;S$1&amp;"P"&amp;$A59))</f>
        <v>0</v>
      </c>
      <c r="T59" s="56">
        <f ca="1">IF(RTD("tos.rtd",,$A$2,"."&amp;T$43&amp;T$1&amp;"C"&amp;$A59)="N/A",0,RTD("tos.rtd",,$A$2,"."&amp;T$43&amp;T$1&amp;"C"&amp;$A59))-IF(RTD("tos.rtd",,$A$2,"."&amp;T$43&amp;T$1&amp;"P"&amp;$A59)="N/A",0,RTD("tos.rtd",,$A$2,"."&amp;T$43&amp;T$1&amp;"P"&amp;$A59))</f>
        <v>0</v>
      </c>
      <c r="U59" s="56">
        <f ca="1">IF(RTD("tos.rtd",,$A$2,"."&amp;U$43&amp;U$1&amp;"C"&amp;$A59)="N/A",0,RTD("tos.rtd",,$A$2,"."&amp;U$43&amp;U$1&amp;"C"&amp;$A59))-IF(RTD("tos.rtd",,$A$2,"."&amp;U$43&amp;U$1&amp;"P"&amp;$A59)="N/A",0,RTD("tos.rtd",,$A$2,"."&amp;U$43&amp;U$1&amp;"P"&amp;$A59))</f>
        <v>0</v>
      </c>
      <c r="V59" s="56">
        <f ca="1">IF(RTD("tos.rtd",,$A$2,"."&amp;V$43&amp;V$1&amp;"C"&amp;$A59)="N/A",0,RTD("tos.rtd",,$A$2,"."&amp;V$43&amp;V$1&amp;"C"&amp;$A59))-IF(RTD("tos.rtd",,$A$2,"."&amp;V$43&amp;V$1&amp;"P"&amp;$A59)="N/A",0,RTD("tos.rtd",,$A$2,"."&amp;V$43&amp;V$1&amp;"P"&amp;$A59))</f>
        <v>0</v>
      </c>
      <c r="W59" s="56">
        <f ca="1">IF(RTD("tos.rtd",,$A$2,"."&amp;W$43&amp;W$1&amp;"C"&amp;$A59)="N/A",0,RTD("tos.rtd",,$A$2,"."&amp;W$43&amp;W$1&amp;"C"&amp;$A59))-IF(RTD("tos.rtd",,$A$2,"."&amp;W$43&amp;W$1&amp;"P"&amp;$A59)="N/A",0,RTD("tos.rtd",,$A$2,"."&amp;W$43&amp;W$1&amp;"P"&amp;$A59))</f>
        <v>0</v>
      </c>
      <c r="X59" s="56">
        <f ca="1">IF(RTD("tos.rtd",,$A$2,"."&amp;X$43&amp;X$1&amp;"C"&amp;$A59)="N/A",0,RTD("tos.rtd",,$A$2,"."&amp;X$43&amp;X$1&amp;"C"&amp;$A59))-IF(RTD("tos.rtd",,$A$2,"."&amp;X$43&amp;X$1&amp;"P"&amp;$A59)="N/A",0,RTD("tos.rtd",,$A$2,"."&amp;X$43&amp;X$1&amp;"P"&amp;$A59))</f>
        <v>0</v>
      </c>
      <c r="Y59" s="63">
        <f t="shared" ca="1" si="10"/>
        <v>9261</v>
      </c>
    </row>
    <row r="60" spans="1:25" x14ac:dyDescent="0.25">
      <c r="A60" s="58">
        <f>+Hoja1!A59</f>
        <v>615</v>
      </c>
      <c r="B60" s="56">
        <f ca="1">IF(RTD("tos.rtd",,$A$2,"."&amp;B$43&amp;B$1&amp;"C"&amp;$A60)="N/A",0,RTD("tos.rtd",,$A$2,"."&amp;B$43&amp;B$1&amp;"C"&amp;$A60))-IF(RTD("tos.rtd",,$A$2,"."&amp;B$43&amp;B$1&amp;"P"&amp;$A60)="N/A",0,RTD("tos.rtd",,$A$2,"."&amp;B$43&amp;B$1&amp;"P"&amp;$A60))</f>
        <v>29625</v>
      </c>
      <c r="C60" s="56">
        <f ca="1">IF(RTD("tos.rtd",,$A$2,"."&amp;C$43&amp;C$1&amp;"C"&amp;$A60)="N/A",0,RTD("tos.rtd",,$A$2,"."&amp;C$43&amp;C$1&amp;"C"&amp;$A60))-IF(RTD("tos.rtd",,$A$2,"."&amp;C$43&amp;C$1&amp;"P"&amp;$A60)="N/A",0,RTD("tos.rtd",,$A$2,"."&amp;C$43&amp;C$1&amp;"P"&amp;$A60))</f>
        <v>2748</v>
      </c>
      <c r="D60" s="56">
        <f ca="1">IF(RTD("tos.rtd",,$A$2,"."&amp;D$43&amp;D$1&amp;"C"&amp;$A60)="N/A",0,RTD("tos.rtd",,$A$2,"."&amp;D$43&amp;D$1&amp;"C"&amp;$A60))-IF(RTD("tos.rtd",,$A$2,"."&amp;D$43&amp;D$1&amp;"P"&amp;$A60)="N/A",0,RTD("tos.rtd",,$A$2,"."&amp;D$43&amp;D$1&amp;"P"&amp;$A60))</f>
        <v>12109</v>
      </c>
      <c r="E60" s="56">
        <f ca="1">IF(RTD("tos.rtd",,$A$2,"."&amp;E$43&amp;E$1&amp;"C"&amp;$A60)="N/A",0,RTD("tos.rtd",,$A$2,"."&amp;E$43&amp;E$1&amp;"C"&amp;$A60))-IF(RTD("tos.rtd",,$A$2,"."&amp;E$43&amp;E$1&amp;"P"&amp;$A60)="N/A",0,RTD("tos.rtd",,$A$2,"."&amp;E$43&amp;E$1&amp;"P"&amp;$A60))</f>
        <v>1114</v>
      </c>
      <c r="F60" s="56">
        <f ca="1">IF(RTD("tos.rtd",,$A$2,"."&amp;F$43&amp;F$1&amp;"C"&amp;$A60)="N/A",0,RTD("tos.rtd",,$A$2,"."&amp;F$43&amp;F$1&amp;"C"&amp;$A60))-IF(RTD("tos.rtd",,$A$2,"."&amp;F$43&amp;F$1&amp;"P"&amp;$A60)="N/A",0,RTD("tos.rtd",,$A$2,"."&amp;F$43&amp;F$1&amp;"P"&amp;$A60))</f>
        <v>0</v>
      </c>
      <c r="G60" s="56">
        <f ca="1">IF(RTD("tos.rtd",,$A$2,"."&amp;G$43&amp;G$1&amp;"C"&amp;$A60)="N/A",0,RTD("tos.rtd",,$A$2,"."&amp;G$43&amp;G$1&amp;"C"&amp;$A60))-IF(RTD("tos.rtd",,$A$2,"."&amp;G$43&amp;G$1&amp;"P"&amp;$A60)="N/A",0,RTD("tos.rtd",,$A$2,"."&amp;G$43&amp;G$1&amp;"P"&amp;$A60))</f>
        <v>0</v>
      </c>
      <c r="H60" s="56">
        <f ca="1">IF(RTD("tos.rtd",,$A$2,"."&amp;H$43&amp;H$1&amp;"C"&amp;$A60)="N/A",0,RTD("tos.rtd",,$A$2,"."&amp;H$43&amp;H$1&amp;"C"&amp;$A60))-IF(RTD("tos.rtd",,$A$2,"."&amp;H$43&amp;H$1&amp;"P"&amp;$A60)="N/A",0,RTD("tos.rtd",,$A$2,"."&amp;H$43&amp;H$1&amp;"P"&amp;$A60))</f>
        <v>3854</v>
      </c>
      <c r="I60" s="56">
        <f ca="1">IF(RTD("tos.rtd",,$A$2,"."&amp;I$43&amp;I$1&amp;"C"&amp;$A60)="N/A",0,RTD("tos.rtd",,$A$2,"."&amp;I$43&amp;I$1&amp;"C"&amp;$A60))-IF(RTD("tos.rtd",,$A$2,"."&amp;I$43&amp;I$1&amp;"P"&amp;$A60)="N/A",0,RTD("tos.rtd",,$A$2,"."&amp;I$43&amp;I$1&amp;"P"&amp;$A60))</f>
        <v>96</v>
      </c>
      <c r="J60" s="56">
        <f ca="1">IF(RTD("tos.rtd",,$A$2,"."&amp;J$43&amp;J$1&amp;"C"&amp;$A60)="N/A",0,RTD("tos.rtd",,$A$2,"."&amp;J$43&amp;J$1&amp;"C"&amp;$A60))-IF(RTD("tos.rtd",,$A$2,"."&amp;J$43&amp;J$1&amp;"P"&amp;$A60)="N/A",0,RTD("tos.rtd",,$A$2,"."&amp;J$43&amp;J$1&amp;"P"&amp;$A60))</f>
        <v>82</v>
      </c>
      <c r="K60" s="56">
        <f ca="1">IF(RTD("tos.rtd",,$A$2,"."&amp;K$43&amp;K$1&amp;"C"&amp;$A60)="N/A",0,RTD("tos.rtd",,$A$2,"."&amp;K$43&amp;K$1&amp;"C"&amp;$A60))-IF(RTD("tos.rtd",,$A$2,"."&amp;K$43&amp;K$1&amp;"P"&amp;$A60)="N/A",0,RTD("tos.rtd",,$A$2,"."&amp;K$43&amp;K$1&amp;"P"&amp;$A60))</f>
        <v>622</v>
      </c>
      <c r="L60" s="56">
        <f ca="1">IF(RTD("tos.rtd",,$A$2,"."&amp;L$43&amp;L$1&amp;"C"&amp;$A60)="N/A",0,RTD("tos.rtd",,$A$2,"."&amp;L$43&amp;L$1&amp;"C"&amp;$A60))-IF(RTD("tos.rtd",,$A$2,"."&amp;L$43&amp;L$1&amp;"P"&amp;$A60)="N/A",0,RTD("tos.rtd",,$A$2,"."&amp;L$43&amp;L$1&amp;"P"&amp;$A60))</f>
        <v>0</v>
      </c>
      <c r="M60" s="56">
        <f ca="1">IF(RTD("tos.rtd",,$A$2,"."&amp;M$43&amp;M$1&amp;"C"&amp;$A60)="N/A",0,RTD("tos.rtd",,$A$2,"."&amp;M$43&amp;M$1&amp;"C"&amp;$A60))-IF(RTD("tos.rtd",,$A$2,"."&amp;M$43&amp;M$1&amp;"P"&amp;$A60)="N/A",0,RTD("tos.rtd",,$A$2,"."&amp;M$43&amp;M$1&amp;"P"&amp;$A60))</f>
        <v>86</v>
      </c>
      <c r="N60" s="56">
        <f ca="1">IF(RTD("tos.rtd",,$A$2,"."&amp;N$43&amp;N$1&amp;"C"&amp;$A60)="N/A",0,RTD("tos.rtd",,$A$2,"."&amp;N$43&amp;N$1&amp;"C"&amp;$A60))-IF(RTD("tos.rtd",,$A$2,"."&amp;N$43&amp;N$1&amp;"P"&amp;$A60)="N/A",0,RTD("tos.rtd",,$A$2,"."&amp;N$43&amp;N$1&amp;"P"&amp;$A60))</f>
        <v>0</v>
      </c>
      <c r="O60" s="56">
        <f ca="1">IF(RTD("tos.rtd",,$A$2,"."&amp;O$43&amp;O$1&amp;"C"&amp;$A60)="N/A",0,RTD("tos.rtd",,$A$2,"."&amp;O$43&amp;O$1&amp;"C"&amp;$A60))-IF(RTD("tos.rtd",,$A$2,"."&amp;O$43&amp;O$1&amp;"P"&amp;$A60)="N/A",0,RTD("tos.rtd",,$A$2,"."&amp;O$43&amp;O$1&amp;"P"&amp;$A60))</f>
        <v>154</v>
      </c>
      <c r="P60" s="56">
        <f ca="1">IF(RTD("tos.rtd",,$A$2,"."&amp;P$43&amp;P$1&amp;"C"&amp;$A60)="N/A",0,RTD("tos.rtd",,$A$2,"."&amp;P$43&amp;P$1&amp;"C"&amp;$A60))-IF(RTD("tos.rtd",,$A$2,"."&amp;P$43&amp;P$1&amp;"P"&amp;$A60)="N/A",0,RTD("tos.rtd",,$A$2,"."&amp;P$43&amp;P$1&amp;"P"&amp;$A60))</f>
        <v>0</v>
      </c>
      <c r="Q60" s="56">
        <f ca="1">IF(RTD("tos.rtd",,$A$2,"."&amp;Q$43&amp;Q$1&amp;"C"&amp;$A60)="N/A",0,RTD("tos.rtd",,$A$2,"."&amp;Q$43&amp;Q$1&amp;"C"&amp;$A60))-IF(RTD("tos.rtd",,$A$2,"."&amp;Q$43&amp;Q$1&amp;"P"&amp;$A60)="N/A",0,RTD("tos.rtd",,$A$2,"."&amp;Q$43&amp;Q$1&amp;"P"&amp;$A60))</f>
        <v>0</v>
      </c>
      <c r="R60" s="56">
        <f ca="1">IF(RTD("tos.rtd",,$A$2,"."&amp;R$43&amp;R$1&amp;"C"&amp;$A60)="N/A",0,RTD("tos.rtd",,$A$2,"."&amp;R$43&amp;R$1&amp;"C"&amp;$A60))-IF(RTD("tos.rtd",,$A$2,"."&amp;R$43&amp;R$1&amp;"P"&amp;$A60)="N/A",0,RTD("tos.rtd",,$A$2,"."&amp;R$43&amp;R$1&amp;"P"&amp;$A60))</f>
        <v>0</v>
      </c>
      <c r="S60" s="56">
        <f ca="1">IF(RTD("tos.rtd",,$A$2,"."&amp;S$43&amp;S$1&amp;"C"&amp;$A60)="N/A",0,RTD("tos.rtd",,$A$2,"."&amp;S$43&amp;S$1&amp;"C"&amp;$A60))-IF(RTD("tos.rtd",,$A$2,"."&amp;S$43&amp;S$1&amp;"P"&amp;$A60)="N/A",0,RTD("tos.rtd",,$A$2,"."&amp;S$43&amp;S$1&amp;"P"&amp;$A60))</f>
        <v>0</v>
      </c>
      <c r="T60" s="56">
        <f ca="1">IF(RTD("tos.rtd",,$A$2,"."&amp;T$43&amp;T$1&amp;"C"&amp;$A60)="N/A",0,RTD("tos.rtd",,$A$2,"."&amp;T$43&amp;T$1&amp;"C"&amp;$A60))-IF(RTD("tos.rtd",,$A$2,"."&amp;T$43&amp;T$1&amp;"P"&amp;$A60)="N/A",0,RTD("tos.rtd",,$A$2,"."&amp;T$43&amp;T$1&amp;"P"&amp;$A60))</f>
        <v>0</v>
      </c>
      <c r="U60" s="56">
        <f ca="1">IF(RTD("tos.rtd",,$A$2,"."&amp;U$43&amp;U$1&amp;"C"&amp;$A60)="N/A",0,RTD("tos.rtd",,$A$2,"."&amp;U$43&amp;U$1&amp;"C"&amp;$A60))-IF(RTD("tos.rtd",,$A$2,"."&amp;U$43&amp;U$1&amp;"P"&amp;$A60)="N/A",0,RTD("tos.rtd",,$A$2,"."&amp;U$43&amp;U$1&amp;"P"&amp;$A60))</f>
        <v>0</v>
      </c>
      <c r="V60" s="56">
        <f ca="1">IF(RTD("tos.rtd",,$A$2,"."&amp;V$43&amp;V$1&amp;"C"&amp;$A60)="N/A",0,RTD("tos.rtd",,$A$2,"."&amp;V$43&amp;V$1&amp;"C"&amp;$A60))-IF(RTD("tos.rtd",,$A$2,"."&amp;V$43&amp;V$1&amp;"P"&amp;$A60)="N/A",0,RTD("tos.rtd",,$A$2,"."&amp;V$43&amp;V$1&amp;"P"&amp;$A60))</f>
        <v>0</v>
      </c>
      <c r="W60" s="56">
        <f ca="1">IF(RTD("tos.rtd",,$A$2,"."&amp;W$43&amp;W$1&amp;"C"&amp;$A60)="N/A",0,RTD("tos.rtd",,$A$2,"."&amp;W$43&amp;W$1&amp;"C"&amp;$A60))-IF(RTD("tos.rtd",,$A$2,"."&amp;W$43&amp;W$1&amp;"P"&amp;$A60)="N/A",0,RTD("tos.rtd",,$A$2,"."&amp;W$43&amp;W$1&amp;"P"&amp;$A60))</f>
        <v>0</v>
      </c>
      <c r="X60" s="56">
        <f ca="1">IF(RTD("tos.rtd",,$A$2,"."&amp;X$43&amp;X$1&amp;"C"&amp;$A60)="N/A",0,RTD("tos.rtd",,$A$2,"."&amp;X$43&amp;X$1&amp;"C"&amp;$A60))-IF(RTD("tos.rtd",,$A$2,"."&amp;X$43&amp;X$1&amp;"P"&amp;$A60)="N/A",0,RTD("tos.rtd",,$A$2,"."&amp;X$43&amp;X$1&amp;"P"&amp;$A60))</f>
        <v>0</v>
      </c>
      <c r="Y60" s="63">
        <f t="shared" ca="1" si="10"/>
        <v>50490</v>
      </c>
    </row>
    <row r="61" spans="1:25" x14ac:dyDescent="0.25">
      <c r="A61" s="58">
        <f>+Hoja1!A60</f>
        <v>614</v>
      </c>
      <c r="B61" s="56">
        <f ca="1">IF(RTD("tos.rtd",,$A$2,"."&amp;B$43&amp;B$1&amp;"C"&amp;$A61)="N/A",0,RTD("tos.rtd",,$A$2,"."&amp;B$43&amp;B$1&amp;"C"&amp;$A61))-IF(RTD("tos.rtd",,$A$2,"."&amp;B$43&amp;B$1&amp;"P"&amp;$A61)="N/A",0,RTD("tos.rtd",,$A$2,"."&amp;B$43&amp;B$1&amp;"P"&amp;$A61))</f>
        <v>28206</v>
      </c>
      <c r="C61" s="56">
        <f ca="1">IF(RTD("tos.rtd",,$A$2,"."&amp;C$43&amp;C$1&amp;"C"&amp;$A61)="N/A",0,RTD("tos.rtd",,$A$2,"."&amp;C$43&amp;C$1&amp;"C"&amp;$A61))-IF(RTD("tos.rtd",,$A$2,"."&amp;C$43&amp;C$1&amp;"P"&amp;$A61)="N/A",0,RTD("tos.rtd",,$A$2,"."&amp;C$43&amp;C$1&amp;"P"&amp;$A61))</f>
        <v>970</v>
      </c>
      <c r="D61" s="56">
        <f ca="1">IF(RTD("tos.rtd",,$A$2,"."&amp;D$43&amp;D$1&amp;"C"&amp;$A61)="N/A",0,RTD("tos.rtd",,$A$2,"."&amp;D$43&amp;D$1&amp;"C"&amp;$A61))-IF(RTD("tos.rtd",,$A$2,"."&amp;D$43&amp;D$1&amp;"P"&amp;$A61)="N/A",0,RTD("tos.rtd",,$A$2,"."&amp;D$43&amp;D$1&amp;"P"&amp;$A61))</f>
        <v>1308</v>
      </c>
      <c r="E61" s="56">
        <f ca="1">IF(RTD("tos.rtd",,$A$2,"."&amp;E$43&amp;E$1&amp;"C"&amp;$A61)="N/A",0,RTD("tos.rtd",,$A$2,"."&amp;E$43&amp;E$1&amp;"C"&amp;$A61))-IF(RTD("tos.rtd",,$A$2,"."&amp;E$43&amp;E$1&amp;"P"&amp;$A61)="N/A",0,RTD("tos.rtd",,$A$2,"."&amp;E$43&amp;E$1&amp;"P"&amp;$A61))</f>
        <v>106</v>
      </c>
      <c r="F61" s="56">
        <f ca="1">IF(RTD("tos.rtd",,$A$2,"."&amp;F$43&amp;F$1&amp;"C"&amp;$A61)="N/A",0,RTD("tos.rtd",,$A$2,"."&amp;F$43&amp;F$1&amp;"C"&amp;$A61))-IF(RTD("tos.rtd",,$A$2,"."&amp;F$43&amp;F$1&amp;"P"&amp;$A61)="N/A",0,RTD("tos.rtd",,$A$2,"."&amp;F$43&amp;F$1&amp;"P"&amp;$A61))</f>
        <v>0</v>
      </c>
      <c r="G61" s="56">
        <f ca="1">IF(RTD("tos.rtd",,$A$2,"."&amp;G$43&amp;G$1&amp;"C"&amp;$A61)="N/A",0,RTD("tos.rtd",,$A$2,"."&amp;G$43&amp;G$1&amp;"C"&amp;$A61))-IF(RTD("tos.rtd",,$A$2,"."&amp;G$43&amp;G$1&amp;"P"&amp;$A61)="N/A",0,RTD("tos.rtd",,$A$2,"."&amp;G$43&amp;G$1&amp;"P"&amp;$A61))</f>
        <v>0</v>
      </c>
      <c r="H61" s="56">
        <f ca="1">IF(RTD("tos.rtd",,$A$2,"."&amp;H$43&amp;H$1&amp;"C"&amp;$A61)="N/A",0,RTD("tos.rtd",,$A$2,"."&amp;H$43&amp;H$1&amp;"C"&amp;$A61))-IF(RTD("tos.rtd",,$A$2,"."&amp;H$43&amp;H$1&amp;"P"&amp;$A61)="N/A",0,RTD("tos.rtd",,$A$2,"."&amp;H$43&amp;H$1&amp;"P"&amp;$A61))</f>
        <v>9</v>
      </c>
      <c r="I61" s="56">
        <f ca="1">IF(RTD("tos.rtd",,$A$2,"."&amp;I$43&amp;I$1&amp;"C"&amp;$A61)="N/A",0,RTD("tos.rtd",,$A$2,"."&amp;I$43&amp;I$1&amp;"C"&amp;$A61))-IF(RTD("tos.rtd",,$A$2,"."&amp;I$43&amp;I$1&amp;"P"&amp;$A61)="N/A",0,RTD("tos.rtd",,$A$2,"."&amp;I$43&amp;I$1&amp;"P"&amp;$A61))</f>
        <v>-96</v>
      </c>
      <c r="J61" s="56">
        <f ca="1">IF(RTD("tos.rtd",,$A$2,"."&amp;J$43&amp;J$1&amp;"C"&amp;$A61)="N/A",0,RTD("tos.rtd",,$A$2,"."&amp;J$43&amp;J$1&amp;"C"&amp;$A61))-IF(RTD("tos.rtd",,$A$2,"."&amp;J$43&amp;J$1&amp;"P"&amp;$A61)="N/A",0,RTD("tos.rtd",,$A$2,"."&amp;J$43&amp;J$1&amp;"P"&amp;$A61))</f>
        <v>-66</v>
      </c>
      <c r="K61" s="56">
        <f ca="1">IF(RTD("tos.rtd",,$A$2,"."&amp;K$43&amp;K$1&amp;"C"&amp;$A61)="N/A",0,RTD("tos.rtd",,$A$2,"."&amp;K$43&amp;K$1&amp;"C"&amp;$A61))-IF(RTD("tos.rtd",,$A$2,"."&amp;K$43&amp;K$1&amp;"P"&amp;$A61)="N/A",0,RTD("tos.rtd",,$A$2,"."&amp;K$43&amp;K$1&amp;"P"&amp;$A61))</f>
        <v>48</v>
      </c>
      <c r="L61" s="56">
        <f ca="1">IF(RTD("tos.rtd",,$A$2,"."&amp;L$43&amp;L$1&amp;"C"&amp;$A61)="N/A",0,RTD("tos.rtd",,$A$2,"."&amp;L$43&amp;L$1&amp;"C"&amp;$A61))-IF(RTD("tos.rtd",,$A$2,"."&amp;L$43&amp;L$1&amp;"P"&amp;$A61)="N/A",0,RTD("tos.rtd",,$A$2,"."&amp;L$43&amp;L$1&amp;"P"&amp;$A61))</f>
        <v>0</v>
      </c>
      <c r="M61" s="56">
        <f ca="1">IF(RTD("tos.rtd",,$A$2,"."&amp;M$43&amp;M$1&amp;"C"&amp;$A61)="N/A",0,RTD("tos.rtd",,$A$2,"."&amp;M$43&amp;M$1&amp;"C"&amp;$A61))-IF(RTD("tos.rtd",,$A$2,"."&amp;M$43&amp;M$1&amp;"P"&amp;$A61)="N/A",0,RTD("tos.rtd",,$A$2,"."&amp;M$43&amp;M$1&amp;"P"&amp;$A61))</f>
        <v>67</v>
      </c>
      <c r="N61" s="56">
        <f ca="1">IF(RTD("tos.rtd",,$A$2,"."&amp;N$43&amp;N$1&amp;"C"&amp;$A61)="N/A",0,RTD("tos.rtd",,$A$2,"."&amp;N$43&amp;N$1&amp;"C"&amp;$A61))-IF(RTD("tos.rtd",,$A$2,"."&amp;N$43&amp;N$1&amp;"P"&amp;$A61)="N/A",0,RTD("tos.rtd",,$A$2,"."&amp;N$43&amp;N$1&amp;"P"&amp;$A61))</f>
        <v>0</v>
      </c>
      <c r="O61" s="56">
        <f ca="1">IF(RTD("tos.rtd",,$A$2,"."&amp;O$43&amp;O$1&amp;"C"&amp;$A61)="N/A",0,RTD("tos.rtd",,$A$2,"."&amp;O$43&amp;O$1&amp;"C"&amp;$A61))-IF(RTD("tos.rtd",,$A$2,"."&amp;O$43&amp;O$1&amp;"P"&amp;$A61)="N/A",0,RTD("tos.rtd",,$A$2,"."&amp;O$43&amp;O$1&amp;"P"&amp;$A61))</f>
        <v>-69</v>
      </c>
      <c r="P61" s="56">
        <f ca="1">IF(RTD("tos.rtd",,$A$2,"."&amp;P$43&amp;P$1&amp;"C"&amp;$A61)="N/A",0,RTD("tos.rtd",,$A$2,"."&amp;P$43&amp;P$1&amp;"C"&amp;$A61))-IF(RTD("tos.rtd",,$A$2,"."&amp;P$43&amp;P$1&amp;"P"&amp;$A61)="N/A",0,RTD("tos.rtd",,$A$2,"."&amp;P$43&amp;P$1&amp;"P"&amp;$A61))</f>
        <v>0</v>
      </c>
      <c r="Q61" s="56">
        <f ca="1">IF(RTD("tos.rtd",,$A$2,"."&amp;Q$43&amp;Q$1&amp;"C"&amp;$A61)="N/A",0,RTD("tos.rtd",,$A$2,"."&amp;Q$43&amp;Q$1&amp;"C"&amp;$A61))-IF(RTD("tos.rtd",,$A$2,"."&amp;Q$43&amp;Q$1&amp;"P"&amp;$A61)="N/A",0,RTD("tos.rtd",,$A$2,"."&amp;Q$43&amp;Q$1&amp;"P"&amp;$A61))</f>
        <v>0</v>
      </c>
      <c r="R61" s="56">
        <f ca="1">IF(RTD("tos.rtd",,$A$2,"."&amp;R$43&amp;R$1&amp;"C"&amp;$A61)="N/A",0,RTD("tos.rtd",,$A$2,"."&amp;R$43&amp;R$1&amp;"C"&amp;$A61))-IF(RTD("tos.rtd",,$A$2,"."&amp;R$43&amp;R$1&amp;"P"&amp;$A61)="N/A",0,RTD("tos.rtd",,$A$2,"."&amp;R$43&amp;R$1&amp;"P"&amp;$A61))</f>
        <v>0</v>
      </c>
      <c r="S61" s="56">
        <f ca="1">IF(RTD("tos.rtd",,$A$2,"."&amp;S$43&amp;S$1&amp;"C"&amp;$A61)="N/A",0,RTD("tos.rtd",,$A$2,"."&amp;S$43&amp;S$1&amp;"C"&amp;$A61))-IF(RTD("tos.rtd",,$A$2,"."&amp;S$43&amp;S$1&amp;"P"&amp;$A61)="N/A",0,RTD("tos.rtd",,$A$2,"."&amp;S$43&amp;S$1&amp;"P"&amp;$A61))</f>
        <v>0</v>
      </c>
      <c r="T61" s="56">
        <f ca="1">IF(RTD("tos.rtd",,$A$2,"."&amp;T$43&amp;T$1&amp;"C"&amp;$A61)="N/A",0,RTD("tos.rtd",,$A$2,"."&amp;T$43&amp;T$1&amp;"C"&amp;$A61))-IF(RTD("tos.rtd",,$A$2,"."&amp;T$43&amp;T$1&amp;"P"&amp;$A61)="N/A",0,RTD("tos.rtd",,$A$2,"."&amp;T$43&amp;T$1&amp;"P"&amp;$A61))</f>
        <v>0</v>
      </c>
      <c r="U61" s="56">
        <f ca="1">IF(RTD("tos.rtd",,$A$2,"."&amp;U$43&amp;U$1&amp;"C"&amp;$A61)="N/A",0,RTD("tos.rtd",,$A$2,"."&amp;U$43&amp;U$1&amp;"C"&amp;$A61))-IF(RTD("tos.rtd",,$A$2,"."&amp;U$43&amp;U$1&amp;"P"&amp;$A61)="N/A",0,RTD("tos.rtd",,$A$2,"."&amp;U$43&amp;U$1&amp;"P"&amp;$A61))</f>
        <v>0</v>
      </c>
      <c r="V61" s="56">
        <f ca="1">IF(RTD("tos.rtd",,$A$2,"."&amp;V$43&amp;V$1&amp;"C"&amp;$A61)="N/A",0,RTD("tos.rtd",,$A$2,"."&amp;V$43&amp;V$1&amp;"C"&amp;$A61))-IF(RTD("tos.rtd",,$A$2,"."&amp;V$43&amp;V$1&amp;"P"&amp;$A61)="N/A",0,RTD("tos.rtd",,$A$2,"."&amp;V$43&amp;V$1&amp;"P"&amp;$A61))</f>
        <v>0</v>
      </c>
      <c r="W61" s="56">
        <f ca="1">IF(RTD("tos.rtd",,$A$2,"."&amp;W$43&amp;W$1&amp;"C"&amp;$A61)="N/A",0,RTD("tos.rtd",,$A$2,"."&amp;W$43&amp;W$1&amp;"C"&amp;$A61))-IF(RTD("tos.rtd",,$A$2,"."&amp;W$43&amp;W$1&amp;"P"&amp;$A61)="N/A",0,RTD("tos.rtd",,$A$2,"."&amp;W$43&amp;W$1&amp;"P"&amp;$A61))</f>
        <v>0</v>
      </c>
      <c r="X61" s="56">
        <f ca="1">IF(RTD("tos.rtd",,$A$2,"."&amp;X$43&amp;X$1&amp;"C"&amp;$A61)="N/A",0,RTD("tos.rtd",,$A$2,"."&amp;X$43&amp;X$1&amp;"C"&amp;$A61))-IF(RTD("tos.rtd",,$A$2,"."&amp;X$43&amp;X$1&amp;"P"&amp;$A61)="N/A",0,RTD("tos.rtd",,$A$2,"."&amp;X$43&amp;X$1&amp;"P"&amp;$A61))</f>
        <v>0</v>
      </c>
      <c r="Y61" s="63">
        <f t="shared" ca="1" si="10"/>
        <v>30483</v>
      </c>
    </row>
    <row r="62" spans="1:25" x14ac:dyDescent="0.25">
      <c r="A62" s="58">
        <f>+Hoja1!A61</f>
        <v>613</v>
      </c>
      <c r="B62" s="56">
        <f ca="1">IF(RTD("tos.rtd",,$A$2,"."&amp;B$43&amp;B$1&amp;"C"&amp;$A62)="N/A",0,RTD("tos.rtd",,$A$2,"."&amp;B$43&amp;B$1&amp;"C"&amp;$A62))-IF(RTD("tos.rtd",,$A$2,"."&amp;B$43&amp;B$1&amp;"P"&amp;$A62)="N/A",0,RTD("tos.rtd",,$A$2,"."&amp;B$43&amp;B$1&amp;"P"&amp;$A62))</f>
        <v>8735</v>
      </c>
      <c r="C62" s="56">
        <f ca="1">IF(RTD("tos.rtd",,$A$2,"."&amp;C$43&amp;C$1&amp;"C"&amp;$A62)="N/A",0,RTD("tos.rtd",,$A$2,"."&amp;C$43&amp;C$1&amp;"C"&amp;$A62))-IF(RTD("tos.rtd",,$A$2,"."&amp;C$43&amp;C$1&amp;"P"&amp;$A62)="N/A",0,RTD("tos.rtd",,$A$2,"."&amp;C$43&amp;C$1&amp;"P"&amp;$A62))</f>
        <v>1356</v>
      </c>
      <c r="D62" s="56">
        <f ca="1">IF(RTD("tos.rtd",,$A$2,"."&amp;D$43&amp;D$1&amp;"C"&amp;$A62)="N/A",0,RTD("tos.rtd",,$A$2,"."&amp;D$43&amp;D$1&amp;"C"&amp;$A62))-IF(RTD("tos.rtd",,$A$2,"."&amp;D$43&amp;D$1&amp;"P"&amp;$A62)="N/A",0,RTD("tos.rtd",,$A$2,"."&amp;D$43&amp;D$1&amp;"P"&amp;$A62))</f>
        <v>5427</v>
      </c>
      <c r="E62" s="56">
        <f ca="1">IF(RTD("tos.rtd",,$A$2,"."&amp;E$43&amp;E$1&amp;"C"&amp;$A62)="N/A",0,RTD("tos.rtd",,$A$2,"."&amp;E$43&amp;E$1&amp;"C"&amp;$A62))-IF(RTD("tos.rtd",,$A$2,"."&amp;E$43&amp;E$1&amp;"P"&amp;$A62)="N/A",0,RTD("tos.rtd",,$A$2,"."&amp;E$43&amp;E$1&amp;"P"&amp;$A62))</f>
        <v>84</v>
      </c>
      <c r="F62" s="56">
        <f ca="1">IF(RTD("tos.rtd",,$A$2,"."&amp;F$43&amp;F$1&amp;"C"&amp;$A62)="N/A",0,RTD("tos.rtd",,$A$2,"."&amp;F$43&amp;F$1&amp;"C"&amp;$A62))-IF(RTD("tos.rtd",,$A$2,"."&amp;F$43&amp;F$1&amp;"P"&amp;$A62)="N/A",0,RTD("tos.rtd",,$A$2,"."&amp;F$43&amp;F$1&amp;"P"&amp;$A62))</f>
        <v>0</v>
      </c>
      <c r="G62" s="56">
        <f ca="1">IF(RTD("tos.rtd",,$A$2,"."&amp;G$43&amp;G$1&amp;"C"&amp;$A62)="N/A",0,RTD("tos.rtd",,$A$2,"."&amp;G$43&amp;G$1&amp;"C"&amp;$A62))-IF(RTD("tos.rtd",,$A$2,"."&amp;G$43&amp;G$1&amp;"P"&amp;$A62)="N/A",0,RTD("tos.rtd",,$A$2,"."&amp;G$43&amp;G$1&amp;"P"&amp;$A62))</f>
        <v>0</v>
      </c>
      <c r="H62" s="56">
        <f ca="1">IF(RTD("tos.rtd",,$A$2,"."&amp;H$43&amp;H$1&amp;"C"&amp;$A62)="N/A",0,RTD("tos.rtd",,$A$2,"."&amp;H$43&amp;H$1&amp;"C"&amp;$A62))-IF(RTD("tos.rtd",,$A$2,"."&amp;H$43&amp;H$1&amp;"P"&amp;$A62)="N/A",0,RTD("tos.rtd",,$A$2,"."&amp;H$43&amp;H$1&amp;"P"&amp;$A62))</f>
        <v>-343</v>
      </c>
      <c r="I62" s="56">
        <f ca="1">IF(RTD("tos.rtd",,$A$2,"."&amp;I$43&amp;I$1&amp;"C"&amp;$A62)="N/A",0,RTD("tos.rtd",,$A$2,"."&amp;I$43&amp;I$1&amp;"C"&amp;$A62))-IF(RTD("tos.rtd",,$A$2,"."&amp;I$43&amp;I$1&amp;"P"&amp;$A62)="N/A",0,RTD("tos.rtd",,$A$2,"."&amp;I$43&amp;I$1&amp;"P"&amp;$A62))</f>
        <v>3</v>
      </c>
      <c r="J62" s="56">
        <f ca="1">IF(RTD("tos.rtd",,$A$2,"."&amp;J$43&amp;J$1&amp;"C"&amp;$A62)="N/A",0,RTD("tos.rtd",,$A$2,"."&amp;J$43&amp;J$1&amp;"C"&amp;$A62))-IF(RTD("tos.rtd",,$A$2,"."&amp;J$43&amp;J$1&amp;"P"&amp;$A62)="N/A",0,RTD("tos.rtd",,$A$2,"."&amp;J$43&amp;J$1&amp;"P"&amp;$A62))</f>
        <v>13</v>
      </c>
      <c r="K62" s="56">
        <f ca="1">IF(RTD("tos.rtd",,$A$2,"."&amp;K$43&amp;K$1&amp;"C"&amp;$A62)="N/A",0,RTD("tos.rtd",,$A$2,"."&amp;K$43&amp;K$1&amp;"C"&amp;$A62))-IF(RTD("tos.rtd",,$A$2,"."&amp;K$43&amp;K$1&amp;"P"&amp;$A62)="N/A",0,RTD("tos.rtd",,$A$2,"."&amp;K$43&amp;K$1&amp;"P"&amp;$A62))</f>
        <v>16</v>
      </c>
      <c r="L62" s="56">
        <f ca="1">IF(RTD("tos.rtd",,$A$2,"."&amp;L$43&amp;L$1&amp;"C"&amp;$A62)="N/A",0,RTD("tos.rtd",,$A$2,"."&amp;L$43&amp;L$1&amp;"C"&amp;$A62))-IF(RTD("tos.rtd",,$A$2,"."&amp;L$43&amp;L$1&amp;"P"&amp;$A62)="N/A",0,RTD("tos.rtd",,$A$2,"."&amp;L$43&amp;L$1&amp;"P"&amp;$A62))</f>
        <v>0</v>
      </c>
      <c r="M62" s="56">
        <f ca="1">IF(RTD("tos.rtd",,$A$2,"."&amp;M$43&amp;M$1&amp;"C"&amp;$A62)="N/A",0,RTD("tos.rtd",,$A$2,"."&amp;M$43&amp;M$1&amp;"C"&amp;$A62))-IF(RTD("tos.rtd",,$A$2,"."&amp;M$43&amp;M$1&amp;"P"&amp;$A62)="N/A",0,RTD("tos.rtd",,$A$2,"."&amp;M$43&amp;M$1&amp;"P"&amp;$A62))</f>
        <v>11</v>
      </c>
      <c r="N62" s="56">
        <f ca="1">IF(RTD("tos.rtd",,$A$2,"."&amp;N$43&amp;N$1&amp;"C"&amp;$A62)="N/A",0,RTD("tos.rtd",,$A$2,"."&amp;N$43&amp;N$1&amp;"C"&amp;$A62))-IF(RTD("tos.rtd",,$A$2,"."&amp;N$43&amp;N$1&amp;"P"&amp;$A62)="N/A",0,RTD("tos.rtd",,$A$2,"."&amp;N$43&amp;N$1&amp;"P"&amp;$A62))</f>
        <v>0</v>
      </c>
      <c r="O62" s="56">
        <f ca="1">IF(RTD("tos.rtd",,$A$2,"."&amp;O$43&amp;O$1&amp;"C"&amp;$A62)="N/A",0,RTD("tos.rtd",,$A$2,"."&amp;O$43&amp;O$1&amp;"C"&amp;$A62))-IF(RTD("tos.rtd",,$A$2,"."&amp;O$43&amp;O$1&amp;"P"&amp;$A62)="N/A",0,RTD("tos.rtd",,$A$2,"."&amp;O$43&amp;O$1&amp;"P"&amp;$A62))</f>
        <v>782</v>
      </c>
      <c r="P62" s="56">
        <f ca="1">IF(RTD("tos.rtd",,$A$2,"."&amp;P$43&amp;P$1&amp;"C"&amp;$A62)="N/A",0,RTD("tos.rtd",,$A$2,"."&amp;P$43&amp;P$1&amp;"C"&amp;$A62))-IF(RTD("tos.rtd",,$A$2,"."&amp;P$43&amp;P$1&amp;"P"&amp;$A62)="N/A",0,RTD("tos.rtd",,$A$2,"."&amp;P$43&amp;P$1&amp;"P"&amp;$A62))</f>
        <v>0</v>
      </c>
      <c r="Q62" s="56">
        <f ca="1">IF(RTD("tos.rtd",,$A$2,"."&amp;Q$43&amp;Q$1&amp;"C"&amp;$A62)="N/A",0,RTD("tos.rtd",,$A$2,"."&amp;Q$43&amp;Q$1&amp;"C"&amp;$A62))-IF(RTD("tos.rtd",,$A$2,"."&amp;Q$43&amp;Q$1&amp;"P"&amp;$A62)="N/A",0,RTD("tos.rtd",,$A$2,"."&amp;Q$43&amp;Q$1&amp;"P"&amp;$A62))</f>
        <v>0</v>
      </c>
      <c r="R62" s="56">
        <f ca="1">IF(RTD("tos.rtd",,$A$2,"."&amp;R$43&amp;R$1&amp;"C"&amp;$A62)="N/A",0,RTD("tos.rtd",,$A$2,"."&amp;R$43&amp;R$1&amp;"C"&amp;$A62))-IF(RTD("tos.rtd",,$A$2,"."&amp;R$43&amp;R$1&amp;"P"&amp;$A62)="N/A",0,RTD("tos.rtd",,$A$2,"."&amp;R$43&amp;R$1&amp;"P"&amp;$A62))</f>
        <v>0</v>
      </c>
      <c r="S62" s="56">
        <f ca="1">IF(RTD("tos.rtd",,$A$2,"."&amp;S$43&amp;S$1&amp;"C"&amp;$A62)="N/A",0,RTD("tos.rtd",,$A$2,"."&amp;S$43&amp;S$1&amp;"C"&amp;$A62))-IF(RTD("tos.rtd",,$A$2,"."&amp;S$43&amp;S$1&amp;"P"&amp;$A62)="N/A",0,RTD("tos.rtd",,$A$2,"."&amp;S$43&amp;S$1&amp;"P"&amp;$A62))</f>
        <v>0</v>
      </c>
      <c r="T62" s="56">
        <f ca="1">IF(RTD("tos.rtd",,$A$2,"."&amp;T$43&amp;T$1&amp;"C"&amp;$A62)="N/A",0,RTD("tos.rtd",,$A$2,"."&amp;T$43&amp;T$1&amp;"C"&amp;$A62))-IF(RTD("tos.rtd",,$A$2,"."&amp;T$43&amp;T$1&amp;"P"&amp;$A62)="N/A",0,RTD("tos.rtd",,$A$2,"."&amp;T$43&amp;T$1&amp;"P"&amp;$A62))</f>
        <v>0</v>
      </c>
      <c r="U62" s="56">
        <f ca="1">IF(RTD("tos.rtd",,$A$2,"."&amp;U$43&amp;U$1&amp;"C"&amp;$A62)="N/A",0,RTD("tos.rtd",,$A$2,"."&amp;U$43&amp;U$1&amp;"C"&amp;$A62))-IF(RTD("tos.rtd",,$A$2,"."&amp;U$43&amp;U$1&amp;"P"&amp;$A62)="N/A",0,RTD("tos.rtd",,$A$2,"."&amp;U$43&amp;U$1&amp;"P"&amp;$A62))</f>
        <v>0</v>
      </c>
      <c r="V62" s="56">
        <f ca="1">IF(RTD("tos.rtd",,$A$2,"."&amp;V$43&amp;V$1&amp;"C"&amp;$A62)="N/A",0,RTD("tos.rtd",,$A$2,"."&amp;V$43&amp;V$1&amp;"C"&amp;$A62))-IF(RTD("tos.rtd",,$A$2,"."&amp;V$43&amp;V$1&amp;"P"&amp;$A62)="N/A",0,RTD("tos.rtd",,$A$2,"."&amp;V$43&amp;V$1&amp;"P"&amp;$A62))</f>
        <v>0</v>
      </c>
      <c r="W62" s="56">
        <f ca="1">IF(RTD("tos.rtd",,$A$2,"."&amp;W$43&amp;W$1&amp;"C"&amp;$A62)="N/A",0,RTD("tos.rtd",,$A$2,"."&amp;W$43&amp;W$1&amp;"C"&amp;$A62))-IF(RTD("tos.rtd",,$A$2,"."&amp;W$43&amp;W$1&amp;"P"&amp;$A62)="N/A",0,RTD("tos.rtd",,$A$2,"."&amp;W$43&amp;W$1&amp;"P"&amp;$A62))</f>
        <v>0</v>
      </c>
      <c r="X62" s="56">
        <f ca="1">IF(RTD("tos.rtd",,$A$2,"."&amp;X$43&amp;X$1&amp;"C"&amp;$A62)="N/A",0,RTD("tos.rtd",,$A$2,"."&amp;X$43&amp;X$1&amp;"C"&amp;$A62))-IF(RTD("tos.rtd",,$A$2,"."&amp;X$43&amp;X$1&amp;"P"&amp;$A62)="N/A",0,RTD("tos.rtd",,$A$2,"."&amp;X$43&amp;X$1&amp;"P"&amp;$A62))</f>
        <v>0</v>
      </c>
      <c r="Y62" s="63">
        <f t="shared" ca="1" si="10"/>
        <v>16084</v>
      </c>
    </row>
    <row r="63" spans="1:25" x14ac:dyDescent="0.25">
      <c r="A63" s="58">
        <f>+Hoja1!A62</f>
        <v>612</v>
      </c>
      <c r="B63" s="56">
        <f ca="1">IF(RTD("tos.rtd",,$A$2,"."&amp;B$43&amp;B$1&amp;"C"&amp;$A63)="N/A",0,RTD("tos.rtd",,$A$2,"."&amp;B$43&amp;B$1&amp;"C"&amp;$A63))-IF(RTD("tos.rtd",,$A$2,"."&amp;B$43&amp;B$1&amp;"P"&amp;$A63)="N/A",0,RTD("tos.rtd",,$A$2,"."&amp;B$43&amp;B$1&amp;"P"&amp;$A63))</f>
        <v>16639</v>
      </c>
      <c r="C63" s="56">
        <f ca="1">IF(RTD("tos.rtd",,$A$2,"."&amp;C$43&amp;C$1&amp;"C"&amp;$A63)="N/A",0,RTD("tos.rtd",,$A$2,"."&amp;C$43&amp;C$1&amp;"C"&amp;$A63))-IF(RTD("tos.rtd",,$A$2,"."&amp;C$43&amp;C$1&amp;"P"&amp;$A63)="N/A",0,RTD("tos.rtd",,$A$2,"."&amp;C$43&amp;C$1&amp;"P"&amp;$A63))</f>
        <v>1246</v>
      </c>
      <c r="D63" s="56">
        <f ca="1">IF(RTD("tos.rtd",,$A$2,"."&amp;D$43&amp;D$1&amp;"C"&amp;$A63)="N/A",0,RTD("tos.rtd",,$A$2,"."&amp;D$43&amp;D$1&amp;"C"&amp;$A63))-IF(RTD("tos.rtd",,$A$2,"."&amp;D$43&amp;D$1&amp;"P"&amp;$A63)="N/A",0,RTD("tos.rtd",,$A$2,"."&amp;D$43&amp;D$1&amp;"P"&amp;$A63))</f>
        <v>2979</v>
      </c>
      <c r="E63" s="56">
        <f ca="1">IF(RTD("tos.rtd",,$A$2,"."&amp;E$43&amp;E$1&amp;"C"&amp;$A63)="N/A",0,RTD("tos.rtd",,$A$2,"."&amp;E$43&amp;E$1&amp;"C"&amp;$A63))-IF(RTD("tos.rtd",,$A$2,"."&amp;E$43&amp;E$1&amp;"P"&amp;$A63)="N/A",0,RTD("tos.rtd",,$A$2,"."&amp;E$43&amp;E$1&amp;"P"&amp;$A63))</f>
        <v>36</v>
      </c>
      <c r="F63" s="56">
        <f ca="1">IF(RTD("tos.rtd",,$A$2,"."&amp;F$43&amp;F$1&amp;"C"&amp;$A63)="N/A",0,RTD("tos.rtd",,$A$2,"."&amp;F$43&amp;F$1&amp;"C"&amp;$A63))-IF(RTD("tos.rtd",,$A$2,"."&amp;F$43&amp;F$1&amp;"P"&amp;$A63)="N/A",0,RTD("tos.rtd",,$A$2,"."&amp;F$43&amp;F$1&amp;"P"&amp;$A63))</f>
        <v>0</v>
      </c>
      <c r="G63" s="56">
        <f ca="1">IF(RTD("tos.rtd",,$A$2,"."&amp;G$43&amp;G$1&amp;"C"&amp;$A63)="N/A",0,RTD("tos.rtd",,$A$2,"."&amp;G$43&amp;G$1&amp;"C"&amp;$A63))-IF(RTD("tos.rtd",,$A$2,"."&amp;G$43&amp;G$1&amp;"P"&amp;$A63)="N/A",0,RTD("tos.rtd",,$A$2,"."&amp;G$43&amp;G$1&amp;"P"&amp;$A63))</f>
        <v>0</v>
      </c>
      <c r="H63" s="56">
        <f ca="1">IF(RTD("tos.rtd",,$A$2,"."&amp;H$43&amp;H$1&amp;"C"&amp;$A63)="N/A",0,RTD("tos.rtd",,$A$2,"."&amp;H$43&amp;H$1&amp;"C"&amp;$A63))-IF(RTD("tos.rtd",,$A$2,"."&amp;H$43&amp;H$1&amp;"P"&amp;$A63)="N/A",0,RTD("tos.rtd",,$A$2,"."&amp;H$43&amp;H$1&amp;"P"&amp;$A63))</f>
        <v>260</v>
      </c>
      <c r="I63" s="56">
        <f ca="1">IF(RTD("tos.rtd",,$A$2,"."&amp;I$43&amp;I$1&amp;"C"&amp;$A63)="N/A",0,RTD("tos.rtd",,$A$2,"."&amp;I$43&amp;I$1&amp;"C"&amp;$A63))-IF(RTD("tos.rtd",,$A$2,"."&amp;I$43&amp;I$1&amp;"P"&amp;$A63)="N/A",0,RTD("tos.rtd",,$A$2,"."&amp;I$43&amp;I$1&amp;"P"&amp;$A63))</f>
        <v>591</v>
      </c>
      <c r="J63" s="56">
        <f ca="1">IF(RTD("tos.rtd",,$A$2,"."&amp;J$43&amp;J$1&amp;"C"&amp;$A63)="N/A",0,RTD("tos.rtd",,$A$2,"."&amp;J$43&amp;J$1&amp;"C"&amp;$A63))-IF(RTD("tos.rtd",,$A$2,"."&amp;J$43&amp;J$1&amp;"P"&amp;$A63)="N/A",0,RTD("tos.rtd",,$A$2,"."&amp;J$43&amp;J$1&amp;"P"&amp;$A63))</f>
        <v>88</v>
      </c>
      <c r="K63" s="56">
        <f ca="1">IF(RTD("tos.rtd",,$A$2,"."&amp;K$43&amp;K$1&amp;"C"&amp;$A63)="N/A",0,RTD("tos.rtd",,$A$2,"."&amp;K$43&amp;K$1&amp;"C"&amp;$A63))-IF(RTD("tos.rtd",,$A$2,"."&amp;K$43&amp;K$1&amp;"P"&amp;$A63)="N/A",0,RTD("tos.rtd",,$A$2,"."&amp;K$43&amp;K$1&amp;"P"&amp;$A63))</f>
        <v>-72</v>
      </c>
      <c r="L63" s="56">
        <f ca="1">IF(RTD("tos.rtd",,$A$2,"."&amp;L$43&amp;L$1&amp;"C"&amp;$A63)="N/A",0,RTD("tos.rtd",,$A$2,"."&amp;L$43&amp;L$1&amp;"C"&amp;$A63))-IF(RTD("tos.rtd",,$A$2,"."&amp;L$43&amp;L$1&amp;"P"&amp;$A63)="N/A",0,RTD("tos.rtd",,$A$2,"."&amp;L$43&amp;L$1&amp;"P"&amp;$A63))</f>
        <v>0</v>
      </c>
      <c r="M63" s="56">
        <f ca="1">IF(RTD("tos.rtd",,$A$2,"."&amp;M$43&amp;M$1&amp;"C"&amp;$A63)="N/A",0,RTD("tos.rtd",,$A$2,"."&amp;M$43&amp;M$1&amp;"C"&amp;$A63))-IF(RTD("tos.rtd",,$A$2,"."&amp;M$43&amp;M$1&amp;"P"&amp;$A63)="N/A",0,RTD("tos.rtd",,$A$2,"."&amp;M$43&amp;M$1&amp;"P"&amp;$A63))</f>
        <v>26</v>
      </c>
      <c r="N63" s="56">
        <f ca="1">IF(RTD("tos.rtd",,$A$2,"."&amp;N$43&amp;N$1&amp;"C"&amp;$A63)="N/A",0,RTD("tos.rtd",,$A$2,"."&amp;N$43&amp;N$1&amp;"C"&amp;$A63))-IF(RTD("tos.rtd",,$A$2,"."&amp;N$43&amp;N$1&amp;"P"&amp;$A63)="N/A",0,RTD("tos.rtd",,$A$2,"."&amp;N$43&amp;N$1&amp;"P"&amp;$A63))</f>
        <v>0</v>
      </c>
      <c r="O63" s="56">
        <f ca="1">IF(RTD("tos.rtd",,$A$2,"."&amp;O$43&amp;O$1&amp;"C"&amp;$A63)="N/A",0,RTD("tos.rtd",,$A$2,"."&amp;O$43&amp;O$1&amp;"C"&amp;$A63))-IF(RTD("tos.rtd",,$A$2,"."&amp;O$43&amp;O$1&amp;"P"&amp;$A63)="N/A",0,RTD("tos.rtd",,$A$2,"."&amp;O$43&amp;O$1&amp;"P"&amp;$A63))</f>
        <v>-183</v>
      </c>
      <c r="P63" s="56">
        <f ca="1">IF(RTD("tos.rtd",,$A$2,"."&amp;P$43&amp;P$1&amp;"C"&amp;$A63)="N/A",0,RTD("tos.rtd",,$A$2,"."&amp;P$43&amp;P$1&amp;"C"&amp;$A63))-IF(RTD("tos.rtd",,$A$2,"."&amp;P$43&amp;P$1&amp;"P"&amp;$A63)="N/A",0,RTD("tos.rtd",,$A$2,"."&amp;P$43&amp;P$1&amp;"P"&amp;$A63))</f>
        <v>0</v>
      </c>
      <c r="Q63" s="56">
        <f ca="1">IF(RTD("tos.rtd",,$A$2,"."&amp;Q$43&amp;Q$1&amp;"C"&amp;$A63)="N/A",0,RTD("tos.rtd",,$A$2,"."&amp;Q$43&amp;Q$1&amp;"C"&amp;$A63))-IF(RTD("tos.rtd",,$A$2,"."&amp;Q$43&amp;Q$1&amp;"P"&amp;$A63)="N/A",0,RTD("tos.rtd",,$A$2,"."&amp;Q$43&amp;Q$1&amp;"P"&amp;$A63))</f>
        <v>0</v>
      </c>
      <c r="R63" s="56">
        <f ca="1">IF(RTD("tos.rtd",,$A$2,"."&amp;R$43&amp;R$1&amp;"C"&amp;$A63)="N/A",0,RTD("tos.rtd",,$A$2,"."&amp;R$43&amp;R$1&amp;"C"&amp;$A63))-IF(RTD("tos.rtd",,$A$2,"."&amp;R$43&amp;R$1&amp;"P"&amp;$A63)="N/A",0,RTD("tos.rtd",,$A$2,"."&amp;R$43&amp;R$1&amp;"P"&amp;$A63))</f>
        <v>0</v>
      </c>
      <c r="S63" s="56">
        <f ca="1">IF(RTD("tos.rtd",,$A$2,"."&amp;S$43&amp;S$1&amp;"C"&amp;$A63)="N/A",0,RTD("tos.rtd",,$A$2,"."&amp;S$43&amp;S$1&amp;"C"&amp;$A63))-IF(RTD("tos.rtd",,$A$2,"."&amp;S$43&amp;S$1&amp;"P"&amp;$A63)="N/A",0,RTD("tos.rtd",,$A$2,"."&amp;S$43&amp;S$1&amp;"P"&amp;$A63))</f>
        <v>0</v>
      </c>
      <c r="T63" s="56">
        <f ca="1">IF(RTD("tos.rtd",,$A$2,"."&amp;T$43&amp;T$1&amp;"C"&amp;$A63)="N/A",0,RTD("tos.rtd",,$A$2,"."&amp;T$43&amp;T$1&amp;"C"&amp;$A63))-IF(RTD("tos.rtd",,$A$2,"."&amp;T$43&amp;T$1&amp;"P"&amp;$A63)="N/A",0,RTD("tos.rtd",,$A$2,"."&amp;T$43&amp;T$1&amp;"P"&amp;$A63))</f>
        <v>0</v>
      </c>
      <c r="U63" s="56">
        <f ca="1">IF(RTD("tos.rtd",,$A$2,"."&amp;U$43&amp;U$1&amp;"C"&amp;$A63)="N/A",0,RTD("tos.rtd",,$A$2,"."&amp;U$43&amp;U$1&amp;"C"&amp;$A63))-IF(RTD("tos.rtd",,$A$2,"."&amp;U$43&amp;U$1&amp;"P"&amp;$A63)="N/A",0,RTD("tos.rtd",,$A$2,"."&amp;U$43&amp;U$1&amp;"P"&amp;$A63))</f>
        <v>0</v>
      </c>
      <c r="V63" s="56">
        <f ca="1">IF(RTD("tos.rtd",,$A$2,"."&amp;V$43&amp;V$1&amp;"C"&amp;$A63)="N/A",0,RTD("tos.rtd",,$A$2,"."&amp;V$43&amp;V$1&amp;"C"&amp;$A63))-IF(RTD("tos.rtd",,$A$2,"."&amp;V$43&amp;V$1&amp;"P"&amp;$A63)="N/A",0,RTD("tos.rtd",,$A$2,"."&amp;V$43&amp;V$1&amp;"P"&amp;$A63))</f>
        <v>0</v>
      </c>
      <c r="W63" s="56">
        <f ca="1">IF(RTD("tos.rtd",,$A$2,"."&amp;W$43&amp;W$1&amp;"C"&amp;$A63)="N/A",0,RTD("tos.rtd",,$A$2,"."&amp;W$43&amp;W$1&amp;"C"&amp;$A63))-IF(RTD("tos.rtd",,$A$2,"."&amp;W$43&amp;W$1&amp;"P"&amp;$A63)="N/A",0,RTD("tos.rtd",,$A$2,"."&amp;W$43&amp;W$1&amp;"P"&amp;$A63))</f>
        <v>0</v>
      </c>
      <c r="X63" s="56">
        <f ca="1">IF(RTD("tos.rtd",,$A$2,"."&amp;X$43&amp;X$1&amp;"C"&amp;$A63)="N/A",0,RTD("tos.rtd",,$A$2,"."&amp;X$43&amp;X$1&amp;"C"&amp;$A63))-IF(RTD("tos.rtd",,$A$2,"."&amp;X$43&amp;X$1&amp;"P"&amp;$A63)="N/A",0,RTD("tos.rtd",,$A$2,"."&amp;X$43&amp;X$1&amp;"P"&amp;$A63))</f>
        <v>0</v>
      </c>
      <c r="Y63" s="63">
        <f t="shared" ca="1" si="10"/>
        <v>21610</v>
      </c>
    </row>
    <row r="64" spans="1:25" x14ac:dyDescent="0.25">
      <c r="A64" s="58">
        <f>+Hoja1!A63</f>
        <v>611</v>
      </c>
      <c r="B64" s="56">
        <f ca="1">IF(RTD("tos.rtd",,$A$2,"."&amp;B$43&amp;B$1&amp;"C"&amp;$A64)="N/A",0,RTD("tos.rtd",,$A$2,"."&amp;B$43&amp;B$1&amp;"C"&amp;$A64))-IF(RTD("tos.rtd",,$A$2,"."&amp;B$43&amp;B$1&amp;"P"&amp;$A64)="N/A",0,RTD("tos.rtd",,$A$2,"."&amp;B$43&amp;B$1&amp;"P"&amp;$A64))</f>
        <v>9384</v>
      </c>
      <c r="C64" s="56">
        <f ca="1">IF(RTD("tos.rtd",,$A$2,"."&amp;C$43&amp;C$1&amp;"C"&amp;$A64)="N/A",0,RTD("tos.rtd",,$A$2,"."&amp;C$43&amp;C$1&amp;"C"&amp;$A64))-IF(RTD("tos.rtd",,$A$2,"."&amp;C$43&amp;C$1&amp;"P"&amp;$A64)="N/A",0,RTD("tos.rtd",,$A$2,"."&amp;C$43&amp;C$1&amp;"P"&amp;$A64))</f>
        <v>2045</v>
      </c>
      <c r="D64" s="56">
        <f ca="1">IF(RTD("tos.rtd",,$A$2,"."&amp;D$43&amp;D$1&amp;"C"&amp;$A64)="N/A",0,RTD("tos.rtd",,$A$2,"."&amp;D$43&amp;D$1&amp;"C"&amp;$A64))-IF(RTD("tos.rtd",,$A$2,"."&amp;D$43&amp;D$1&amp;"P"&amp;$A64)="N/A",0,RTD("tos.rtd",,$A$2,"."&amp;D$43&amp;D$1&amp;"P"&amp;$A64))</f>
        <v>958</v>
      </c>
      <c r="E64" s="56">
        <f ca="1">IF(RTD("tos.rtd",,$A$2,"."&amp;E$43&amp;E$1&amp;"C"&amp;$A64)="N/A",0,RTD("tos.rtd",,$A$2,"."&amp;E$43&amp;E$1&amp;"C"&amp;$A64))-IF(RTD("tos.rtd",,$A$2,"."&amp;E$43&amp;E$1&amp;"P"&amp;$A64)="N/A",0,RTD("tos.rtd",,$A$2,"."&amp;E$43&amp;E$1&amp;"P"&amp;$A64))</f>
        <v>-194</v>
      </c>
      <c r="F64" s="56">
        <f ca="1">IF(RTD("tos.rtd",,$A$2,"."&amp;F$43&amp;F$1&amp;"C"&amp;$A64)="N/A",0,RTD("tos.rtd",,$A$2,"."&amp;F$43&amp;F$1&amp;"C"&amp;$A64))-IF(RTD("tos.rtd",,$A$2,"."&amp;F$43&amp;F$1&amp;"P"&amp;$A64)="N/A",0,RTD("tos.rtd",,$A$2,"."&amp;F$43&amp;F$1&amp;"P"&amp;$A64))</f>
        <v>0</v>
      </c>
      <c r="G64" s="56">
        <f ca="1">IF(RTD("tos.rtd",,$A$2,"."&amp;G$43&amp;G$1&amp;"C"&amp;$A64)="N/A",0,RTD("tos.rtd",,$A$2,"."&amp;G$43&amp;G$1&amp;"C"&amp;$A64))-IF(RTD("tos.rtd",,$A$2,"."&amp;G$43&amp;G$1&amp;"P"&amp;$A64)="N/A",0,RTD("tos.rtd",,$A$2,"."&amp;G$43&amp;G$1&amp;"P"&amp;$A64))</f>
        <v>0</v>
      </c>
      <c r="H64" s="56">
        <f ca="1">IF(RTD("tos.rtd",,$A$2,"."&amp;H$43&amp;H$1&amp;"C"&amp;$A64)="N/A",0,RTD("tos.rtd",,$A$2,"."&amp;H$43&amp;H$1&amp;"C"&amp;$A64))-IF(RTD("tos.rtd",,$A$2,"."&amp;H$43&amp;H$1&amp;"P"&amp;$A64)="N/A",0,RTD("tos.rtd",,$A$2,"."&amp;H$43&amp;H$1&amp;"P"&amp;$A64))</f>
        <v>-43</v>
      </c>
      <c r="I64" s="56">
        <f ca="1">IF(RTD("tos.rtd",,$A$2,"."&amp;I$43&amp;I$1&amp;"C"&amp;$A64)="N/A",0,RTD("tos.rtd",,$A$2,"."&amp;I$43&amp;I$1&amp;"C"&amp;$A64))-IF(RTD("tos.rtd",,$A$2,"."&amp;I$43&amp;I$1&amp;"P"&amp;$A64)="N/A",0,RTD("tos.rtd",,$A$2,"."&amp;I$43&amp;I$1&amp;"P"&amp;$A64))</f>
        <v>-37</v>
      </c>
      <c r="J64" s="56">
        <f ca="1">IF(RTD("tos.rtd",,$A$2,"."&amp;J$43&amp;J$1&amp;"C"&amp;$A64)="N/A",0,RTD("tos.rtd",,$A$2,"."&amp;J$43&amp;J$1&amp;"C"&amp;$A64))-IF(RTD("tos.rtd",,$A$2,"."&amp;J$43&amp;J$1&amp;"P"&amp;$A64)="N/A",0,RTD("tos.rtd",,$A$2,"."&amp;J$43&amp;J$1&amp;"P"&amp;$A64))</f>
        <v>-7</v>
      </c>
      <c r="K64" s="56">
        <f ca="1">IF(RTD("tos.rtd",,$A$2,"."&amp;K$43&amp;K$1&amp;"C"&amp;$A64)="N/A",0,RTD("tos.rtd",,$A$2,"."&amp;K$43&amp;K$1&amp;"C"&amp;$A64))-IF(RTD("tos.rtd",,$A$2,"."&amp;K$43&amp;K$1&amp;"P"&amp;$A64)="N/A",0,RTD("tos.rtd",,$A$2,"."&amp;K$43&amp;K$1&amp;"P"&amp;$A64))</f>
        <v>551</v>
      </c>
      <c r="L64" s="56">
        <f ca="1">IF(RTD("tos.rtd",,$A$2,"."&amp;L$43&amp;L$1&amp;"C"&amp;$A64)="N/A",0,RTD("tos.rtd",,$A$2,"."&amp;L$43&amp;L$1&amp;"C"&amp;$A64))-IF(RTD("tos.rtd",,$A$2,"."&amp;L$43&amp;L$1&amp;"P"&amp;$A64)="N/A",0,RTD("tos.rtd",,$A$2,"."&amp;L$43&amp;L$1&amp;"P"&amp;$A64))</f>
        <v>0</v>
      </c>
      <c r="M64" s="56">
        <f ca="1">IF(RTD("tos.rtd",,$A$2,"."&amp;M$43&amp;M$1&amp;"C"&amp;$A64)="N/A",0,RTD("tos.rtd",,$A$2,"."&amp;M$43&amp;M$1&amp;"C"&amp;$A64))-IF(RTD("tos.rtd",,$A$2,"."&amp;M$43&amp;M$1&amp;"P"&amp;$A64)="N/A",0,RTD("tos.rtd",,$A$2,"."&amp;M$43&amp;M$1&amp;"P"&amp;$A64))</f>
        <v>42</v>
      </c>
      <c r="N64" s="56">
        <f ca="1">IF(RTD("tos.rtd",,$A$2,"."&amp;N$43&amp;N$1&amp;"C"&amp;$A64)="N/A",0,RTD("tos.rtd",,$A$2,"."&amp;N$43&amp;N$1&amp;"C"&amp;$A64))-IF(RTD("tos.rtd",,$A$2,"."&amp;N$43&amp;N$1&amp;"P"&amp;$A64)="N/A",0,RTD("tos.rtd",,$A$2,"."&amp;N$43&amp;N$1&amp;"P"&amp;$A64))</f>
        <v>0</v>
      </c>
      <c r="O64" s="56">
        <f ca="1">IF(RTD("tos.rtd",,$A$2,"."&amp;O$43&amp;O$1&amp;"C"&amp;$A64)="N/A",0,RTD("tos.rtd",,$A$2,"."&amp;O$43&amp;O$1&amp;"C"&amp;$A64))-IF(RTD("tos.rtd",,$A$2,"."&amp;O$43&amp;O$1&amp;"P"&amp;$A64)="N/A",0,RTD("tos.rtd",,$A$2,"."&amp;O$43&amp;O$1&amp;"P"&amp;$A64))</f>
        <v>-15</v>
      </c>
      <c r="P64" s="56">
        <f ca="1">IF(RTD("tos.rtd",,$A$2,"."&amp;P$43&amp;P$1&amp;"C"&amp;$A64)="N/A",0,RTD("tos.rtd",,$A$2,"."&amp;P$43&amp;P$1&amp;"C"&amp;$A64))-IF(RTD("tos.rtd",,$A$2,"."&amp;P$43&amp;P$1&amp;"P"&amp;$A64)="N/A",0,RTD("tos.rtd",,$A$2,"."&amp;P$43&amp;P$1&amp;"P"&amp;$A64))</f>
        <v>0</v>
      </c>
      <c r="Q64" s="56">
        <f ca="1">IF(RTD("tos.rtd",,$A$2,"."&amp;Q$43&amp;Q$1&amp;"C"&amp;$A64)="N/A",0,RTD("tos.rtd",,$A$2,"."&amp;Q$43&amp;Q$1&amp;"C"&amp;$A64))-IF(RTD("tos.rtd",,$A$2,"."&amp;Q$43&amp;Q$1&amp;"P"&amp;$A64)="N/A",0,RTD("tos.rtd",,$A$2,"."&amp;Q$43&amp;Q$1&amp;"P"&amp;$A64))</f>
        <v>0</v>
      </c>
      <c r="R64" s="56">
        <f ca="1">IF(RTD("tos.rtd",,$A$2,"."&amp;R$43&amp;R$1&amp;"C"&amp;$A64)="N/A",0,RTD("tos.rtd",,$A$2,"."&amp;R$43&amp;R$1&amp;"C"&amp;$A64))-IF(RTD("tos.rtd",,$A$2,"."&amp;R$43&amp;R$1&amp;"P"&amp;$A64)="N/A",0,RTD("tos.rtd",,$A$2,"."&amp;R$43&amp;R$1&amp;"P"&amp;$A64))</f>
        <v>0</v>
      </c>
      <c r="S64" s="56">
        <f ca="1">IF(RTD("tos.rtd",,$A$2,"."&amp;S$43&amp;S$1&amp;"C"&amp;$A64)="N/A",0,RTD("tos.rtd",,$A$2,"."&amp;S$43&amp;S$1&amp;"C"&amp;$A64))-IF(RTD("tos.rtd",,$A$2,"."&amp;S$43&amp;S$1&amp;"P"&amp;$A64)="N/A",0,RTD("tos.rtd",,$A$2,"."&amp;S$43&amp;S$1&amp;"P"&amp;$A64))</f>
        <v>0</v>
      </c>
      <c r="T64" s="56">
        <f ca="1">IF(RTD("tos.rtd",,$A$2,"."&amp;T$43&amp;T$1&amp;"C"&amp;$A64)="N/A",0,RTD("tos.rtd",,$A$2,"."&amp;T$43&amp;T$1&amp;"C"&amp;$A64))-IF(RTD("tos.rtd",,$A$2,"."&amp;T$43&amp;T$1&amp;"P"&amp;$A64)="N/A",0,RTD("tos.rtd",,$A$2,"."&amp;T$43&amp;T$1&amp;"P"&amp;$A64))</f>
        <v>0</v>
      </c>
      <c r="U64" s="56">
        <f ca="1">IF(RTD("tos.rtd",,$A$2,"."&amp;U$43&amp;U$1&amp;"C"&amp;$A64)="N/A",0,RTD("tos.rtd",,$A$2,"."&amp;U$43&amp;U$1&amp;"C"&amp;$A64))-IF(RTD("tos.rtd",,$A$2,"."&amp;U$43&amp;U$1&amp;"P"&amp;$A64)="N/A",0,RTD("tos.rtd",,$A$2,"."&amp;U$43&amp;U$1&amp;"P"&amp;$A64))</f>
        <v>0</v>
      </c>
      <c r="V64" s="56">
        <f ca="1">IF(RTD("tos.rtd",,$A$2,"."&amp;V$43&amp;V$1&amp;"C"&amp;$A64)="N/A",0,RTD("tos.rtd",,$A$2,"."&amp;V$43&amp;V$1&amp;"C"&amp;$A64))-IF(RTD("tos.rtd",,$A$2,"."&amp;V$43&amp;V$1&amp;"P"&amp;$A64)="N/A",0,RTD("tos.rtd",,$A$2,"."&amp;V$43&amp;V$1&amp;"P"&amp;$A64))</f>
        <v>0</v>
      </c>
      <c r="W64" s="56">
        <f ca="1">IF(RTD("tos.rtd",,$A$2,"."&amp;W$43&amp;W$1&amp;"C"&amp;$A64)="N/A",0,RTD("tos.rtd",,$A$2,"."&amp;W$43&amp;W$1&amp;"C"&amp;$A64))-IF(RTD("tos.rtd",,$A$2,"."&amp;W$43&amp;W$1&amp;"P"&amp;$A64)="N/A",0,RTD("tos.rtd",,$A$2,"."&amp;W$43&amp;W$1&amp;"P"&amp;$A64))</f>
        <v>0</v>
      </c>
      <c r="X64" s="56">
        <f ca="1">IF(RTD("tos.rtd",,$A$2,"."&amp;X$43&amp;X$1&amp;"C"&amp;$A64)="N/A",0,RTD("tos.rtd",,$A$2,"."&amp;X$43&amp;X$1&amp;"C"&amp;$A64))-IF(RTD("tos.rtd",,$A$2,"."&amp;X$43&amp;X$1&amp;"P"&amp;$A64)="N/A",0,RTD("tos.rtd",,$A$2,"."&amp;X$43&amp;X$1&amp;"P"&amp;$A64))</f>
        <v>0</v>
      </c>
      <c r="Y64" s="63">
        <f t="shared" ca="1" si="10"/>
        <v>12684</v>
      </c>
    </row>
    <row r="65" spans="1:25" x14ac:dyDescent="0.25">
      <c r="A65" s="58">
        <f>+Hoja1!A64</f>
        <v>610</v>
      </c>
      <c r="B65" s="56">
        <f ca="1">IF(RTD("tos.rtd",,$A$2,"."&amp;B$43&amp;B$1&amp;"C"&amp;$A65)="N/A",0,RTD("tos.rtd",,$A$2,"."&amp;B$43&amp;B$1&amp;"C"&amp;$A65))-IF(RTD("tos.rtd",,$A$2,"."&amp;B$43&amp;B$1&amp;"P"&amp;$A65)="N/A",0,RTD("tos.rtd",,$A$2,"."&amp;B$43&amp;B$1&amp;"P"&amp;$A65))</f>
        <v>52228</v>
      </c>
      <c r="C65" s="56">
        <f ca="1">IF(RTD("tos.rtd",,$A$2,"."&amp;C$43&amp;C$1&amp;"C"&amp;$A65)="N/A",0,RTD("tos.rtd",,$A$2,"."&amp;C$43&amp;C$1&amp;"C"&amp;$A65))-IF(RTD("tos.rtd",,$A$2,"."&amp;C$43&amp;C$1&amp;"P"&amp;$A65)="N/A",0,RTD("tos.rtd",,$A$2,"."&amp;C$43&amp;C$1&amp;"P"&amp;$A65))</f>
        <v>8783</v>
      </c>
      <c r="D65" s="56">
        <f ca="1">IF(RTD("tos.rtd",,$A$2,"."&amp;D$43&amp;D$1&amp;"C"&amp;$A65)="N/A",0,RTD("tos.rtd",,$A$2,"."&amp;D$43&amp;D$1&amp;"C"&amp;$A65))-IF(RTD("tos.rtd",,$A$2,"."&amp;D$43&amp;D$1&amp;"P"&amp;$A65)="N/A",0,RTD("tos.rtd",,$A$2,"."&amp;D$43&amp;D$1&amp;"P"&amp;$A65))</f>
        <v>20826</v>
      </c>
      <c r="E65" s="56">
        <f ca="1">IF(RTD("tos.rtd",,$A$2,"."&amp;E$43&amp;E$1&amp;"C"&amp;$A65)="N/A",0,RTD("tos.rtd",,$A$2,"."&amp;E$43&amp;E$1&amp;"C"&amp;$A65))-IF(RTD("tos.rtd",,$A$2,"."&amp;E$43&amp;E$1&amp;"P"&amp;$A65)="N/A",0,RTD("tos.rtd",,$A$2,"."&amp;E$43&amp;E$1&amp;"P"&amp;$A65))</f>
        <v>946</v>
      </c>
      <c r="F65" s="56">
        <f ca="1">IF(RTD("tos.rtd",,$A$2,"."&amp;F$43&amp;F$1&amp;"C"&amp;$A65)="N/A",0,RTD("tos.rtd",,$A$2,"."&amp;F$43&amp;F$1&amp;"C"&amp;$A65))-IF(RTD("tos.rtd",,$A$2,"."&amp;F$43&amp;F$1&amp;"P"&amp;$A65)="N/A",0,RTD("tos.rtd",,$A$2,"."&amp;F$43&amp;F$1&amp;"P"&amp;$A65))</f>
        <v>0</v>
      </c>
      <c r="G65" s="56">
        <f ca="1">IF(RTD("tos.rtd",,$A$2,"."&amp;G$43&amp;G$1&amp;"C"&amp;$A65)="N/A",0,RTD("tos.rtd",,$A$2,"."&amp;G$43&amp;G$1&amp;"C"&amp;$A65))-IF(RTD("tos.rtd",,$A$2,"."&amp;G$43&amp;G$1&amp;"P"&amp;$A65)="N/A",0,RTD("tos.rtd",,$A$2,"."&amp;G$43&amp;G$1&amp;"P"&amp;$A65))</f>
        <v>0</v>
      </c>
      <c r="H65" s="56">
        <f ca="1">IF(RTD("tos.rtd",,$A$2,"."&amp;H$43&amp;H$1&amp;"C"&amp;$A65)="N/A",0,RTD("tos.rtd",,$A$2,"."&amp;H$43&amp;H$1&amp;"C"&amp;$A65))-IF(RTD("tos.rtd",,$A$2,"."&amp;H$43&amp;H$1&amp;"P"&amp;$A65)="N/A",0,RTD("tos.rtd",,$A$2,"."&amp;H$43&amp;H$1&amp;"P"&amp;$A65))</f>
        <v>1750</v>
      </c>
      <c r="I65" s="56">
        <f ca="1">IF(RTD("tos.rtd",,$A$2,"."&amp;I$43&amp;I$1&amp;"C"&amp;$A65)="N/A",0,RTD("tos.rtd",,$A$2,"."&amp;I$43&amp;I$1&amp;"C"&amp;$A65))-IF(RTD("tos.rtd",,$A$2,"."&amp;I$43&amp;I$1&amp;"P"&amp;$A65)="N/A",0,RTD("tos.rtd",,$A$2,"."&amp;I$43&amp;I$1&amp;"P"&amp;$A65))</f>
        <v>-577</v>
      </c>
      <c r="J65" s="56">
        <f ca="1">IF(RTD("tos.rtd",,$A$2,"."&amp;J$43&amp;J$1&amp;"C"&amp;$A65)="N/A",0,RTD("tos.rtd",,$A$2,"."&amp;J$43&amp;J$1&amp;"C"&amp;$A65))-IF(RTD("tos.rtd",,$A$2,"."&amp;J$43&amp;J$1&amp;"P"&amp;$A65)="N/A",0,RTD("tos.rtd",,$A$2,"."&amp;J$43&amp;J$1&amp;"P"&amp;$A65))</f>
        <v>282</v>
      </c>
      <c r="K65" s="56">
        <f ca="1">IF(RTD("tos.rtd",,$A$2,"."&amp;K$43&amp;K$1&amp;"C"&amp;$A65)="N/A",0,RTD("tos.rtd",,$A$2,"."&amp;K$43&amp;K$1&amp;"C"&amp;$A65))-IF(RTD("tos.rtd",,$A$2,"."&amp;K$43&amp;K$1&amp;"P"&amp;$A65)="N/A",0,RTD("tos.rtd",,$A$2,"."&amp;K$43&amp;K$1&amp;"P"&amp;$A65))</f>
        <v>463</v>
      </c>
      <c r="L65" s="56">
        <f ca="1">IF(RTD("tos.rtd",,$A$2,"."&amp;L$43&amp;L$1&amp;"C"&amp;$A65)="N/A",0,RTD("tos.rtd",,$A$2,"."&amp;L$43&amp;L$1&amp;"C"&amp;$A65))-IF(RTD("tos.rtd",,$A$2,"."&amp;L$43&amp;L$1&amp;"P"&amp;$A65)="N/A",0,RTD("tos.rtd",,$A$2,"."&amp;L$43&amp;L$1&amp;"P"&amp;$A65))</f>
        <v>0</v>
      </c>
      <c r="M65" s="56">
        <f ca="1">IF(RTD("tos.rtd",,$A$2,"."&amp;M$43&amp;M$1&amp;"C"&amp;$A65)="N/A",0,RTD("tos.rtd",,$A$2,"."&amp;M$43&amp;M$1&amp;"C"&amp;$A65))-IF(RTD("tos.rtd",,$A$2,"."&amp;M$43&amp;M$1&amp;"P"&amp;$A65)="N/A",0,RTD("tos.rtd",,$A$2,"."&amp;M$43&amp;M$1&amp;"P"&amp;$A65))</f>
        <v>92</v>
      </c>
      <c r="N65" s="56">
        <f ca="1">IF(RTD("tos.rtd",,$A$2,"."&amp;N$43&amp;N$1&amp;"C"&amp;$A65)="N/A",0,RTD("tos.rtd",,$A$2,"."&amp;N$43&amp;N$1&amp;"C"&amp;$A65))-IF(RTD("tos.rtd",,$A$2,"."&amp;N$43&amp;N$1&amp;"P"&amp;$A65)="N/A",0,RTD("tos.rtd",,$A$2,"."&amp;N$43&amp;N$1&amp;"P"&amp;$A65))</f>
        <v>0</v>
      </c>
      <c r="O65" s="56">
        <f ca="1">IF(RTD("tos.rtd",,$A$2,"."&amp;O$43&amp;O$1&amp;"C"&amp;$A65)="N/A",0,RTD("tos.rtd",,$A$2,"."&amp;O$43&amp;O$1&amp;"C"&amp;$A65))-IF(RTD("tos.rtd",,$A$2,"."&amp;O$43&amp;O$1&amp;"P"&amp;$A65)="N/A",0,RTD("tos.rtd",,$A$2,"."&amp;O$43&amp;O$1&amp;"P"&amp;$A65))</f>
        <v>320</v>
      </c>
      <c r="P65" s="56">
        <f ca="1">IF(RTD("tos.rtd",,$A$2,"."&amp;P$43&amp;P$1&amp;"C"&amp;$A65)="N/A",0,RTD("tos.rtd",,$A$2,"."&amp;P$43&amp;P$1&amp;"C"&amp;$A65))-IF(RTD("tos.rtd",,$A$2,"."&amp;P$43&amp;P$1&amp;"P"&amp;$A65)="N/A",0,RTD("tos.rtd",,$A$2,"."&amp;P$43&amp;P$1&amp;"P"&amp;$A65))</f>
        <v>0</v>
      </c>
      <c r="Q65" s="56">
        <f ca="1">IF(RTD("tos.rtd",,$A$2,"."&amp;Q$43&amp;Q$1&amp;"C"&amp;$A65)="N/A",0,RTD("tos.rtd",,$A$2,"."&amp;Q$43&amp;Q$1&amp;"C"&amp;$A65))-IF(RTD("tos.rtd",,$A$2,"."&amp;Q$43&amp;Q$1&amp;"P"&amp;$A65)="N/A",0,RTD("tos.rtd",,$A$2,"."&amp;Q$43&amp;Q$1&amp;"P"&amp;$A65))</f>
        <v>0</v>
      </c>
      <c r="R65" s="56">
        <f ca="1">IF(RTD("tos.rtd",,$A$2,"."&amp;R$43&amp;R$1&amp;"C"&amp;$A65)="N/A",0,RTD("tos.rtd",,$A$2,"."&amp;R$43&amp;R$1&amp;"C"&amp;$A65))-IF(RTD("tos.rtd",,$A$2,"."&amp;R$43&amp;R$1&amp;"P"&amp;$A65)="N/A",0,RTD("tos.rtd",,$A$2,"."&amp;R$43&amp;R$1&amp;"P"&amp;$A65))</f>
        <v>0</v>
      </c>
      <c r="S65" s="56">
        <f ca="1">IF(RTD("tos.rtd",,$A$2,"."&amp;S$43&amp;S$1&amp;"C"&amp;$A65)="N/A",0,RTD("tos.rtd",,$A$2,"."&amp;S$43&amp;S$1&amp;"C"&amp;$A65))-IF(RTD("tos.rtd",,$A$2,"."&amp;S$43&amp;S$1&amp;"P"&amp;$A65)="N/A",0,RTD("tos.rtd",,$A$2,"."&amp;S$43&amp;S$1&amp;"P"&amp;$A65))</f>
        <v>0</v>
      </c>
      <c r="T65" s="56">
        <f ca="1">IF(RTD("tos.rtd",,$A$2,"."&amp;T$43&amp;T$1&amp;"C"&amp;$A65)="N/A",0,RTD("tos.rtd",,$A$2,"."&amp;T$43&amp;T$1&amp;"C"&amp;$A65))-IF(RTD("tos.rtd",,$A$2,"."&amp;T$43&amp;T$1&amp;"P"&amp;$A65)="N/A",0,RTD("tos.rtd",,$A$2,"."&amp;T$43&amp;T$1&amp;"P"&amp;$A65))</f>
        <v>0</v>
      </c>
      <c r="U65" s="56">
        <f ca="1">IF(RTD("tos.rtd",,$A$2,"."&amp;U$43&amp;U$1&amp;"C"&amp;$A65)="N/A",0,RTD("tos.rtd",,$A$2,"."&amp;U$43&amp;U$1&amp;"C"&amp;$A65))-IF(RTD("tos.rtd",,$A$2,"."&amp;U$43&amp;U$1&amp;"P"&amp;$A65)="N/A",0,RTD("tos.rtd",,$A$2,"."&amp;U$43&amp;U$1&amp;"P"&amp;$A65))</f>
        <v>0</v>
      </c>
      <c r="V65" s="56">
        <f ca="1">IF(RTD("tos.rtd",,$A$2,"."&amp;V$43&amp;V$1&amp;"C"&amp;$A65)="N/A",0,RTD("tos.rtd",,$A$2,"."&amp;V$43&amp;V$1&amp;"C"&amp;$A65))-IF(RTD("tos.rtd",,$A$2,"."&amp;V$43&amp;V$1&amp;"P"&amp;$A65)="N/A",0,RTD("tos.rtd",,$A$2,"."&amp;V$43&amp;V$1&amp;"P"&amp;$A65))</f>
        <v>0</v>
      </c>
      <c r="W65" s="56">
        <f ca="1">IF(RTD("tos.rtd",,$A$2,"."&amp;W$43&amp;W$1&amp;"C"&amp;$A65)="N/A",0,RTD("tos.rtd",,$A$2,"."&amp;W$43&amp;W$1&amp;"C"&amp;$A65))-IF(RTD("tos.rtd",,$A$2,"."&amp;W$43&amp;W$1&amp;"P"&amp;$A65)="N/A",0,RTD("tos.rtd",,$A$2,"."&amp;W$43&amp;W$1&amp;"P"&amp;$A65))</f>
        <v>0</v>
      </c>
      <c r="X65" s="56">
        <f ca="1">IF(RTD("tos.rtd",,$A$2,"."&amp;X$43&amp;X$1&amp;"C"&amp;$A65)="N/A",0,RTD("tos.rtd",,$A$2,"."&amp;X$43&amp;X$1&amp;"C"&amp;$A65))-IF(RTD("tos.rtd",,$A$2,"."&amp;X$43&amp;X$1&amp;"P"&amp;$A65)="N/A",0,RTD("tos.rtd",,$A$2,"."&amp;X$43&amp;X$1&amp;"P"&amp;$A65))</f>
        <v>0</v>
      </c>
      <c r="Y65" s="63">
        <f t="shared" ca="1" si="10"/>
        <v>85113</v>
      </c>
    </row>
    <row r="66" spans="1:25" x14ac:dyDescent="0.25">
      <c r="A66" s="58">
        <f>+Hoja1!A65</f>
        <v>609</v>
      </c>
      <c r="B66" s="56">
        <f ca="1">IF(RTD("tos.rtd",,$A$2,"."&amp;B$43&amp;B$1&amp;"C"&amp;$A66)="N/A",0,RTD("tos.rtd",,$A$2,"."&amp;B$43&amp;B$1&amp;"C"&amp;$A66))-IF(RTD("tos.rtd",,$A$2,"."&amp;B$43&amp;B$1&amp;"P"&amp;$A66)="N/A",0,RTD("tos.rtd",,$A$2,"."&amp;B$43&amp;B$1&amp;"P"&amp;$A66))</f>
        <v>12112</v>
      </c>
      <c r="C66" s="56">
        <f ca="1">IF(RTD("tos.rtd",,$A$2,"."&amp;C$43&amp;C$1&amp;"C"&amp;$A66)="N/A",0,RTD("tos.rtd",,$A$2,"."&amp;C$43&amp;C$1&amp;"C"&amp;$A66))-IF(RTD("tos.rtd",,$A$2,"."&amp;C$43&amp;C$1&amp;"P"&amp;$A66)="N/A",0,RTD("tos.rtd",,$A$2,"."&amp;C$43&amp;C$1&amp;"P"&amp;$A66))</f>
        <v>1111</v>
      </c>
      <c r="D66" s="56">
        <f ca="1">IF(RTD("tos.rtd",,$A$2,"."&amp;D$43&amp;D$1&amp;"C"&amp;$A66)="N/A",0,RTD("tos.rtd",,$A$2,"."&amp;D$43&amp;D$1&amp;"C"&amp;$A66))-IF(RTD("tos.rtd",,$A$2,"."&amp;D$43&amp;D$1&amp;"P"&amp;$A66)="N/A",0,RTD("tos.rtd",,$A$2,"."&amp;D$43&amp;D$1&amp;"P"&amp;$A66))</f>
        <v>1967</v>
      </c>
      <c r="E66" s="56">
        <f ca="1">IF(RTD("tos.rtd",,$A$2,"."&amp;E$43&amp;E$1&amp;"C"&amp;$A66)="N/A",0,RTD("tos.rtd",,$A$2,"."&amp;E$43&amp;E$1&amp;"C"&amp;$A66))-IF(RTD("tos.rtd",,$A$2,"."&amp;E$43&amp;E$1&amp;"P"&amp;$A66)="N/A",0,RTD("tos.rtd",,$A$2,"."&amp;E$43&amp;E$1&amp;"P"&amp;$A66))</f>
        <v>169</v>
      </c>
      <c r="F66" s="56">
        <f ca="1">IF(RTD("tos.rtd",,$A$2,"."&amp;F$43&amp;F$1&amp;"C"&amp;$A66)="N/A",0,RTD("tos.rtd",,$A$2,"."&amp;F$43&amp;F$1&amp;"C"&amp;$A66))-IF(RTD("tos.rtd",,$A$2,"."&amp;F$43&amp;F$1&amp;"P"&amp;$A66)="N/A",0,RTD("tos.rtd",,$A$2,"."&amp;F$43&amp;F$1&amp;"P"&amp;$A66))</f>
        <v>0</v>
      </c>
      <c r="G66" s="56">
        <f ca="1">IF(RTD("tos.rtd",,$A$2,"."&amp;G$43&amp;G$1&amp;"C"&amp;$A66)="N/A",0,RTD("tos.rtd",,$A$2,"."&amp;G$43&amp;G$1&amp;"C"&amp;$A66))-IF(RTD("tos.rtd",,$A$2,"."&amp;G$43&amp;G$1&amp;"P"&amp;$A66)="N/A",0,RTD("tos.rtd",,$A$2,"."&amp;G$43&amp;G$1&amp;"P"&amp;$A66))</f>
        <v>0</v>
      </c>
      <c r="H66" s="56">
        <f ca="1">IF(RTD("tos.rtd",,$A$2,"."&amp;H$43&amp;H$1&amp;"C"&amp;$A66)="N/A",0,RTD("tos.rtd",,$A$2,"."&amp;H$43&amp;H$1&amp;"C"&amp;$A66))-IF(RTD("tos.rtd",,$A$2,"."&amp;H$43&amp;H$1&amp;"P"&amp;$A66)="N/A",0,RTD("tos.rtd",,$A$2,"."&amp;H$43&amp;H$1&amp;"P"&amp;$A66))</f>
        <v>38</v>
      </c>
      <c r="I66" s="56">
        <f ca="1">IF(RTD("tos.rtd",,$A$2,"."&amp;I$43&amp;I$1&amp;"C"&amp;$A66)="N/A",0,RTD("tos.rtd",,$A$2,"."&amp;I$43&amp;I$1&amp;"C"&amp;$A66))-IF(RTD("tos.rtd",,$A$2,"."&amp;I$43&amp;I$1&amp;"P"&amp;$A66)="N/A",0,RTD("tos.rtd",,$A$2,"."&amp;I$43&amp;I$1&amp;"P"&amp;$A66))</f>
        <v>192</v>
      </c>
      <c r="J66" s="56">
        <f ca="1">IF(RTD("tos.rtd",,$A$2,"."&amp;J$43&amp;J$1&amp;"C"&amp;$A66)="N/A",0,RTD("tos.rtd",,$A$2,"."&amp;J$43&amp;J$1&amp;"C"&amp;$A66))-IF(RTD("tos.rtd",,$A$2,"."&amp;J$43&amp;J$1&amp;"P"&amp;$A66)="N/A",0,RTD("tos.rtd",,$A$2,"."&amp;J$43&amp;J$1&amp;"P"&amp;$A66))</f>
        <v>-86</v>
      </c>
      <c r="K66" s="56">
        <f ca="1">IF(RTD("tos.rtd",,$A$2,"."&amp;K$43&amp;K$1&amp;"C"&amp;$A66)="N/A",0,RTD("tos.rtd",,$A$2,"."&amp;K$43&amp;K$1&amp;"C"&amp;$A66))-IF(RTD("tos.rtd",,$A$2,"."&amp;K$43&amp;K$1&amp;"P"&amp;$A66)="N/A",0,RTD("tos.rtd",,$A$2,"."&amp;K$43&amp;K$1&amp;"P"&amp;$A66))</f>
        <v>271</v>
      </c>
      <c r="L66" s="56">
        <f ca="1">IF(RTD("tos.rtd",,$A$2,"."&amp;L$43&amp;L$1&amp;"C"&amp;$A66)="N/A",0,RTD("tos.rtd",,$A$2,"."&amp;L$43&amp;L$1&amp;"C"&amp;$A66))-IF(RTD("tos.rtd",,$A$2,"."&amp;L$43&amp;L$1&amp;"P"&amp;$A66)="N/A",0,RTD("tos.rtd",,$A$2,"."&amp;L$43&amp;L$1&amp;"P"&amp;$A66))</f>
        <v>0</v>
      </c>
      <c r="M66" s="56">
        <f ca="1">IF(RTD("tos.rtd",,$A$2,"."&amp;M$43&amp;M$1&amp;"C"&amp;$A66)="N/A",0,RTD("tos.rtd",,$A$2,"."&amp;M$43&amp;M$1&amp;"C"&amp;$A66))-IF(RTD("tos.rtd",,$A$2,"."&amp;M$43&amp;M$1&amp;"P"&amp;$A66)="N/A",0,RTD("tos.rtd",,$A$2,"."&amp;M$43&amp;M$1&amp;"P"&amp;$A66))</f>
        <v>14</v>
      </c>
      <c r="N66" s="56">
        <f ca="1">IF(RTD("tos.rtd",,$A$2,"."&amp;N$43&amp;N$1&amp;"C"&amp;$A66)="N/A",0,RTD("tos.rtd",,$A$2,"."&amp;N$43&amp;N$1&amp;"C"&amp;$A66))-IF(RTD("tos.rtd",,$A$2,"."&amp;N$43&amp;N$1&amp;"P"&amp;$A66)="N/A",0,RTD("tos.rtd",,$A$2,"."&amp;N$43&amp;N$1&amp;"P"&amp;$A66))</f>
        <v>0</v>
      </c>
      <c r="O66" s="56">
        <f ca="1">IF(RTD("tos.rtd",,$A$2,"."&amp;O$43&amp;O$1&amp;"C"&amp;$A66)="N/A",0,RTD("tos.rtd",,$A$2,"."&amp;O$43&amp;O$1&amp;"C"&amp;$A66))-IF(RTD("tos.rtd",,$A$2,"."&amp;O$43&amp;O$1&amp;"P"&amp;$A66)="N/A",0,RTD("tos.rtd",,$A$2,"."&amp;O$43&amp;O$1&amp;"P"&amp;$A66))</f>
        <v>47</v>
      </c>
      <c r="P66" s="56">
        <f ca="1">IF(RTD("tos.rtd",,$A$2,"."&amp;P$43&amp;P$1&amp;"C"&amp;$A66)="N/A",0,RTD("tos.rtd",,$A$2,"."&amp;P$43&amp;P$1&amp;"C"&amp;$A66))-IF(RTD("tos.rtd",,$A$2,"."&amp;P$43&amp;P$1&amp;"P"&amp;$A66)="N/A",0,RTD("tos.rtd",,$A$2,"."&amp;P$43&amp;P$1&amp;"P"&amp;$A66))</f>
        <v>0</v>
      </c>
      <c r="Q66" s="56">
        <f ca="1">IF(RTD("tos.rtd",,$A$2,"."&amp;Q$43&amp;Q$1&amp;"C"&amp;$A66)="N/A",0,RTD("tos.rtd",,$A$2,"."&amp;Q$43&amp;Q$1&amp;"C"&amp;$A66))-IF(RTD("tos.rtd",,$A$2,"."&amp;Q$43&amp;Q$1&amp;"P"&amp;$A66)="N/A",0,RTD("tos.rtd",,$A$2,"."&amp;Q$43&amp;Q$1&amp;"P"&amp;$A66))</f>
        <v>0</v>
      </c>
      <c r="R66" s="56">
        <f ca="1">IF(RTD("tos.rtd",,$A$2,"."&amp;R$43&amp;R$1&amp;"C"&amp;$A66)="N/A",0,RTD("tos.rtd",,$A$2,"."&amp;R$43&amp;R$1&amp;"C"&amp;$A66))-IF(RTD("tos.rtd",,$A$2,"."&amp;R$43&amp;R$1&amp;"P"&amp;$A66)="N/A",0,RTD("tos.rtd",,$A$2,"."&amp;R$43&amp;R$1&amp;"P"&amp;$A66))</f>
        <v>0</v>
      </c>
      <c r="S66" s="56">
        <f ca="1">IF(RTD("tos.rtd",,$A$2,"."&amp;S$43&amp;S$1&amp;"C"&amp;$A66)="N/A",0,RTD("tos.rtd",,$A$2,"."&amp;S$43&amp;S$1&amp;"C"&amp;$A66))-IF(RTD("tos.rtd",,$A$2,"."&amp;S$43&amp;S$1&amp;"P"&amp;$A66)="N/A",0,RTD("tos.rtd",,$A$2,"."&amp;S$43&amp;S$1&amp;"P"&amp;$A66))</f>
        <v>0</v>
      </c>
      <c r="T66" s="56">
        <f ca="1">IF(RTD("tos.rtd",,$A$2,"."&amp;T$43&amp;T$1&amp;"C"&amp;$A66)="N/A",0,RTD("tos.rtd",,$A$2,"."&amp;T$43&amp;T$1&amp;"C"&amp;$A66))-IF(RTD("tos.rtd",,$A$2,"."&amp;T$43&amp;T$1&amp;"P"&amp;$A66)="N/A",0,RTD("tos.rtd",,$A$2,"."&amp;T$43&amp;T$1&amp;"P"&amp;$A66))</f>
        <v>0</v>
      </c>
      <c r="U66" s="56">
        <f ca="1">IF(RTD("tos.rtd",,$A$2,"."&amp;U$43&amp;U$1&amp;"C"&amp;$A66)="N/A",0,RTD("tos.rtd",,$A$2,"."&amp;U$43&amp;U$1&amp;"C"&amp;$A66))-IF(RTD("tos.rtd",,$A$2,"."&amp;U$43&amp;U$1&amp;"P"&amp;$A66)="N/A",0,RTD("tos.rtd",,$A$2,"."&amp;U$43&amp;U$1&amp;"P"&amp;$A66))</f>
        <v>0</v>
      </c>
      <c r="V66" s="56">
        <f ca="1">IF(RTD("tos.rtd",,$A$2,"."&amp;V$43&amp;V$1&amp;"C"&amp;$A66)="N/A",0,RTD("tos.rtd",,$A$2,"."&amp;V$43&amp;V$1&amp;"C"&amp;$A66))-IF(RTD("tos.rtd",,$A$2,"."&amp;V$43&amp;V$1&amp;"P"&amp;$A66)="N/A",0,RTD("tos.rtd",,$A$2,"."&amp;V$43&amp;V$1&amp;"P"&amp;$A66))</f>
        <v>0</v>
      </c>
      <c r="W66" s="56">
        <f ca="1">IF(RTD("tos.rtd",,$A$2,"."&amp;W$43&amp;W$1&amp;"C"&amp;$A66)="N/A",0,RTD("tos.rtd",,$A$2,"."&amp;W$43&amp;W$1&amp;"C"&amp;$A66))-IF(RTD("tos.rtd",,$A$2,"."&amp;W$43&amp;W$1&amp;"P"&amp;$A66)="N/A",0,RTD("tos.rtd",,$A$2,"."&amp;W$43&amp;W$1&amp;"P"&amp;$A66))</f>
        <v>0</v>
      </c>
      <c r="X66" s="56">
        <f ca="1">IF(RTD("tos.rtd",,$A$2,"."&amp;X$43&amp;X$1&amp;"C"&amp;$A66)="N/A",0,RTD("tos.rtd",,$A$2,"."&amp;X$43&amp;X$1&amp;"C"&amp;$A66))-IF(RTD("tos.rtd",,$A$2,"."&amp;X$43&amp;X$1&amp;"P"&amp;$A66)="N/A",0,RTD("tos.rtd",,$A$2,"."&amp;X$43&amp;X$1&amp;"P"&amp;$A66))</f>
        <v>0</v>
      </c>
      <c r="Y66" s="63">
        <f t="shared" ca="1" si="10"/>
        <v>15835</v>
      </c>
    </row>
    <row r="67" spans="1:25" x14ac:dyDescent="0.25">
      <c r="A67" s="58">
        <f>+Hoja1!A66</f>
        <v>608</v>
      </c>
      <c r="B67" s="56">
        <f ca="1">IF(RTD("tos.rtd",,$A$2,"."&amp;B$43&amp;B$1&amp;"C"&amp;$A67)="N/A",0,RTD("tos.rtd",,$A$2,"."&amp;B$43&amp;B$1&amp;"C"&amp;$A67))-IF(RTD("tos.rtd",,$A$2,"."&amp;B$43&amp;B$1&amp;"P"&amp;$A67)="N/A",0,RTD("tos.rtd",,$A$2,"."&amp;B$43&amp;B$1&amp;"P"&amp;$A67))</f>
        <v>10822</v>
      </c>
      <c r="C67" s="56">
        <f ca="1">IF(RTD("tos.rtd",,$A$2,"."&amp;C$43&amp;C$1&amp;"C"&amp;$A67)="N/A",0,RTD("tos.rtd",,$A$2,"."&amp;C$43&amp;C$1&amp;"C"&amp;$A67))-IF(RTD("tos.rtd",,$A$2,"."&amp;C$43&amp;C$1&amp;"P"&amp;$A67)="N/A",0,RTD("tos.rtd",,$A$2,"."&amp;C$43&amp;C$1&amp;"P"&amp;$A67))</f>
        <v>3655</v>
      </c>
      <c r="D67" s="56">
        <f ca="1">IF(RTD("tos.rtd",,$A$2,"."&amp;D$43&amp;D$1&amp;"C"&amp;$A67)="N/A",0,RTD("tos.rtd",,$A$2,"."&amp;D$43&amp;D$1&amp;"C"&amp;$A67))-IF(RTD("tos.rtd",,$A$2,"."&amp;D$43&amp;D$1&amp;"P"&amp;$A67)="N/A",0,RTD("tos.rtd",,$A$2,"."&amp;D$43&amp;D$1&amp;"P"&amp;$A67))</f>
        <v>1072</v>
      </c>
      <c r="E67" s="56">
        <f ca="1">IF(RTD("tos.rtd",,$A$2,"."&amp;E$43&amp;E$1&amp;"C"&amp;$A67)="N/A",0,RTD("tos.rtd",,$A$2,"."&amp;E$43&amp;E$1&amp;"C"&amp;$A67))-IF(RTD("tos.rtd",,$A$2,"."&amp;E$43&amp;E$1&amp;"P"&amp;$A67)="N/A",0,RTD("tos.rtd",,$A$2,"."&amp;E$43&amp;E$1&amp;"P"&amp;$A67))</f>
        <v>166</v>
      </c>
      <c r="F67" s="56">
        <f ca="1">IF(RTD("tos.rtd",,$A$2,"."&amp;F$43&amp;F$1&amp;"C"&amp;$A67)="N/A",0,RTD("tos.rtd",,$A$2,"."&amp;F$43&amp;F$1&amp;"C"&amp;$A67))-IF(RTD("tos.rtd",,$A$2,"."&amp;F$43&amp;F$1&amp;"P"&amp;$A67)="N/A",0,RTD("tos.rtd",,$A$2,"."&amp;F$43&amp;F$1&amp;"P"&amp;$A67))</f>
        <v>0</v>
      </c>
      <c r="G67" s="56">
        <f ca="1">IF(RTD("tos.rtd",,$A$2,"."&amp;G$43&amp;G$1&amp;"C"&amp;$A67)="N/A",0,RTD("tos.rtd",,$A$2,"."&amp;G$43&amp;G$1&amp;"C"&amp;$A67))-IF(RTD("tos.rtd",,$A$2,"."&amp;G$43&amp;G$1&amp;"P"&amp;$A67)="N/A",0,RTD("tos.rtd",,$A$2,"."&amp;G$43&amp;G$1&amp;"P"&amp;$A67))</f>
        <v>0</v>
      </c>
      <c r="H67" s="56">
        <f ca="1">IF(RTD("tos.rtd",,$A$2,"."&amp;H$43&amp;H$1&amp;"C"&amp;$A67)="N/A",0,RTD("tos.rtd",,$A$2,"."&amp;H$43&amp;H$1&amp;"C"&amp;$A67))-IF(RTD("tos.rtd",,$A$2,"."&amp;H$43&amp;H$1&amp;"P"&amp;$A67)="N/A",0,RTD("tos.rtd",,$A$2,"."&amp;H$43&amp;H$1&amp;"P"&amp;$A67))</f>
        <v>170</v>
      </c>
      <c r="I67" s="56">
        <f ca="1">IF(RTD("tos.rtd",,$A$2,"."&amp;I$43&amp;I$1&amp;"C"&amp;$A67)="N/A",0,RTD("tos.rtd",,$A$2,"."&amp;I$43&amp;I$1&amp;"C"&amp;$A67))-IF(RTD("tos.rtd",,$A$2,"."&amp;I$43&amp;I$1&amp;"P"&amp;$A67)="N/A",0,RTD("tos.rtd",,$A$2,"."&amp;I$43&amp;I$1&amp;"P"&amp;$A67))</f>
        <v>157</v>
      </c>
      <c r="J67" s="56">
        <f ca="1">IF(RTD("tos.rtd",,$A$2,"."&amp;J$43&amp;J$1&amp;"C"&amp;$A67)="N/A",0,RTD("tos.rtd",,$A$2,"."&amp;J$43&amp;J$1&amp;"C"&amp;$A67))-IF(RTD("tos.rtd",,$A$2,"."&amp;J$43&amp;J$1&amp;"P"&amp;$A67)="N/A",0,RTD("tos.rtd",,$A$2,"."&amp;J$43&amp;J$1&amp;"P"&amp;$A67))</f>
        <v>9</v>
      </c>
      <c r="K67" s="56">
        <f ca="1">IF(RTD("tos.rtd",,$A$2,"."&amp;K$43&amp;K$1&amp;"C"&amp;$A67)="N/A",0,RTD("tos.rtd",,$A$2,"."&amp;K$43&amp;K$1&amp;"C"&amp;$A67))-IF(RTD("tos.rtd",,$A$2,"."&amp;K$43&amp;K$1&amp;"P"&amp;$A67)="N/A",0,RTD("tos.rtd",,$A$2,"."&amp;K$43&amp;K$1&amp;"P"&amp;$A67))</f>
        <v>168</v>
      </c>
      <c r="L67" s="56">
        <f ca="1">IF(RTD("tos.rtd",,$A$2,"."&amp;L$43&amp;L$1&amp;"C"&amp;$A67)="N/A",0,RTD("tos.rtd",,$A$2,"."&amp;L$43&amp;L$1&amp;"C"&amp;$A67))-IF(RTD("tos.rtd",,$A$2,"."&amp;L$43&amp;L$1&amp;"P"&amp;$A67)="N/A",0,RTD("tos.rtd",,$A$2,"."&amp;L$43&amp;L$1&amp;"P"&amp;$A67))</f>
        <v>0</v>
      </c>
      <c r="M67" s="56">
        <f ca="1">IF(RTD("tos.rtd",,$A$2,"."&amp;M$43&amp;M$1&amp;"C"&amp;$A67)="N/A",0,RTD("tos.rtd",,$A$2,"."&amp;M$43&amp;M$1&amp;"C"&amp;$A67))-IF(RTD("tos.rtd",,$A$2,"."&amp;M$43&amp;M$1&amp;"P"&amp;$A67)="N/A",0,RTD("tos.rtd",,$A$2,"."&amp;M$43&amp;M$1&amp;"P"&amp;$A67))</f>
        <v>-7</v>
      </c>
      <c r="N67" s="56">
        <f ca="1">IF(RTD("tos.rtd",,$A$2,"."&amp;N$43&amp;N$1&amp;"C"&amp;$A67)="N/A",0,RTD("tos.rtd",,$A$2,"."&amp;N$43&amp;N$1&amp;"C"&amp;$A67))-IF(RTD("tos.rtd",,$A$2,"."&amp;N$43&amp;N$1&amp;"P"&amp;$A67)="N/A",0,RTD("tos.rtd",,$A$2,"."&amp;N$43&amp;N$1&amp;"P"&amp;$A67))</f>
        <v>0</v>
      </c>
      <c r="O67" s="56">
        <f ca="1">IF(RTD("tos.rtd",,$A$2,"."&amp;O$43&amp;O$1&amp;"C"&amp;$A67)="N/A",0,RTD("tos.rtd",,$A$2,"."&amp;O$43&amp;O$1&amp;"C"&amp;$A67))-IF(RTD("tos.rtd",,$A$2,"."&amp;O$43&amp;O$1&amp;"P"&amp;$A67)="N/A",0,RTD("tos.rtd",,$A$2,"."&amp;O$43&amp;O$1&amp;"P"&amp;$A67))</f>
        <v>215</v>
      </c>
      <c r="P67" s="56">
        <f ca="1">IF(RTD("tos.rtd",,$A$2,"."&amp;P$43&amp;P$1&amp;"C"&amp;$A67)="N/A",0,RTD("tos.rtd",,$A$2,"."&amp;P$43&amp;P$1&amp;"C"&amp;$A67))-IF(RTD("tos.rtd",,$A$2,"."&amp;P$43&amp;P$1&amp;"P"&amp;$A67)="N/A",0,RTD("tos.rtd",,$A$2,"."&amp;P$43&amp;P$1&amp;"P"&amp;$A67))</f>
        <v>0</v>
      </c>
      <c r="Q67" s="56">
        <f ca="1">IF(RTD("tos.rtd",,$A$2,"."&amp;Q$43&amp;Q$1&amp;"C"&amp;$A67)="N/A",0,RTD("tos.rtd",,$A$2,"."&amp;Q$43&amp;Q$1&amp;"C"&amp;$A67))-IF(RTD("tos.rtd",,$A$2,"."&amp;Q$43&amp;Q$1&amp;"P"&amp;$A67)="N/A",0,RTD("tos.rtd",,$A$2,"."&amp;Q$43&amp;Q$1&amp;"P"&amp;$A67))</f>
        <v>0</v>
      </c>
      <c r="R67" s="56">
        <f ca="1">IF(RTD("tos.rtd",,$A$2,"."&amp;R$43&amp;R$1&amp;"C"&amp;$A67)="N/A",0,RTD("tos.rtd",,$A$2,"."&amp;R$43&amp;R$1&amp;"C"&amp;$A67))-IF(RTD("tos.rtd",,$A$2,"."&amp;R$43&amp;R$1&amp;"P"&amp;$A67)="N/A",0,RTD("tos.rtd",,$A$2,"."&amp;R$43&amp;R$1&amp;"P"&amp;$A67))</f>
        <v>0</v>
      </c>
      <c r="S67" s="56">
        <f ca="1">IF(RTD("tos.rtd",,$A$2,"."&amp;S$43&amp;S$1&amp;"C"&amp;$A67)="N/A",0,RTD("tos.rtd",,$A$2,"."&amp;S$43&amp;S$1&amp;"C"&amp;$A67))-IF(RTD("tos.rtd",,$A$2,"."&amp;S$43&amp;S$1&amp;"P"&amp;$A67)="N/A",0,RTD("tos.rtd",,$A$2,"."&amp;S$43&amp;S$1&amp;"P"&amp;$A67))</f>
        <v>0</v>
      </c>
      <c r="T67" s="56">
        <f ca="1">IF(RTD("tos.rtd",,$A$2,"."&amp;T$43&amp;T$1&amp;"C"&amp;$A67)="N/A",0,RTD("tos.rtd",,$A$2,"."&amp;T$43&amp;T$1&amp;"C"&amp;$A67))-IF(RTD("tos.rtd",,$A$2,"."&amp;T$43&amp;T$1&amp;"P"&amp;$A67)="N/A",0,RTD("tos.rtd",,$A$2,"."&amp;T$43&amp;T$1&amp;"P"&amp;$A67))</f>
        <v>0</v>
      </c>
      <c r="U67" s="56">
        <f ca="1">IF(RTD("tos.rtd",,$A$2,"."&amp;U$43&amp;U$1&amp;"C"&amp;$A67)="N/A",0,RTD("tos.rtd",,$A$2,"."&amp;U$43&amp;U$1&amp;"C"&amp;$A67))-IF(RTD("tos.rtd",,$A$2,"."&amp;U$43&amp;U$1&amp;"P"&amp;$A67)="N/A",0,RTD("tos.rtd",,$A$2,"."&amp;U$43&amp;U$1&amp;"P"&amp;$A67))</f>
        <v>0</v>
      </c>
      <c r="V67" s="56">
        <f ca="1">IF(RTD("tos.rtd",,$A$2,"."&amp;V$43&amp;V$1&amp;"C"&amp;$A67)="N/A",0,RTD("tos.rtd",,$A$2,"."&amp;V$43&amp;V$1&amp;"C"&amp;$A67))-IF(RTD("tos.rtd",,$A$2,"."&amp;V$43&amp;V$1&amp;"P"&amp;$A67)="N/A",0,RTD("tos.rtd",,$A$2,"."&amp;V$43&amp;V$1&amp;"P"&amp;$A67))</f>
        <v>0</v>
      </c>
      <c r="W67" s="56">
        <f ca="1">IF(RTD("tos.rtd",,$A$2,"."&amp;W$43&amp;W$1&amp;"C"&amp;$A67)="N/A",0,RTD("tos.rtd",,$A$2,"."&amp;W$43&amp;W$1&amp;"C"&amp;$A67))-IF(RTD("tos.rtd",,$A$2,"."&amp;W$43&amp;W$1&amp;"P"&amp;$A67)="N/A",0,RTD("tos.rtd",,$A$2,"."&amp;W$43&amp;W$1&amp;"P"&amp;$A67))</f>
        <v>0</v>
      </c>
      <c r="X67" s="56">
        <f ca="1">IF(RTD("tos.rtd",,$A$2,"."&amp;X$43&amp;X$1&amp;"C"&amp;$A67)="N/A",0,RTD("tos.rtd",,$A$2,"."&amp;X$43&amp;X$1&amp;"C"&amp;$A67))-IF(RTD("tos.rtd",,$A$2,"."&amp;X$43&amp;X$1&amp;"P"&amp;$A67)="N/A",0,RTD("tos.rtd",,$A$2,"."&amp;X$43&amp;X$1&amp;"P"&amp;$A67))</f>
        <v>0</v>
      </c>
      <c r="Y67" s="63">
        <f t="shared" ca="1" si="10"/>
        <v>16427</v>
      </c>
    </row>
    <row r="68" spans="1:25" x14ac:dyDescent="0.25">
      <c r="A68" s="58">
        <f>+Hoja1!A67</f>
        <v>607</v>
      </c>
      <c r="B68" s="56">
        <f ca="1">IF(RTD("tos.rtd",,$A$2,"."&amp;B$43&amp;B$1&amp;"C"&amp;$A68)="N/A",0,RTD("tos.rtd",,$A$2,"."&amp;B$43&amp;B$1&amp;"C"&amp;$A68))-IF(RTD("tos.rtd",,$A$2,"."&amp;B$43&amp;B$1&amp;"P"&amp;$A68)="N/A",0,RTD("tos.rtd",,$A$2,"."&amp;B$43&amp;B$1&amp;"P"&amp;$A68))</f>
        <v>1305</v>
      </c>
      <c r="C68" s="56">
        <f ca="1">IF(RTD("tos.rtd",,$A$2,"."&amp;C$43&amp;C$1&amp;"C"&amp;$A68)="N/A",0,RTD("tos.rtd",,$A$2,"."&amp;C$43&amp;C$1&amp;"C"&amp;$A68))-IF(RTD("tos.rtd",,$A$2,"."&amp;C$43&amp;C$1&amp;"P"&amp;$A68)="N/A",0,RTD("tos.rtd",,$A$2,"."&amp;C$43&amp;C$1&amp;"P"&amp;$A68))</f>
        <v>2239</v>
      </c>
      <c r="D68" s="56">
        <f ca="1">IF(RTD("tos.rtd",,$A$2,"."&amp;D$43&amp;D$1&amp;"C"&amp;$A68)="N/A",0,RTD("tos.rtd",,$A$2,"."&amp;D$43&amp;D$1&amp;"C"&amp;$A68))-IF(RTD("tos.rtd",,$A$2,"."&amp;D$43&amp;D$1&amp;"P"&amp;$A68)="N/A",0,RTD("tos.rtd",,$A$2,"."&amp;D$43&amp;D$1&amp;"P"&amp;$A68))</f>
        <v>522</v>
      </c>
      <c r="E68" s="56">
        <f ca="1">IF(RTD("tos.rtd",,$A$2,"."&amp;E$43&amp;E$1&amp;"C"&amp;$A68)="N/A",0,RTD("tos.rtd",,$A$2,"."&amp;E$43&amp;E$1&amp;"C"&amp;$A68))-IF(RTD("tos.rtd",,$A$2,"."&amp;E$43&amp;E$1&amp;"P"&amp;$A68)="N/A",0,RTD("tos.rtd",,$A$2,"."&amp;E$43&amp;E$1&amp;"P"&amp;$A68))</f>
        <v>820</v>
      </c>
      <c r="F68" s="56">
        <f ca="1">IF(RTD("tos.rtd",,$A$2,"."&amp;F$43&amp;F$1&amp;"C"&amp;$A68)="N/A",0,RTD("tos.rtd",,$A$2,"."&amp;F$43&amp;F$1&amp;"C"&amp;$A68))-IF(RTD("tos.rtd",,$A$2,"."&amp;F$43&amp;F$1&amp;"P"&amp;$A68)="N/A",0,RTD("tos.rtd",,$A$2,"."&amp;F$43&amp;F$1&amp;"P"&amp;$A68))</f>
        <v>0</v>
      </c>
      <c r="G68" s="56">
        <f ca="1">IF(RTD("tos.rtd",,$A$2,"."&amp;G$43&amp;G$1&amp;"C"&amp;$A68)="N/A",0,RTD("tos.rtd",,$A$2,"."&amp;G$43&amp;G$1&amp;"C"&amp;$A68))-IF(RTD("tos.rtd",,$A$2,"."&amp;G$43&amp;G$1&amp;"P"&amp;$A68)="N/A",0,RTD("tos.rtd",,$A$2,"."&amp;G$43&amp;G$1&amp;"P"&amp;$A68))</f>
        <v>0</v>
      </c>
      <c r="H68" s="56">
        <f ca="1">IF(RTD("tos.rtd",,$A$2,"."&amp;H$43&amp;H$1&amp;"C"&amp;$A68)="N/A",0,RTD("tos.rtd",,$A$2,"."&amp;H$43&amp;H$1&amp;"C"&amp;$A68))-IF(RTD("tos.rtd",,$A$2,"."&amp;H$43&amp;H$1&amp;"P"&amp;$A68)="N/A",0,RTD("tos.rtd",,$A$2,"."&amp;H$43&amp;H$1&amp;"P"&amp;$A68))</f>
        <v>-378</v>
      </c>
      <c r="I68" s="56">
        <f ca="1">IF(RTD("tos.rtd",,$A$2,"."&amp;I$43&amp;I$1&amp;"C"&amp;$A68)="N/A",0,RTD("tos.rtd",,$A$2,"."&amp;I$43&amp;I$1&amp;"C"&amp;$A68))-IF(RTD("tos.rtd",,$A$2,"."&amp;I$43&amp;I$1&amp;"P"&amp;$A68)="N/A",0,RTD("tos.rtd",,$A$2,"."&amp;I$43&amp;I$1&amp;"P"&amp;$A68))</f>
        <v>101</v>
      </c>
      <c r="J68" s="56">
        <f ca="1">IF(RTD("tos.rtd",,$A$2,"."&amp;J$43&amp;J$1&amp;"C"&amp;$A68)="N/A",0,RTD("tos.rtd",,$A$2,"."&amp;J$43&amp;J$1&amp;"C"&amp;$A68))-IF(RTD("tos.rtd",,$A$2,"."&amp;J$43&amp;J$1&amp;"P"&amp;$A68)="N/A",0,RTD("tos.rtd",,$A$2,"."&amp;J$43&amp;J$1&amp;"P"&amp;$A68))</f>
        <v>-36</v>
      </c>
      <c r="K68" s="56">
        <f ca="1">IF(RTD("tos.rtd",,$A$2,"."&amp;K$43&amp;K$1&amp;"C"&amp;$A68)="N/A",0,RTD("tos.rtd",,$A$2,"."&amp;K$43&amp;K$1&amp;"C"&amp;$A68))-IF(RTD("tos.rtd",,$A$2,"."&amp;K$43&amp;K$1&amp;"P"&amp;$A68)="N/A",0,RTD("tos.rtd",,$A$2,"."&amp;K$43&amp;K$1&amp;"P"&amp;$A68))</f>
        <v>377</v>
      </c>
      <c r="L68" s="56">
        <f ca="1">IF(RTD("tos.rtd",,$A$2,"."&amp;L$43&amp;L$1&amp;"C"&amp;$A68)="N/A",0,RTD("tos.rtd",,$A$2,"."&amp;L$43&amp;L$1&amp;"C"&amp;$A68))-IF(RTD("tos.rtd",,$A$2,"."&amp;L$43&amp;L$1&amp;"P"&amp;$A68)="N/A",0,RTD("tos.rtd",,$A$2,"."&amp;L$43&amp;L$1&amp;"P"&amp;$A68))</f>
        <v>0</v>
      </c>
      <c r="M68" s="56">
        <f ca="1">IF(RTD("tos.rtd",,$A$2,"."&amp;M$43&amp;M$1&amp;"C"&amp;$A68)="N/A",0,RTD("tos.rtd",,$A$2,"."&amp;M$43&amp;M$1&amp;"C"&amp;$A68))-IF(RTD("tos.rtd",,$A$2,"."&amp;M$43&amp;M$1&amp;"P"&amp;$A68)="N/A",0,RTD("tos.rtd",,$A$2,"."&amp;M$43&amp;M$1&amp;"P"&amp;$A68))</f>
        <v>8</v>
      </c>
      <c r="N68" s="56">
        <f ca="1">IF(RTD("tos.rtd",,$A$2,"."&amp;N$43&amp;N$1&amp;"C"&amp;$A68)="N/A",0,RTD("tos.rtd",,$A$2,"."&amp;N$43&amp;N$1&amp;"C"&amp;$A68))-IF(RTD("tos.rtd",,$A$2,"."&amp;N$43&amp;N$1&amp;"P"&amp;$A68)="N/A",0,RTD("tos.rtd",,$A$2,"."&amp;N$43&amp;N$1&amp;"P"&amp;$A68))</f>
        <v>0</v>
      </c>
      <c r="O68" s="56">
        <f ca="1">IF(RTD("tos.rtd",,$A$2,"."&amp;O$43&amp;O$1&amp;"C"&amp;$A68)="N/A",0,RTD("tos.rtd",,$A$2,"."&amp;O$43&amp;O$1&amp;"C"&amp;$A68))-IF(RTD("tos.rtd",,$A$2,"."&amp;O$43&amp;O$1&amp;"P"&amp;$A68)="N/A",0,RTD("tos.rtd",,$A$2,"."&amp;O$43&amp;O$1&amp;"P"&amp;$A68))</f>
        <v>467</v>
      </c>
      <c r="P68" s="56">
        <f ca="1">IF(RTD("tos.rtd",,$A$2,"."&amp;P$43&amp;P$1&amp;"C"&amp;$A68)="N/A",0,RTD("tos.rtd",,$A$2,"."&amp;P$43&amp;P$1&amp;"C"&amp;$A68))-IF(RTD("tos.rtd",,$A$2,"."&amp;P$43&amp;P$1&amp;"P"&amp;$A68)="N/A",0,RTD("tos.rtd",,$A$2,"."&amp;P$43&amp;P$1&amp;"P"&amp;$A68))</f>
        <v>0</v>
      </c>
      <c r="Q68" s="56">
        <f ca="1">IF(RTD("tos.rtd",,$A$2,"."&amp;Q$43&amp;Q$1&amp;"C"&amp;$A68)="N/A",0,RTD("tos.rtd",,$A$2,"."&amp;Q$43&amp;Q$1&amp;"C"&amp;$A68))-IF(RTD("tos.rtd",,$A$2,"."&amp;Q$43&amp;Q$1&amp;"P"&amp;$A68)="N/A",0,RTD("tos.rtd",,$A$2,"."&amp;Q$43&amp;Q$1&amp;"P"&amp;$A68))</f>
        <v>0</v>
      </c>
      <c r="R68" s="56">
        <f ca="1">IF(RTD("tos.rtd",,$A$2,"."&amp;R$43&amp;R$1&amp;"C"&amp;$A68)="N/A",0,RTD("tos.rtd",,$A$2,"."&amp;R$43&amp;R$1&amp;"C"&amp;$A68))-IF(RTD("tos.rtd",,$A$2,"."&amp;R$43&amp;R$1&amp;"P"&amp;$A68)="N/A",0,RTD("tos.rtd",,$A$2,"."&amp;R$43&amp;R$1&amp;"P"&amp;$A68))</f>
        <v>0</v>
      </c>
      <c r="S68" s="56">
        <f ca="1">IF(RTD("tos.rtd",,$A$2,"."&amp;S$43&amp;S$1&amp;"C"&amp;$A68)="N/A",0,RTD("tos.rtd",,$A$2,"."&amp;S$43&amp;S$1&amp;"C"&amp;$A68))-IF(RTD("tos.rtd",,$A$2,"."&amp;S$43&amp;S$1&amp;"P"&amp;$A68)="N/A",0,RTD("tos.rtd",,$A$2,"."&amp;S$43&amp;S$1&amp;"P"&amp;$A68))</f>
        <v>0</v>
      </c>
      <c r="T68" s="56">
        <f ca="1">IF(RTD("tos.rtd",,$A$2,"."&amp;T$43&amp;T$1&amp;"C"&amp;$A68)="N/A",0,RTD("tos.rtd",,$A$2,"."&amp;T$43&amp;T$1&amp;"C"&amp;$A68))-IF(RTD("tos.rtd",,$A$2,"."&amp;T$43&amp;T$1&amp;"P"&amp;$A68)="N/A",0,RTD("tos.rtd",,$A$2,"."&amp;T$43&amp;T$1&amp;"P"&amp;$A68))</f>
        <v>0</v>
      </c>
      <c r="U68" s="56">
        <f ca="1">IF(RTD("tos.rtd",,$A$2,"."&amp;U$43&amp;U$1&amp;"C"&amp;$A68)="N/A",0,RTD("tos.rtd",,$A$2,"."&amp;U$43&amp;U$1&amp;"C"&amp;$A68))-IF(RTD("tos.rtd",,$A$2,"."&amp;U$43&amp;U$1&amp;"P"&amp;$A68)="N/A",0,RTD("tos.rtd",,$A$2,"."&amp;U$43&amp;U$1&amp;"P"&amp;$A68))</f>
        <v>0</v>
      </c>
      <c r="V68" s="56">
        <f ca="1">IF(RTD("tos.rtd",,$A$2,"."&amp;V$43&amp;V$1&amp;"C"&amp;$A68)="N/A",0,RTD("tos.rtd",,$A$2,"."&amp;V$43&amp;V$1&amp;"C"&amp;$A68))-IF(RTD("tos.rtd",,$A$2,"."&amp;V$43&amp;V$1&amp;"P"&amp;$A68)="N/A",0,RTD("tos.rtd",,$A$2,"."&amp;V$43&amp;V$1&amp;"P"&amp;$A68))</f>
        <v>0</v>
      </c>
      <c r="W68" s="56">
        <f ca="1">IF(RTD("tos.rtd",,$A$2,"."&amp;W$43&amp;W$1&amp;"C"&amp;$A68)="N/A",0,RTD("tos.rtd",,$A$2,"."&amp;W$43&amp;W$1&amp;"C"&amp;$A68))-IF(RTD("tos.rtd",,$A$2,"."&amp;W$43&amp;W$1&amp;"P"&amp;$A68)="N/A",0,RTD("tos.rtd",,$A$2,"."&amp;W$43&amp;W$1&amp;"P"&amp;$A68))</f>
        <v>0</v>
      </c>
      <c r="X68" s="56">
        <f ca="1">IF(RTD("tos.rtd",,$A$2,"."&amp;X$43&amp;X$1&amp;"C"&amp;$A68)="N/A",0,RTD("tos.rtd",,$A$2,"."&amp;X$43&amp;X$1&amp;"C"&amp;$A68))-IF(RTD("tos.rtd",,$A$2,"."&amp;X$43&amp;X$1&amp;"P"&amp;$A68)="N/A",0,RTD("tos.rtd",,$A$2,"."&amp;X$43&amp;X$1&amp;"P"&amp;$A68))</f>
        <v>0</v>
      </c>
      <c r="Y68" s="63">
        <f t="shared" ca="1" si="10"/>
        <v>5425</v>
      </c>
    </row>
    <row r="69" spans="1:25" x14ac:dyDescent="0.25">
      <c r="A69" s="58">
        <f>+Hoja1!A68</f>
        <v>606</v>
      </c>
      <c r="B69" s="56">
        <f ca="1">IF(RTD("tos.rtd",,$A$2,"."&amp;B$43&amp;B$1&amp;"C"&amp;$A69)="N/A",0,RTD("tos.rtd",,$A$2,"."&amp;B$43&amp;B$1&amp;"C"&amp;$A69))-IF(RTD("tos.rtd",,$A$2,"."&amp;B$43&amp;B$1&amp;"P"&amp;$A69)="N/A",0,RTD("tos.rtd",,$A$2,"."&amp;B$43&amp;B$1&amp;"P"&amp;$A69))</f>
        <v>9761</v>
      </c>
      <c r="C69" s="56">
        <f ca="1">IF(RTD("tos.rtd",,$A$2,"."&amp;C$43&amp;C$1&amp;"C"&amp;$A69)="N/A",0,RTD("tos.rtd",,$A$2,"."&amp;C$43&amp;C$1&amp;"C"&amp;$A69))-IF(RTD("tos.rtd",,$A$2,"."&amp;C$43&amp;C$1&amp;"P"&amp;$A69)="N/A",0,RTD("tos.rtd",,$A$2,"."&amp;C$43&amp;C$1&amp;"P"&amp;$A69))</f>
        <v>-1243</v>
      </c>
      <c r="D69" s="56">
        <f ca="1">IF(RTD("tos.rtd",,$A$2,"."&amp;D$43&amp;D$1&amp;"C"&amp;$A69)="N/A",0,RTD("tos.rtd",,$A$2,"."&amp;D$43&amp;D$1&amp;"C"&amp;$A69))-IF(RTD("tos.rtd",,$A$2,"."&amp;D$43&amp;D$1&amp;"P"&amp;$A69)="N/A",0,RTD("tos.rtd",,$A$2,"."&amp;D$43&amp;D$1&amp;"P"&amp;$A69))</f>
        <v>647</v>
      </c>
      <c r="E69" s="56">
        <f ca="1">IF(RTD("tos.rtd",,$A$2,"."&amp;E$43&amp;E$1&amp;"C"&amp;$A69)="N/A",0,RTD("tos.rtd",,$A$2,"."&amp;E$43&amp;E$1&amp;"C"&amp;$A69))-IF(RTD("tos.rtd",,$A$2,"."&amp;E$43&amp;E$1&amp;"P"&amp;$A69)="N/A",0,RTD("tos.rtd",,$A$2,"."&amp;E$43&amp;E$1&amp;"P"&amp;$A69))</f>
        <v>163</v>
      </c>
      <c r="F69" s="56">
        <f ca="1">IF(RTD("tos.rtd",,$A$2,"."&amp;F$43&amp;F$1&amp;"C"&amp;$A69)="N/A",0,RTD("tos.rtd",,$A$2,"."&amp;F$43&amp;F$1&amp;"C"&amp;$A69))-IF(RTD("tos.rtd",,$A$2,"."&amp;F$43&amp;F$1&amp;"P"&amp;$A69)="N/A",0,RTD("tos.rtd",,$A$2,"."&amp;F$43&amp;F$1&amp;"P"&amp;$A69))</f>
        <v>0</v>
      </c>
      <c r="G69" s="56">
        <f ca="1">IF(RTD("tos.rtd",,$A$2,"."&amp;G$43&amp;G$1&amp;"C"&amp;$A69)="N/A",0,RTD("tos.rtd",,$A$2,"."&amp;G$43&amp;G$1&amp;"C"&amp;$A69))-IF(RTD("tos.rtd",,$A$2,"."&amp;G$43&amp;G$1&amp;"P"&amp;$A69)="N/A",0,RTD("tos.rtd",,$A$2,"."&amp;G$43&amp;G$1&amp;"P"&amp;$A69))</f>
        <v>0</v>
      </c>
      <c r="H69" s="56">
        <f ca="1">IF(RTD("tos.rtd",,$A$2,"."&amp;H$43&amp;H$1&amp;"C"&amp;$A69)="N/A",0,RTD("tos.rtd",,$A$2,"."&amp;H$43&amp;H$1&amp;"C"&amp;$A69))-IF(RTD("tos.rtd",,$A$2,"."&amp;H$43&amp;H$1&amp;"P"&amp;$A69)="N/A",0,RTD("tos.rtd",,$A$2,"."&amp;H$43&amp;H$1&amp;"P"&amp;$A69))</f>
        <v>133</v>
      </c>
      <c r="I69" s="56">
        <f ca="1">IF(RTD("tos.rtd",,$A$2,"."&amp;I$43&amp;I$1&amp;"C"&amp;$A69)="N/A",0,RTD("tos.rtd",,$A$2,"."&amp;I$43&amp;I$1&amp;"C"&amp;$A69))-IF(RTD("tos.rtd",,$A$2,"."&amp;I$43&amp;I$1&amp;"P"&amp;$A69)="N/A",0,RTD("tos.rtd",,$A$2,"."&amp;I$43&amp;I$1&amp;"P"&amp;$A69))</f>
        <v>-202</v>
      </c>
      <c r="J69" s="56">
        <f ca="1">IF(RTD("tos.rtd",,$A$2,"."&amp;J$43&amp;J$1&amp;"C"&amp;$A69)="N/A",0,RTD("tos.rtd",,$A$2,"."&amp;J$43&amp;J$1&amp;"C"&amp;$A69))-IF(RTD("tos.rtd",,$A$2,"."&amp;J$43&amp;J$1&amp;"P"&amp;$A69)="N/A",0,RTD("tos.rtd",,$A$2,"."&amp;J$43&amp;J$1&amp;"P"&amp;$A69))</f>
        <v>-122</v>
      </c>
      <c r="K69" s="56">
        <f ca="1">IF(RTD("tos.rtd",,$A$2,"."&amp;K$43&amp;K$1&amp;"C"&amp;$A69)="N/A",0,RTD("tos.rtd",,$A$2,"."&amp;K$43&amp;K$1&amp;"C"&amp;$A69))-IF(RTD("tos.rtd",,$A$2,"."&amp;K$43&amp;K$1&amp;"P"&amp;$A69)="N/A",0,RTD("tos.rtd",,$A$2,"."&amp;K$43&amp;K$1&amp;"P"&amp;$A69))</f>
        <v>481</v>
      </c>
      <c r="L69" s="56">
        <f ca="1">IF(RTD("tos.rtd",,$A$2,"."&amp;L$43&amp;L$1&amp;"C"&amp;$A69)="N/A",0,RTD("tos.rtd",,$A$2,"."&amp;L$43&amp;L$1&amp;"C"&amp;$A69))-IF(RTD("tos.rtd",,$A$2,"."&amp;L$43&amp;L$1&amp;"P"&amp;$A69)="N/A",0,RTD("tos.rtd",,$A$2,"."&amp;L$43&amp;L$1&amp;"P"&amp;$A69))</f>
        <v>0</v>
      </c>
      <c r="M69" s="56">
        <f ca="1">IF(RTD("tos.rtd",,$A$2,"."&amp;M$43&amp;M$1&amp;"C"&amp;$A69)="N/A",0,RTD("tos.rtd",,$A$2,"."&amp;M$43&amp;M$1&amp;"C"&amp;$A69))-IF(RTD("tos.rtd",,$A$2,"."&amp;M$43&amp;M$1&amp;"P"&amp;$A69)="N/A",0,RTD("tos.rtd",,$A$2,"."&amp;M$43&amp;M$1&amp;"P"&amp;$A69))</f>
        <v>14</v>
      </c>
      <c r="N69" s="56">
        <f ca="1">IF(RTD("tos.rtd",,$A$2,"."&amp;N$43&amp;N$1&amp;"C"&amp;$A69)="N/A",0,RTD("tos.rtd",,$A$2,"."&amp;N$43&amp;N$1&amp;"C"&amp;$A69))-IF(RTD("tos.rtd",,$A$2,"."&amp;N$43&amp;N$1&amp;"P"&amp;$A69)="N/A",0,RTD("tos.rtd",,$A$2,"."&amp;N$43&amp;N$1&amp;"P"&amp;$A69))</f>
        <v>0</v>
      </c>
      <c r="O69" s="56">
        <f ca="1">IF(RTD("tos.rtd",,$A$2,"."&amp;O$43&amp;O$1&amp;"C"&amp;$A69)="N/A",0,RTD("tos.rtd",,$A$2,"."&amp;O$43&amp;O$1&amp;"C"&amp;$A69))-IF(RTD("tos.rtd",,$A$2,"."&amp;O$43&amp;O$1&amp;"P"&amp;$A69)="N/A",0,RTD("tos.rtd",,$A$2,"."&amp;O$43&amp;O$1&amp;"P"&amp;$A69))</f>
        <v>-59</v>
      </c>
      <c r="P69" s="56">
        <f ca="1">IF(RTD("tos.rtd",,$A$2,"."&amp;P$43&amp;P$1&amp;"C"&amp;$A69)="N/A",0,RTD("tos.rtd",,$A$2,"."&amp;P$43&amp;P$1&amp;"C"&amp;$A69))-IF(RTD("tos.rtd",,$A$2,"."&amp;P$43&amp;P$1&amp;"P"&amp;$A69)="N/A",0,RTD("tos.rtd",,$A$2,"."&amp;P$43&amp;P$1&amp;"P"&amp;$A69))</f>
        <v>0</v>
      </c>
      <c r="Q69" s="56">
        <f ca="1">IF(RTD("tos.rtd",,$A$2,"."&amp;Q$43&amp;Q$1&amp;"C"&amp;$A69)="N/A",0,RTD("tos.rtd",,$A$2,"."&amp;Q$43&amp;Q$1&amp;"C"&amp;$A69))-IF(RTD("tos.rtd",,$A$2,"."&amp;Q$43&amp;Q$1&amp;"P"&amp;$A69)="N/A",0,RTD("tos.rtd",,$A$2,"."&amp;Q$43&amp;Q$1&amp;"P"&amp;$A69))</f>
        <v>0</v>
      </c>
      <c r="R69" s="56">
        <f ca="1">IF(RTD("tos.rtd",,$A$2,"."&amp;R$43&amp;R$1&amp;"C"&amp;$A69)="N/A",0,RTD("tos.rtd",,$A$2,"."&amp;R$43&amp;R$1&amp;"C"&amp;$A69))-IF(RTD("tos.rtd",,$A$2,"."&amp;R$43&amp;R$1&amp;"P"&amp;$A69)="N/A",0,RTD("tos.rtd",,$A$2,"."&amp;R$43&amp;R$1&amp;"P"&amp;$A69))</f>
        <v>0</v>
      </c>
      <c r="S69" s="56">
        <f ca="1">IF(RTD("tos.rtd",,$A$2,"."&amp;S$43&amp;S$1&amp;"C"&amp;$A69)="N/A",0,RTD("tos.rtd",,$A$2,"."&amp;S$43&amp;S$1&amp;"C"&amp;$A69))-IF(RTD("tos.rtd",,$A$2,"."&amp;S$43&amp;S$1&amp;"P"&amp;$A69)="N/A",0,RTD("tos.rtd",,$A$2,"."&amp;S$43&amp;S$1&amp;"P"&amp;$A69))</f>
        <v>0</v>
      </c>
      <c r="T69" s="56">
        <f ca="1">IF(RTD("tos.rtd",,$A$2,"."&amp;T$43&amp;T$1&amp;"C"&amp;$A69)="N/A",0,RTD("tos.rtd",,$A$2,"."&amp;T$43&amp;T$1&amp;"C"&amp;$A69))-IF(RTD("tos.rtd",,$A$2,"."&amp;T$43&amp;T$1&amp;"P"&amp;$A69)="N/A",0,RTD("tos.rtd",,$A$2,"."&amp;T$43&amp;T$1&amp;"P"&amp;$A69))</f>
        <v>0</v>
      </c>
      <c r="U69" s="56">
        <f ca="1">IF(RTD("tos.rtd",,$A$2,"."&amp;U$43&amp;U$1&amp;"C"&amp;$A69)="N/A",0,RTD("tos.rtd",,$A$2,"."&amp;U$43&amp;U$1&amp;"C"&amp;$A69))-IF(RTD("tos.rtd",,$A$2,"."&amp;U$43&amp;U$1&amp;"P"&amp;$A69)="N/A",0,RTD("tos.rtd",,$A$2,"."&amp;U$43&amp;U$1&amp;"P"&amp;$A69))</f>
        <v>0</v>
      </c>
      <c r="V69" s="56">
        <f ca="1">IF(RTD("tos.rtd",,$A$2,"."&amp;V$43&amp;V$1&amp;"C"&amp;$A69)="N/A",0,RTD("tos.rtd",,$A$2,"."&amp;V$43&amp;V$1&amp;"C"&amp;$A69))-IF(RTD("tos.rtd",,$A$2,"."&amp;V$43&amp;V$1&amp;"P"&amp;$A69)="N/A",0,RTD("tos.rtd",,$A$2,"."&amp;V$43&amp;V$1&amp;"P"&amp;$A69))</f>
        <v>0</v>
      </c>
      <c r="W69" s="56">
        <f ca="1">IF(RTD("tos.rtd",,$A$2,"."&amp;W$43&amp;W$1&amp;"C"&amp;$A69)="N/A",0,RTD("tos.rtd",,$A$2,"."&amp;W$43&amp;W$1&amp;"C"&amp;$A69))-IF(RTD("tos.rtd",,$A$2,"."&amp;W$43&amp;W$1&amp;"P"&amp;$A69)="N/A",0,RTD("tos.rtd",,$A$2,"."&amp;W$43&amp;W$1&amp;"P"&amp;$A69))</f>
        <v>0</v>
      </c>
      <c r="X69" s="56">
        <f ca="1">IF(RTD("tos.rtd",,$A$2,"."&amp;X$43&amp;X$1&amp;"C"&amp;$A69)="N/A",0,RTD("tos.rtd",,$A$2,"."&amp;X$43&amp;X$1&amp;"C"&amp;$A69))-IF(RTD("tos.rtd",,$A$2,"."&amp;X$43&amp;X$1&amp;"P"&amp;$A69)="N/A",0,RTD("tos.rtd",,$A$2,"."&amp;X$43&amp;X$1&amp;"P"&amp;$A69))</f>
        <v>0</v>
      </c>
      <c r="Y69" s="63">
        <f t="shared" ca="1" si="10"/>
        <v>9573</v>
      </c>
    </row>
    <row r="70" spans="1:25" x14ac:dyDescent="0.25">
      <c r="A70" s="58">
        <f>+Hoja1!A69</f>
        <v>605</v>
      </c>
      <c r="B70" s="56">
        <f ca="1">IF(RTD("tos.rtd",,$A$2,"."&amp;B$43&amp;B$1&amp;"C"&amp;$A70)="N/A",0,RTD("tos.rtd",,$A$2,"."&amp;B$43&amp;B$1&amp;"C"&amp;$A70))-IF(RTD("tos.rtd",,$A$2,"."&amp;B$43&amp;B$1&amp;"P"&amp;$A70)="N/A",0,RTD("tos.rtd",,$A$2,"."&amp;B$43&amp;B$1&amp;"P"&amp;$A70))</f>
        <v>23136</v>
      </c>
      <c r="C70" s="56">
        <f ca="1">IF(RTD("tos.rtd",,$A$2,"."&amp;C$43&amp;C$1&amp;"C"&amp;$A70)="N/A",0,RTD("tos.rtd",,$A$2,"."&amp;C$43&amp;C$1&amp;"C"&amp;$A70))-IF(RTD("tos.rtd",,$A$2,"."&amp;C$43&amp;C$1&amp;"P"&amp;$A70)="N/A",0,RTD("tos.rtd",,$A$2,"."&amp;C$43&amp;C$1&amp;"P"&amp;$A70))</f>
        <v>2830</v>
      </c>
      <c r="D70" s="56">
        <f ca="1">IF(RTD("tos.rtd",,$A$2,"."&amp;D$43&amp;D$1&amp;"C"&amp;$A70)="N/A",0,RTD("tos.rtd",,$A$2,"."&amp;D$43&amp;D$1&amp;"C"&amp;$A70))-IF(RTD("tos.rtd",,$A$2,"."&amp;D$43&amp;D$1&amp;"P"&amp;$A70)="N/A",0,RTD("tos.rtd",,$A$2,"."&amp;D$43&amp;D$1&amp;"P"&amp;$A70))</f>
        <v>1268</v>
      </c>
      <c r="E70" s="56">
        <f ca="1">IF(RTD("tos.rtd",,$A$2,"."&amp;E$43&amp;E$1&amp;"C"&amp;$A70)="N/A",0,RTD("tos.rtd",,$A$2,"."&amp;E$43&amp;E$1&amp;"C"&amp;$A70))-IF(RTD("tos.rtd",,$A$2,"."&amp;E$43&amp;E$1&amp;"P"&amp;$A70)="N/A",0,RTD("tos.rtd",,$A$2,"."&amp;E$43&amp;E$1&amp;"P"&amp;$A70))</f>
        <v>224</v>
      </c>
      <c r="F70" s="56">
        <f ca="1">IF(RTD("tos.rtd",,$A$2,"."&amp;F$43&amp;F$1&amp;"C"&amp;$A70)="N/A",0,RTD("tos.rtd",,$A$2,"."&amp;F$43&amp;F$1&amp;"C"&amp;$A70))-IF(RTD("tos.rtd",,$A$2,"."&amp;F$43&amp;F$1&amp;"P"&amp;$A70)="N/A",0,RTD("tos.rtd",,$A$2,"."&amp;F$43&amp;F$1&amp;"P"&amp;$A70))</f>
        <v>0</v>
      </c>
      <c r="G70" s="56">
        <f ca="1">IF(RTD("tos.rtd",,$A$2,"."&amp;G$43&amp;G$1&amp;"C"&amp;$A70)="N/A",0,RTD("tos.rtd",,$A$2,"."&amp;G$43&amp;G$1&amp;"C"&amp;$A70))-IF(RTD("tos.rtd",,$A$2,"."&amp;G$43&amp;G$1&amp;"P"&amp;$A70)="N/A",0,RTD("tos.rtd",,$A$2,"."&amp;G$43&amp;G$1&amp;"P"&amp;$A70))</f>
        <v>0</v>
      </c>
      <c r="H70" s="56">
        <f ca="1">IF(RTD("tos.rtd",,$A$2,"."&amp;H$43&amp;H$1&amp;"C"&amp;$A70)="N/A",0,RTD("tos.rtd",,$A$2,"."&amp;H$43&amp;H$1&amp;"C"&amp;$A70))-IF(RTD("tos.rtd",,$A$2,"."&amp;H$43&amp;H$1&amp;"P"&amp;$A70)="N/A",0,RTD("tos.rtd",,$A$2,"."&amp;H$43&amp;H$1&amp;"P"&amp;$A70))</f>
        <v>-237</v>
      </c>
      <c r="I70" s="56">
        <f ca="1">IF(RTD("tos.rtd",,$A$2,"."&amp;I$43&amp;I$1&amp;"C"&amp;$A70)="N/A",0,RTD("tos.rtd",,$A$2,"."&amp;I$43&amp;I$1&amp;"C"&amp;$A70))-IF(RTD("tos.rtd",,$A$2,"."&amp;I$43&amp;I$1&amp;"P"&amp;$A70)="N/A",0,RTD("tos.rtd",,$A$2,"."&amp;I$43&amp;I$1&amp;"P"&amp;$A70))</f>
        <v>-92</v>
      </c>
      <c r="J70" s="56">
        <f ca="1">IF(RTD("tos.rtd",,$A$2,"."&amp;J$43&amp;J$1&amp;"C"&amp;$A70)="N/A",0,RTD("tos.rtd",,$A$2,"."&amp;J$43&amp;J$1&amp;"C"&amp;$A70))-IF(RTD("tos.rtd",,$A$2,"."&amp;J$43&amp;J$1&amp;"P"&amp;$A70)="N/A",0,RTD("tos.rtd",,$A$2,"."&amp;J$43&amp;J$1&amp;"P"&amp;$A70))</f>
        <v>514</v>
      </c>
      <c r="K70" s="56">
        <f ca="1">IF(RTD("tos.rtd",,$A$2,"."&amp;K$43&amp;K$1&amp;"C"&amp;$A70)="N/A",0,RTD("tos.rtd",,$A$2,"."&amp;K$43&amp;K$1&amp;"C"&amp;$A70))-IF(RTD("tos.rtd",,$A$2,"."&amp;K$43&amp;K$1&amp;"P"&amp;$A70)="N/A",0,RTD("tos.rtd",,$A$2,"."&amp;K$43&amp;K$1&amp;"P"&amp;$A70))</f>
        <v>-1229</v>
      </c>
      <c r="L70" s="56">
        <f ca="1">IF(RTD("tos.rtd",,$A$2,"."&amp;L$43&amp;L$1&amp;"C"&amp;$A70)="N/A",0,RTD("tos.rtd",,$A$2,"."&amp;L$43&amp;L$1&amp;"C"&amp;$A70))-IF(RTD("tos.rtd",,$A$2,"."&amp;L$43&amp;L$1&amp;"P"&amp;$A70)="N/A",0,RTD("tos.rtd",,$A$2,"."&amp;L$43&amp;L$1&amp;"P"&amp;$A70))</f>
        <v>0</v>
      </c>
      <c r="M70" s="56">
        <f ca="1">IF(RTD("tos.rtd",,$A$2,"."&amp;M$43&amp;M$1&amp;"C"&amp;$A70)="N/A",0,RTD("tos.rtd",,$A$2,"."&amp;M$43&amp;M$1&amp;"C"&amp;$A70))-IF(RTD("tos.rtd",,$A$2,"."&amp;M$43&amp;M$1&amp;"P"&amp;$A70)="N/A",0,RTD("tos.rtd",,$A$2,"."&amp;M$43&amp;M$1&amp;"P"&amp;$A70))</f>
        <v>2</v>
      </c>
      <c r="N70" s="56">
        <f ca="1">IF(RTD("tos.rtd",,$A$2,"."&amp;N$43&amp;N$1&amp;"C"&amp;$A70)="N/A",0,RTD("tos.rtd",,$A$2,"."&amp;N$43&amp;N$1&amp;"C"&amp;$A70))-IF(RTD("tos.rtd",,$A$2,"."&amp;N$43&amp;N$1&amp;"P"&amp;$A70)="N/A",0,RTD("tos.rtd",,$A$2,"."&amp;N$43&amp;N$1&amp;"P"&amp;$A70))</f>
        <v>0</v>
      </c>
      <c r="O70" s="56">
        <f ca="1">IF(RTD("tos.rtd",,$A$2,"."&amp;O$43&amp;O$1&amp;"C"&amp;$A70)="N/A",0,RTD("tos.rtd",,$A$2,"."&amp;O$43&amp;O$1&amp;"C"&amp;$A70))-IF(RTD("tos.rtd",,$A$2,"."&amp;O$43&amp;O$1&amp;"P"&amp;$A70)="N/A",0,RTD("tos.rtd",,$A$2,"."&amp;O$43&amp;O$1&amp;"P"&amp;$A70))</f>
        <v>-49</v>
      </c>
      <c r="P70" s="56">
        <f ca="1">IF(RTD("tos.rtd",,$A$2,"."&amp;P$43&amp;P$1&amp;"C"&amp;$A70)="N/A",0,RTD("tos.rtd",,$A$2,"."&amp;P$43&amp;P$1&amp;"C"&amp;$A70))-IF(RTD("tos.rtd",,$A$2,"."&amp;P$43&amp;P$1&amp;"P"&amp;$A70)="N/A",0,RTD("tos.rtd",,$A$2,"."&amp;P$43&amp;P$1&amp;"P"&amp;$A70))</f>
        <v>0</v>
      </c>
      <c r="Q70" s="56">
        <f ca="1">IF(RTD("tos.rtd",,$A$2,"."&amp;Q$43&amp;Q$1&amp;"C"&amp;$A70)="N/A",0,RTD("tos.rtd",,$A$2,"."&amp;Q$43&amp;Q$1&amp;"C"&amp;$A70))-IF(RTD("tos.rtd",,$A$2,"."&amp;Q$43&amp;Q$1&amp;"P"&amp;$A70)="N/A",0,RTD("tos.rtd",,$A$2,"."&amp;Q$43&amp;Q$1&amp;"P"&amp;$A70))</f>
        <v>0</v>
      </c>
      <c r="R70" s="56">
        <f ca="1">IF(RTD("tos.rtd",,$A$2,"."&amp;R$43&amp;R$1&amp;"C"&amp;$A70)="N/A",0,RTD("tos.rtd",,$A$2,"."&amp;R$43&amp;R$1&amp;"C"&amp;$A70))-IF(RTD("tos.rtd",,$A$2,"."&amp;R$43&amp;R$1&amp;"P"&amp;$A70)="N/A",0,RTD("tos.rtd",,$A$2,"."&amp;R$43&amp;R$1&amp;"P"&amp;$A70))</f>
        <v>0</v>
      </c>
      <c r="S70" s="56">
        <f ca="1">IF(RTD("tos.rtd",,$A$2,"."&amp;S$43&amp;S$1&amp;"C"&amp;$A70)="N/A",0,RTD("tos.rtd",,$A$2,"."&amp;S$43&amp;S$1&amp;"C"&amp;$A70))-IF(RTD("tos.rtd",,$A$2,"."&amp;S$43&amp;S$1&amp;"P"&amp;$A70)="N/A",0,RTD("tos.rtd",,$A$2,"."&amp;S$43&amp;S$1&amp;"P"&amp;$A70))</f>
        <v>0</v>
      </c>
      <c r="T70" s="56">
        <f ca="1">IF(RTD("tos.rtd",,$A$2,"."&amp;T$43&amp;T$1&amp;"C"&amp;$A70)="N/A",0,RTD("tos.rtd",,$A$2,"."&amp;T$43&amp;T$1&amp;"C"&amp;$A70))-IF(RTD("tos.rtd",,$A$2,"."&amp;T$43&amp;T$1&amp;"P"&amp;$A70)="N/A",0,RTD("tos.rtd",,$A$2,"."&amp;T$43&amp;T$1&amp;"P"&amp;$A70))</f>
        <v>0</v>
      </c>
      <c r="U70" s="56">
        <f ca="1">IF(RTD("tos.rtd",,$A$2,"."&amp;U$43&amp;U$1&amp;"C"&amp;$A70)="N/A",0,RTD("tos.rtd",,$A$2,"."&amp;U$43&amp;U$1&amp;"C"&amp;$A70))-IF(RTD("tos.rtd",,$A$2,"."&amp;U$43&amp;U$1&amp;"P"&amp;$A70)="N/A",0,RTD("tos.rtd",,$A$2,"."&amp;U$43&amp;U$1&amp;"P"&amp;$A70))</f>
        <v>0</v>
      </c>
      <c r="V70" s="56">
        <f ca="1">IF(RTD("tos.rtd",,$A$2,"."&amp;V$43&amp;V$1&amp;"C"&amp;$A70)="N/A",0,RTD("tos.rtd",,$A$2,"."&amp;V$43&amp;V$1&amp;"C"&amp;$A70))-IF(RTD("tos.rtd",,$A$2,"."&amp;V$43&amp;V$1&amp;"P"&amp;$A70)="N/A",0,RTD("tos.rtd",,$A$2,"."&amp;V$43&amp;V$1&amp;"P"&amp;$A70))</f>
        <v>0</v>
      </c>
      <c r="W70" s="56">
        <f ca="1">IF(RTD("tos.rtd",,$A$2,"."&amp;W$43&amp;W$1&amp;"C"&amp;$A70)="N/A",0,RTD("tos.rtd",,$A$2,"."&amp;W$43&amp;W$1&amp;"C"&amp;$A70))-IF(RTD("tos.rtd",,$A$2,"."&amp;W$43&amp;W$1&amp;"P"&amp;$A70)="N/A",0,RTD("tos.rtd",,$A$2,"."&amp;W$43&amp;W$1&amp;"P"&amp;$A70))</f>
        <v>0</v>
      </c>
      <c r="X70" s="56">
        <f ca="1">IF(RTD("tos.rtd",,$A$2,"."&amp;X$43&amp;X$1&amp;"C"&amp;$A70)="N/A",0,RTD("tos.rtd",,$A$2,"."&amp;X$43&amp;X$1&amp;"C"&amp;$A70))-IF(RTD("tos.rtd",,$A$2,"."&amp;X$43&amp;X$1&amp;"P"&amp;$A70)="N/A",0,RTD("tos.rtd",,$A$2,"."&amp;X$43&amp;X$1&amp;"P"&amp;$A70))</f>
        <v>0</v>
      </c>
      <c r="Y70" s="63">
        <f t="shared" ca="1" si="10"/>
        <v>26367</v>
      </c>
    </row>
    <row r="71" spans="1:25" x14ac:dyDescent="0.25">
      <c r="A71" s="58">
        <f>+Hoja1!A70</f>
        <v>604</v>
      </c>
      <c r="B71" s="56">
        <f ca="1">IF(RTD("tos.rtd",,$A$2,"."&amp;B$43&amp;B$1&amp;"C"&amp;$A71)="N/A",0,RTD("tos.rtd",,$A$2,"."&amp;B$43&amp;B$1&amp;"C"&amp;$A71))-IF(RTD("tos.rtd",,$A$2,"."&amp;B$43&amp;B$1&amp;"P"&amp;$A71)="N/A",0,RTD("tos.rtd",,$A$2,"."&amp;B$43&amp;B$1&amp;"P"&amp;$A71))</f>
        <v>-397</v>
      </c>
      <c r="C71" s="56">
        <f ca="1">IF(RTD("tos.rtd",,$A$2,"."&amp;C$43&amp;C$1&amp;"C"&amp;$A71)="N/A",0,RTD("tos.rtd",,$A$2,"."&amp;C$43&amp;C$1&amp;"C"&amp;$A71))-IF(RTD("tos.rtd",,$A$2,"."&amp;C$43&amp;C$1&amp;"P"&amp;$A71)="N/A",0,RTD("tos.rtd",,$A$2,"."&amp;C$43&amp;C$1&amp;"P"&amp;$A71))</f>
        <v>2953</v>
      </c>
      <c r="D71" s="56">
        <f ca="1">IF(RTD("tos.rtd",,$A$2,"."&amp;D$43&amp;D$1&amp;"C"&amp;$A71)="N/A",0,RTD("tos.rtd",,$A$2,"."&amp;D$43&amp;D$1&amp;"C"&amp;$A71))-IF(RTD("tos.rtd",,$A$2,"."&amp;D$43&amp;D$1&amp;"P"&amp;$A71)="N/A",0,RTD("tos.rtd",,$A$2,"."&amp;D$43&amp;D$1&amp;"P"&amp;$A71))</f>
        <v>-401</v>
      </c>
      <c r="E71" s="56">
        <f ca="1">IF(RTD("tos.rtd",,$A$2,"."&amp;E$43&amp;E$1&amp;"C"&amp;$A71)="N/A",0,RTD("tos.rtd",,$A$2,"."&amp;E$43&amp;E$1&amp;"C"&amp;$A71))-IF(RTD("tos.rtd",,$A$2,"."&amp;E$43&amp;E$1&amp;"P"&amp;$A71)="N/A",0,RTD("tos.rtd",,$A$2,"."&amp;E$43&amp;E$1&amp;"P"&amp;$A71))</f>
        <v>197</v>
      </c>
      <c r="F71" s="56">
        <f ca="1">IF(RTD("tos.rtd",,$A$2,"."&amp;F$43&amp;F$1&amp;"C"&amp;$A71)="N/A",0,RTD("tos.rtd",,$A$2,"."&amp;F$43&amp;F$1&amp;"C"&amp;$A71))-IF(RTD("tos.rtd",,$A$2,"."&amp;F$43&amp;F$1&amp;"P"&amp;$A71)="N/A",0,RTD("tos.rtd",,$A$2,"."&amp;F$43&amp;F$1&amp;"P"&amp;$A71))</f>
        <v>0</v>
      </c>
      <c r="G71" s="56">
        <f ca="1">IF(RTD("tos.rtd",,$A$2,"."&amp;G$43&amp;G$1&amp;"C"&amp;$A71)="N/A",0,RTD("tos.rtd",,$A$2,"."&amp;G$43&amp;G$1&amp;"C"&amp;$A71))-IF(RTD("tos.rtd",,$A$2,"."&amp;G$43&amp;G$1&amp;"P"&amp;$A71)="N/A",0,RTD("tos.rtd",,$A$2,"."&amp;G$43&amp;G$1&amp;"P"&amp;$A71))</f>
        <v>0</v>
      </c>
      <c r="H71" s="56">
        <f ca="1">IF(RTD("tos.rtd",,$A$2,"."&amp;H$43&amp;H$1&amp;"C"&amp;$A71)="N/A",0,RTD("tos.rtd",,$A$2,"."&amp;H$43&amp;H$1&amp;"C"&amp;$A71))-IF(RTD("tos.rtd",,$A$2,"."&amp;H$43&amp;H$1&amp;"P"&amp;$A71)="N/A",0,RTD("tos.rtd",,$A$2,"."&amp;H$43&amp;H$1&amp;"P"&amp;$A71))</f>
        <v>-1410</v>
      </c>
      <c r="I71" s="56">
        <f ca="1">IF(RTD("tos.rtd",,$A$2,"."&amp;I$43&amp;I$1&amp;"C"&amp;$A71)="N/A",0,RTD("tos.rtd",,$A$2,"."&amp;I$43&amp;I$1&amp;"C"&amp;$A71))-IF(RTD("tos.rtd",,$A$2,"."&amp;I$43&amp;I$1&amp;"P"&amp;$A71)="N/A",0,RTD("tos.rtd",,$A$2,"."&amp;I$43&amp;I$1&amp;"P"&amp;$A71))</f>
        <v>-384</v>
      </c>
      <c r="J71" s="56">
        <f ca="1">IF(RTD("tos.rtd",,$A$2,"."&amp;J$43&amp;J$1&amp;"C"&amp;$A71)="N/A",0,RTD("tos.rtd",,$A$2,"."&amp;J$43&amp;J$1&amp;"C"&amp;$A71))-IF(RTD("tos.rtd",,$A$2,"."&amp;J$43&amp;J$1&amp;"P"&amp;$A71)="N/A",0,RTD("tos.rtd",,$A$2,"."&amp;J$43&amp;J$1&amp;"P"&amp;$A71))</f>
        <v>-113</v>
      </c>
      <c r="K71" s="56">
        <f ca="1">IF(RTD("tos.rtd",,$A$2,"."&amp;K$43&amp;K$1&amp;"C"&amp;$A71)="N/A",0,RTD("tos.rtd",,$A$2,"."&amp;K$43&amp;K$1&amp;"C"&amp;$A71))-IF(RTD("tos.rtd",,$A$2,"."&amp;K$43&amp;K$1&amp;"P"&amp;$A71)="N/A",0,RTD("tos.rtd",,$A$2,"."&amp;K$43&amp;K$1&amp;"P"&amp;$A71))</f>
        <v>-108</v>
      </c>
      <c r="L71" s="56">
        <f ca="1">IF(RTD("tos.rtd",,$A$2,"."&amp;L$43&amp;L$1&amp;"C"&amp;$A71)="N/A",0,RTD("tos.rtd",,$A$2,"."&amp;L$43&amp;L$1&amp;"C"&amp;$A71))-IF(RTD("tos.rtd",,$A$2,"."&amp;L$43&amp;L$1&amp;"P"&amp;$A71)="N/A",0,RTD("tos.rtd",,$A$2,"."&amp;L$43&amp;L$1&amp;"P"&amp;$A71))</f>
        <v>0</v>
      </c>
      <c r="M71" s="56">
        <f ca="1">IF(RTD("tos.rtd",,$A$2,"."&amp;M$43&amp;M$1&amp;"C"&amp;$A71)="N/A",0,RTD("tos.rtd",,$A$2,"."&amp;M$43&amp;M$1&amp;"C"&amp;$A71))-IF(RTD("tos.rtd",,$A$2,"."&amp;M$43&amp;M$1&amp;"P"&amp;$A71)="N/A",0,RTD("tos.rtd",,$A$2,"."&amp;M$43&amp;M$1&amp;"P"&amp;$A71))</f>
        <v>-5</v>
      </c>
      <c r="N71" s="56">
        <f ca="1">IF(RTD("tos.rtd",,$A$2,"."&amp;N$43&amp;N$1&amp;"C"&amp;$A71)="N/A",0,RTD("tos.rtd",,$A$2,"."&amp;N$43&amp;N$1&amp;"C"&amp;$A71))-IF(RTD("tos.rtd",,$A$2,"."&amp;N$43&amp;N$1&amp;"P"&amp;$A71)="N/A",0,RTD("tos.rtd",,$A$2,"."&amp;N$43&amp;N$1&amp;"P"&amp;$A71))</f>
        <v>0</v>
      </c>
      <c r="O71" s="56">
        <f ca="1">IF(RTD("tos.rtd",,$A$2,"."&amp;O$43&amp;O$1&amp;"C"&amp;$A71)="N/A",0,RTD("tos.rtd",,$A$2,"."&amp;O$43&amp;O$1&amp;"C"&amp;$A71))-IF(RTD("tos.rtd",,$A$2,"."&amp;O$43&amp;O$1&amp;"P"&amp;$A71)="N/A",0,RTD("tos.rtd",,$A$2,"."&amp;O$43&amp;O$1&amp;"P"&amp;$A71))</f>
        <v>42</v>
      </c>
      <c r="P71" s="56">
        <f ca="1">IF(RTD("tos.rtd",,$A$2,"."&amp;P$43&amp;P$1&amp;"C"&amp;$A71)="N/A",0,RTD("tos.rtd",,$A$2,"."&amp;P$43&amp;P$1&amp;"C"&amp;$A71))-IF(RTD("tos.rtd",,$A$2,"."&amp;P$43&amp;P$1&amp;"P"&amp;$A71)="N/A",0,RTD("tos.rtd",,$A$2,"."&amp;P$43&amp;P$1&amp;"P"&amp;$A71))</f>
        <v>0</v>
      </c>
      <c r="Q71" s="56">
        <f ca="1">IF(RTD("tos.rtd",,$A$2,"."&amp;Q$43&amp;Q$1&amp;"C"&amp;$A71)="N/A",0,RTD("tos.rtd",,$A$2,"."&amp;Q$43&amp;Q$1&amp;"C"&amp;$A71))-IF(RTD("tos.rtd",,$A$2,"."&amp;Q$43&amp;Q$1&amp;"P"&amp;$A71)="N/A",0,RTD("tos.rtd",,$A$2,"."&amp;Q$43&amp;Q$1&amp;"P"&amp;$A71))</f>
        <v>0</v>
      </c>
      <c r="R71" s="56">
        <f ca="1">IF(RTD("tos.rtd",,$A$2,"."&amp;R$43&amp;R$1&amp;"C"&amp;$A71)="N/A",0,RTD("tos.rtd",,$A$2,"."&amp;R$43&amp;R$1&amp;"C"&amp;$A71))-IF(RTD("tos.rtd",,$A$2,"."&amp;R$43&amp;R$1&amp;"P"&amp;$A71)="N/A",0,RTD("tos.rtd",,$A$2,"."&amp;R$43&amp;R$1&amp;"P"&amp;$A71))</f>
        <v>0</v>
      </c>
      <c r="S71" s="56">
        <f ca="1">IF(RTD("tos.rtd",,$A$2,"."&amp;S$43&amp;S$1&amp;"C"&amp;$A71)="N/A",0,RTD("tos.rtd",,$A$2,"."&amp;S$43&amp;S$1&amp;"C"&amp;$A71))-IF(RTD("tos.rtd",,$A$2,"."&amp;S$43&amp;S$1&amp;"P"&amp;$A71)="N/A",0,RTD("tos.rtd",,$A$2,"."&amp;S$43&amp;S$1&amp;"P"&amp;$A71))</f>
        <v>0</v>
      </c>
      <c r="T71" s="56">
        <f ca="1">IF(RTD("tos.rtd",,$A$2,"."&amp;T$43&amp;T$1&amp;"C"&amp;$A71)="N/A",0,RTD("tos.rtd",,$A$2,"."&amp;T$43&amp;T$1&amp;"C"&amp;$A71))-IF(RTD("tos.rtd",,$A$2,"."&amp;T$43&amp;T$1&amp;"P"&amp;$A71)="N/A",0,RTD("tos.rtd",,$A$2,"."&amp;T$43&amp;T$1&amp;"P"&amp;$A71))</f>
        <v>0</v>
      </c>
      <c r="U71" s="56">
        <f ca="1">IF(RTD("tos.rtd",,$A$2,"."&amp;U$43&amp;U$1&amp;"C"&amp;$A71)="N/A",0,RTD("tos.rtd",,$A$2,"."&amp;U$43&amp;U$1&amp;"C"&amp;$A71))-IF(RTD("tos.rtd",,$A$2,"."&amp;U$43&amp;U$1&amp;"P"&amp;$A71)="N/A",0,RTD("tos.rtd",,$A$2,"."&amp;U$43&amp;U$1&amp;"P"&amp;$A71))</f>
        <v>0</v>
      </c>
      <c r="V71" s="56">
        <f ca="1">IF(RTD("tos.rtd",,$A$2,"."&amp;V$43&amp;V$1&amp;"C"&amp;$A71)="N/A",0,RTD("tos.rtd",,$A$2,"."&amp;V$43&amp;V$1&amp;"C"&amp;$A71))-IF(RTD("tos.rtd",,$A$2,"."&amp;V$43&amp;V$1&amp;"P"&amp;$A71)="N/A",0,RTD("tos.rtd",,$A$2,"."&amp;V$43&amp;V$1&amp;"P"&amp;$A71))</f>
        <v>0</v>
      </c>
      <c r="W71" s="56">
        <f ca="1">IF(RTD("tos.rtd",,$A$2,"."&amp;W$43&amp;W$1&amp;"C"&amp;$A71)="N/A",0,RTD("tos.rtd",,$A$2,"."&amp;W$43&amp;W$1&amp;"C"&amp;$A71))-IF(RTD("tos.rtd",,$A$2,"."&amp;W$43&amp;W$1&amp;"P"&amp;$A71)="N/A",0,RTD("tos.rtd",,$A$2,"."&amp;W$43&amp;W$1&amp;"P"&amp;$A71))</f>
        <v>0</v>
      </c>
      <c r="X71" s="56">
        <f ca="1">IF(RTD("tos.rtd",,$A$2,"."&amp;X$43&amp;X$1&amp;"C"&amp;$A71)="N/A",0,RTD("tos.rtd",,$A$2,"."&amp;X$43&amp;X$1&amp;"C"&amp;$A71))-IF(RTD("tos.rtd",,$A$2,"."&amp;X$43&amp;X$1&amp;"P"&amp;$A71)="N/A",0,RTD("tos.rtd",,$A$2,"."&amp;X$43&amp;X$1&amp;"P"&amp;$A71))</f>
        <v>0</v>
      </c>
      <c r="Y71" s="63">
        <f t="shared" ca="1" si="10"/>
        <v>374</v>
      </c>
    </row>
    <row r="72" spans="1:25" x14ac:dyDescent="0.25">
      <c r="A72" s="58">
        <f>+Hoja1!A71</f>
        <v>603</v>
      </c>
      <c r="B72" s="56">
        <f ca="1">IF(RTD("tos.rtd",,$A$2,"."&amp;B$43&amp;B$1&amp;"C"&amp;$A72)="N/A",0,RTD("tos.rtd",,$A$2,"."&amp;B$43&amp;B$1&amp;"C"&amp;$A72))-IF(RTD("tos.rtd",,$A$2,"."&amp;B$43&amp;B$1&amp;"P"&amp;$A72)="N/A",0,RTD("tos.rtd",,$A$2,"."&amp;B$43&amp;B$1&amp;"P"&amp;$A72))</f>
        <v>2624</v>
      </c>
      <c r="C72" s="56">
        <f ca="1">IF(RTD("tos.rtd",,$A$2,"."&amp;C$43&amp;C$1&amp;"C"&amp;$A72)="N/A",0,RTD("tos.rtd",,$A$2,"."&amp;C$43&amp;C$1&amp;"C"&amp;$A72))-IF(RTD("tos.rtd",,$A$2,"."&amp;C$43&amp;C$1&amp;"P"&amp;$A72)="N/A",0,RTD("tos.rtd",,$A$2,"."&amp;C$43&amp;C$1&amp;"P"&amp;$A72))</f>
        <v>859</v>
      </c>
      <c r="D72" s="56">
        <f ca="1">IF(RTD("tos.rtd",,$A$2,"."&amp;D$43&amp;D$1&amp;"C"&amp;$A72)="N/A",0,RTD("tos.rtd",,$A$2,"."&amp;D$43&amp;D$1&amp;"C"&amp;$A72))-IF(RTD("tos.rtd",,$A$2,"."&amp;D$43&amp;D$1&amp;"P"&amp;$A72)="N/A",0,RTD("tos.rtd",,$A$2,"."&amp;D$43&amp;D$1&amp;"P"&amp;$A72))</f>
        <v>-992</v>
      </c>
      <c r="E72" s="56">
        <f ca="1">IF(RTD("tos.rtd",,$A$2,"."&amp;E$43&amp;E$1&amp;"C"&amp;$A72)="N/A",0,RTD("tos.rtd",,$A$2,"."&amp;E$43&amp;E$1&amp;"C"&amp;$A72))-IF(RTD("tos.rtd",,$A$2,"."&amp;E$43&amp;E$1&amp;"P"&amp;$A72)="N/A",0,RTD("tos.rtd",,$A$2,"."&amp;E$43&amp;E$1&amp;"P"&amp;$A72))</f>
        <v>-576</v>
      </c>
      <c r="F72" s="56">
        <f ca="1">IF(RTD("tos.rtd",,$A$2,"."&amp;F$43&amp;F$1&amp;"C"&amp;$A72)="N/A",0,RTD("tos.rtd",,$A$2,"."&amp;F$43&amp;F$1&amp;"C"&amp;$A72))-IF(RTD("tos.rtd",,$A$2,"."&amp;F$43&amp;F$1&amp;"P"&amp;$A72)="N/A",0,RTD("tos.rtd",,$A$2,"."&amp;F$43&amp;F$1&amp;"P"&amp;$A72))</f>
        <v>0</v>
      </c>
      <c r="G72" s="56">
        <f ca="1">IF(RTD("tos.rtd",,$A$2,"."&amp;G$43&amp;G$1&amp;"C"&amp;$A72)="N/A",0,RTD("tos.rtd",,$A$2,"."&amp;G$43&amp;G$1&amp;"C"&amp;$A72))-IF(RTD("tos.rtd",,$A$2,"."&amp;G$43&amp;G$1&amp;"P"&amp;$A72)="N/A",0,RTD("tos.rtd",,$A$2,"."&amp;G$43&amp;G$1&amp;"P"&amp;$A72))</f>
        <v>0</v>
      </c>
      <c r="H72" s="56">
        <f ca="1">IF(RTD("tos.rtd",,$A$2,"."&amp;H$43&amp;H$1&amp;"C"&amp;$A72)="N/A",0,RTD("tos.rtd",,$A$2,"."&amp;H$43&amp;H$1&amp;"C"&amp;$A72))-IF(RTD("tos.rtd",,$A$2,"."&amp;H$43&amp;H$1&amp;"P"&amp;$A72)="N/A",0,RTD("tos.rtd",,$A$2,"."&amp;H$43&amp;H$1&amp;"P"&amp;$A72))</f>
        <v>90</v>
      </c>
      <c r="I72" s="56">
        <f ca="1">IF(RTD("tos.rtd",,$A$2,"."&amp;I$43&amp;I$1&amp;"C"&amp;$A72)="N/A",0,RTD("tos.rtd",,$A$2,"."&amp;I$43&amp;I$1&amp;"C"&amp;$A72))-IF(RTD("tos.rtd",,$A$2,"."&amp;I$43&amp;I$1&amp;"P"&amp;$A72)="N/A",0,RTD("tos.rtd",,$A$2,"."&amp;I$43&amp;I$1&amp;"P"&amp;$A72))</f>
        <v>-124</v>
      </c>
      <c r="J72" s="56">
        <f ca="1">IF(RTD("tos.rtd",,$A$2,"."&amp;J$43&amp;J$1&amp;"C"&amp;$A72)="N/A",0,RTD("tos.rtd",,$A$2,"."&amp;J$43&amp;J$1&amp;"C"&amp;$A72))-IF(RTD("tos.rtd",,$A$2,"."&amp;J$43&amp;J$1&amp;"P"&amp;$A72)="N/A",0,RTD("tos.rtd",,$A$2,"."&amp;J$43&amp;J$1&amp;"P"&amp;$A72))</f>
        <v>19</v>
      </c>
      <c r="K72" s="56">
        <f ca="1">IF(RTD("tos.rtd",,$A$2,"."&amp;K$43&amp;K$1&amp;"C"&amp;$A72)="N/A",0,RTD("tos.rtd",,$A$2,"."&amp;K$43&amp;K$1&amp;"C"&amp;$A72))-IF(RTD("tos.rtd",,$A$2,"."&amp;K$43&amp;K$1&amp;"P"&amp;$A72)="N/A",0,RTD("tos.rtd",,$A$2,"."&amp;K$43&amp;K$1&amp;"P"&amp;$A72))</f>
        <v>-258</v>
      </c>
      <c r="L72" s="56">
        <f ca="1">IF(RTD("tos.rtd",,$A$2,"."&amp;L$43&amp;L$1&amp;"C"&amp;$A72)="N/A",0,RTD("tos.rtd",,$A$2,"."&amp;L$43&amp;L$1&amp;"C"&amp;$A72))-IF(RTD("tos.rtd",,$A$2,"."&amp;L$43&amp;L$1&amp;"P"&amp;$A72)="N/A",0,RTD("tos.rtd",,$A$2,"."&amp;L$43&amp;L$1&amp;"P"&amp;$A72))</f>
        <v>0</v>
      </c>
      <c r="M72" s="56">
        <f ca="1">IF(RTD("tos.rtd",,$A$2,"."&amp;M$43&amp;M$1&amp;"C"&amp;$A72)="N/A",0,RTD("tos.rtd",,$A$2,"."&amp;M$43&amp;M$1&amp;"C"&amp;$A72))-IF(RTD("tos.rtd",,$A$2,"."&amp;M$43&amp;M$1&amp;"P"&amp;$A72)="N/A",0,RTD("tos.rtd",,$A$2,"."&amp;M$43&amp;M$1&amp;"P"&amp;$A72))</f>
        <v>4</v>
      </c>
      <c r="N72" s="56">
        <f ca="1">IF(RTD("tos.rtd",,$A$2,"."&amp;N$43&amp;N$1&amp;"C"&amp;$A72)="N/A",0,RTD("tos.rtd",,$A$2,"."&amp;N$43&amp;N$1&amp;"C"&amp;$A72))-IF(RTD("tos.rtd",,$A$2,"."&amp;N$43&amp;N$1&amp;"P"&amp;$A72)="N/A",0,RTD("tos.rtd",,$A$2,"."&amp;N$43&amp;N$1&amp;"P"&amp;$A72))</f>
        <v>0</v>
      </c>
      <c r="O72" s="56">
        <f ca="1">IF(RTD("tos.rtd",,$A$2,"."&amp;O$43&amp;O$1&amp;"C"&amp;$A72)="N/A",0,RTD("tos.rtd",,$A$2,"."&amp;O$43&amp;O$1&amp;"C"&amp;$A72))-IF(RTD("tos.rtd",,$A$2,"."&amp;O$43&amp;O$1&amp;"P"&amp;$A72)="N/A",0,RTD("tos.rtd",,$A$2,"."&amp;O$43&amp;O$1&amp;"P"&amp;$A72))</f>
        <v>20</v>
      </c>
      <c r="P72" s="56">
        <f ca="1">IF(RTD("tos.rtd",,$A$2,"."&amp;P$43&amp;P$1&amp;"C"&amp;$A72)="N/A",0,RTD("tos.rtd",,$A$2,"."&amp;P$43&amp;P$1&amp;"C"&amp;$A72))-IF(RTD("tos.rtd",,$A$2,"."&amp;P$43&amp;P$1&amp;"P"&amp;$A72)="N/A",0,RTD("tos.rtd",,$A$2,"."&amp;P$43&amp;P$1&amp;"P"&amp;$A72))</f>
        <v>0</v>
      </c>
      <c r="Q72" s="56">
        <f ca="1">IF(RTD("tos.rtd",,$A$2,"."&amp;Q$43&amp;Q$1&amp;"C"&amp;$A72)="N/A",0,RTD("tos.rtd",,$A$2,"."&amp;Q$43&amp;Q$1&amp;"C"&amp;$A72))-IF(RTD("tos.rtd",,$A$2,"."&amp;Q$43&amp;Q$1&amp;"P"&amp;$A72)="N/A",0,RTD("tos.rtd",,$A$2,"."&amp;Q$43&amp;Q$1&amp;"P"&amp;$A72))</f>
        <v>0</v>
      </c>
      <c r="R72" s="56">
        <f ca="1">IF(RTD("tos.rtd",,$A$2,"."&amp;R$43&amp;R$1&amp;"C"&amp;$A72)="N/A",0,RTD("tos.rtd",,$A$2,"."&amp;R$43&amp;R$1&amp;"C"&amp;$A72))-IF(RTD("tos.rtd",,$A$2,"."&amp;R$43&amp;R$1&amp;"P"&amp;$A72)="N/A",0,RTD("tos.rtd",,$A$2,"."&amp;R$43&amp;R$1&amp;"P"&amp;$A72))</f>
        <v>0</v>
      </c>
      <c r="S72" s="56">
        <f ca="1">IF(RTD("tos.rtd",,$A$2,"."&amp;S$43&amp;S$1&amp;"C"&amp;$A72)="N/A",0,RTD("tos.rtd",,$A$2,"."&amp;S$43&amp;S$1&amp;"C"&amp;$A72))-IF(RTD("tos.rtd",,$A$2,"."&amp;S$43&amp;S$1&amp;"P"&amp;$A72)="N/A",0,RTD("tos.rtd",,$A$2,"."&amp;S$43&amp;S$1&amp;"P"&amp;$A72))</f>
        <v>0</v>
      </c>
      <c r="T72" s="56">
        <f ca="1">IF(RTD("tos.rtd",,$A$2,"."&amp;T$43&amp;T$1&amp;"C"&amp;$A72)="N/A",0,RTD("tos.rtd",,$A$2,"."&amp;T$43&amp;T$1&amp;"C"&amp;$A72))-IF(RTD("tos.rtd",,$A$2,"."&amp;T$43&amp;T$1&amp;"P"&amp;$A72)="N/A",0,RTD("tos.rtd",,$A$2,"."&amp;T$43&amp;T$1&amp;"P"&amp;$A72))</f>
        <v>0</v>
      </c>
      <c r="U72" s="56">
        <f ca="1">IF(RTD("tos.rtd",,$A$2,"."&amp;U$43&amp;U$1&amp;"C"&amp;$A72)="N/A",0,RTD("tos.rtd",,$A$2,"."&amp;U$43&amp;U$1&amp;"C"&amp;$A72))-IF(RTD("tos.rtd",,$A$2,"."&amp;U$43&amp;U$1&amp;"P"&amp;$A72)="N/A",0,RTD("tos.rtd",,$A$2,"."&amp;U$43&amp;U$1&amp;"P"&amp;$A72))</f>
        <v>0</v>
      </c>
      <c r="V72" s="56">
        <f ca="1">IF(RTD("tos.rtd",,$A$2,"."&amp;V$43&amp;V$1&amp;"C"&amp;$A72)="N/A",0,RTD("tos.rtd",,$A$2,"."&amp;V$43&amp;V$1&amp;"C"&amp;$A72))-IF(RTD("tos.rtd",,$A$2,"."&amp;V$43&amp;V$1&amp;"P"&amp;$A72)="N/A",0,RTD("tos.rtd",,$A$2,"."&amp;V$43&amp;V$1&amp;"P"&amp;$A72))</f>
        <v>0</v>
      </c>
      <c r="W72" s="56">
        <f ca="1">IF(RTD("tos.rtd",,$A$2,"."&amp;W$43&amp;W$1&amp;"C"&amp;$A72)="N/A",0,RTD("tos.rtd",,$A$2,"."&amp;W$43&amp;W$1&amp;"C"&amp;$A72))-IF(RTD("tos.rtd",,$A$2,"."&amp;W$43&amp;W$1&amp;"P"&amp;$A72)="N/A",0,RTD("tos.rtd",,$A$2,"."&amp;W$43&amp;W$1&amp;"P"&amp;$A72))</f>
        <v>0</v>
      </c>
      <c r="X72" s="56">
        <f ca="1">IF(RTD("tos.rtd",,$A$2,"."&amp;X$43&amp;X$1&amp;"C"&amp;$A72)="N/A",0,RTD("tos.rtd",,$A$2,"."&amp;X$43&amp;X$1&amp;"C"&amp;$A72))-IF(RTD("tos.rtd",,$A$2,"."&amp;X$43&amp;X$1&amp;"P"&amp;$A72)="N/A",0,RTD("tos.rtd",,$A$2,"."&amp;X$43&amp;X$1&amp;"P"&amp;$A72))</f>
        <v>0</v>
      </c>
      <c r="Y72" s="63">
        <f t="shared" ca="1" si="10"/>
        <v>1666</v>
      </c>
    </row>
    <row r="73" spans="1:25" x14ac:dyDescent="0.25">
      <c r="A73" s="58">
        <f>+Hoja1!A72</f>
        <v>602</v>
      </c>
      <c r="B73" s="56">
        <f ca="1">IF(RTD("tos.rtd",,$A$2,"."&amp;B$43&amp;B$1&amp;"C"&amp;$A73)="N/A",0,RTD("tos.rtd",,$A$2,"."&amp;B$43&amp;B$1&amp;"C"&amp;$A73))-IF(RTD("tos.rtd",,$A$2,"."&amp;B$43&amp;B$1&amp;"P"&amp;$A73)="N/A",0,RTD("tos.rtd",,$A$2,"."&amp;B$43&amp;B$1&amp;"P"&amp;$A73))</f>
        <v>-6885</v>
      </c>
      <c r="C73" s="56">
        <f ca="1">IF(RTD("tos.rtd",,$A$2,"."&amp;C$43&amp;C$1&amp;"C"&amp;$A73)="N/A",0,RTD("tos.rtd",,$A$2,"."&amp;C$43&amp;C$1&amp;"C"&amp;$A73))-IF(RTD("tos.rtd",,$A$2,"."&amp;C$43&amp;C$1&amp;"P"&amp;$A73)="N/A",0,RTD("tos.rtd",,$A$2,"."&amp;C$43&amp;C$1&amp;"P"&amp;$A73))</f>
        <v>-2945</v>
      </c>
      <c r="D73" s="56">
        <f ca="1">IF(RTD("tos.rtd",,$A$2,"."&amp;D$43&amp;D$1&amp;"C"&amp;$A73)="N/A",0,RTD("tos.rtd",,$A$2,"."&amp;D$43&amp;D$1&amp;"C"&amp;$A73))-IF(RTD("tos.rtd",,$A$2,"."&amp;D$43&amp;D$1&amp;"P"&amp;$A73)="N/A",0,RTD("tos.rtd",,$A$2,"."&amp;D$43&amp;D$1&amp;"P"&amp;$A73))</f>
        <v>-492</v>
      </c>
      <c r="E73" s="56">
        <f ca="1">IF(RTD("tos.rtd",,$A$2,"."&amp;E$43&amp;E$1&amp;"C"&amp;$A73)="N/A",0,RTD("tos.rtd",,$A$2,"."&amp;E$43&amp;E$1&amp;"C"&amp;$A73))-IF(RTD("tos.rtd",,$A$2,"."&amp;E$43&amp;E$1&amp;"P"&amp;$A73)="N/A",0,RTD("tos.rtd",,$A$2,"."&amp;E$43&amp;E$1&amp;"P"&amp;$A73))</f>
        <v>179</v>
      </c>
      <c r="F73" s="56">
        <f ca="1">IF(RTD("tos.rtd",,$A$2,"."&amp;F$43&amp;F$1&amp;"C"&amp;$A73)="N/A",0,RTD("tos.rtd",,$A$2,"."&amp;F$43&amp;F$1&amp;"C"&amp;$A73))-IF(RTD("tos.rtd",,$A$2,"."&amp;F$43&amp;F$1&amp;"P"&amp;$A73)="N/A",0,RTD("tos.rtd",,$A$2,"."&amp;F$43&amp;F$1&amp;"P"&amp;$A73))</f>
        <v>0</v>
      </c>
      <c r="G73" s="56">
        <f ca="1">IF(RTD("tos.rtd",,$A$2,"."&amp;G$43&amp;G$1&amp;"C"&amp;$A73)="N/A",0,RTD("tos.rtd",,$A$2,"."&amp;G$43&amp;G$1&amp;"C"&amp;$A73))-IF(RTD("tos.rtd",,$A$2,"."&amp;G$43&amp;G$1&amp;"P"&amp;$A73)="N/A",0,RTD("tos.rtd",,$A$2,"."&amp;G$43&amp;G$1&amp;"P"&amp;$A73))</f>
        <v>0</v>
      </c>
      <c r="H73" s="56">
        <f ca="1">IF(RTD("tos.rtd",,$A$2,"."&amp;H$43&amp;H$1&amp;"C"&amp;$A73)="N/A",0,RTD("tos.rtd",,$A$2,"."&amp;H$43&amp;H$1&amp;"C"&amp;$A73))-IF(RTD("tos.rtd",,$A$2,"."&amp;H$43&amp;H$1&amp;"P"&amp;$A73)="N/A",0,RTD("tos.rtd",,$A$2,"."&amp;H$43&amp;H$1&amp;"P"&amp;$A73))</f>
        <v>-3</v>
      </c>
      <c r="I73" s="56">
        <f ca="1">IF(RTD("tos.rtd",,$A$2,"."&amp;I$43&amp;I$1&amp;"C"&amp;$A73)="N/A",0,RTD("tos.rtd",,$A$2,"."&amp;I$43&amp;I$1&amp;"C"&amp;$A73))-IF(RTD("tos.rtd",,$A$2,"."&amp;I$43&amp;I$1&amp;"P"&amp;$A73)="N/A",0,RTD("tos.rtd",,$A$2,"."&amp;I$43&amp;I$1&amp;"P"&amp;$A73))</f>
        <v>14</v>
      </c>
      <c r="J73" s="56">
        <f ca="1">IF(RTD("tos.rtd",,$A$2,"."&amp;J$43&amp;J$1&amp;"C"&amp;$A73)="N/A",0,RTD("tos.rtd",,$A$2,"."&amp;J$43&amp;J$1&amp;"C"&amp;$A73))-IF(RTD("tos.rtd",,$A$2,"."&amp;J$43&amp;J$1&amp;"P"&amp;$A73)="N/A",0,RTD("tos.rtd",,$A$2,"."&amp;J$43&amp;J$1&amp;"P"&amp;$A73))</f>
        <v>-66</v>
      </c>
      <c r="K73" s="56">
        <f ca="1">IF(RTD("tos.rtd",,$A$2,"."&amp;K$43&amp;K$1&amp;"C"&amp;$A73)="N/A",0,RTD("tos.rtd",,$A$2,"."&amp;K$43&amp;K$1&amp;"C"&amp;$A73))-IF(RTD("tos.rtd",,$A$2,"."&amp;K$43&amp;K$1&amp;"P"&amp;$A73)="N/A",0,RTD("tos.rtd",,$A$2,"."&amp;K$43&amp;K$1&amp;"P"&amp;$A73))</f>
        <v>98</v>
      </c>
      <c r="L73" s="56">
        <f ca="1">IF(RTD("tos.rtd",,$A$2,"."&amp;L$43&amp;L$1&amp;"C"&amp;$A73)="N/A",0,RTD("tos.rtd",,$A$2,"."&amp;L$43&amp;L$1&amp;"C"&amp;$A73))-IF(RTD("tos.rtd",,$A$2,"."&amp;L$43&amp;L$1&amp;"P"&amp;$A73)="N/A",0,RTD("tos.rtd",,$A$2,"."&amp;L$43&amp;L$1&amp;"P"&amp;$A73))</f>
        <v>0</v>
      </c>
      <c r="M73" s="56">
        <f ca="1">IF(RTD("tos.rtd",,$A$2,"."&amp;M$43&amp;M$1&amp;"C"&amp;$A73)="N/A",0,RTD("tos.rtd",,$A$2,"."&amp;M$43&amp;M$1&amp;"C"&amp;$A73))-IF(RTD("tos.rtd",,$A$2,"."&amp;M$43&amp;M$1&amp;"P"&amp;$A73)="N/A",0,RTD("tos.rtd",,$A$2,"."&amp;M$43&amp;M$1&amp;"P"&amp;$A73))</f>
        <v>45</v>
      </c>
      <c r="N73" s="56">
        <f ca="1">IF(RTD("tos.rtd",,$A$2,"."&amp;N$43&amp;N$1&amp;"C"&amp;$A73)="N/A",0,RTD("tos.rtd",,$A$2,"."&amp;N$43&amp;N$1&amp;"C"&amp;$A73))-IF(RTD("tos.rtd",,$A$2,"."&amp;N$43&amp;N$1&amp;"P"&amp;$A73)="N/A",0,RTD("tos.rtd",,$A$2,"."&amp;N$43&amp;N$1&amp;"P"&amp;$A73))</f>
        <v>0</v>
      </c>
      <c r="O73" s="56">
        <f ca="1">IF(RTD("tos.rtd",,$A$2,"."&amp;O$43&amp;O$1&amp;"C"&amp;$A73)="N/A",0,RTD("tos.rtd",,$A$2,"."&amp;O$43&amp;O$1&amp;"C"&amp;$A73))-IF(RTD("tos.rtd",,$A$2,"."&amp;O$43&amp;O$1&amp;"P"&amp;$A73)="N/A",0,RTD("tos.rtd",,$A$2,"."&amp;O$43&amp;O$1&amp;"P"&amp;$A73))</f>
        <v>-295</v>
      </c>
      <c r="P73" s="56">
        <f ca="1">IF(RTD("tos.rtd",,$A$2,"."&amp;P$43&amp;P$1&amp;"C"&amp;$A73)="N/A",0,RTD("tos.rtd",,$A$2,"."&amp;P$43&amp;P$1&amp;"C"&amp;$A73))-IF(RTD("tos.rtd",,$A$2,"."&amp;P$43&amp;P$1&amp;"P"&amp;$A73)="N/A",0,RTD("tos.rtd",,$A$2,"."&amp;P$43&amp;P$1&amp;"P"&amp;$A73))</f>
        <v>0</v>
      </c>
      <c r="Q73" s="56">
        <f ca="1">IF(RTD("tos.rtd",,$A$2,"."&amp;Q$43&amp;Q$1&amp;"C"&amp;$A73)="N/A",0,RTD("tos.rtd",,$A$2,"."&amp;Q$43&amp;Q$1&amp;"C"&amp;$A73))-IF(RTD("tos.rtd",,$A$2,"."&amp;Q$43&amp;Q$1&amp;"P"&amp;$A73)="N/A",0,RTD("tos.rtd",,$A$2,"."&amp;Q$43&amp;Q$1&amp;"P"&amp;$A73))</f>
        <v>0</v>
      </c>
      <c r="R73" s="56">
        <f ca="1">IF(RTD("tos.rtd",,$A$2,"."&amp;R$43&amp;R$1&amp;"C"&amp;$A73)="N/A",0,RTD("tos.rtd",,$A$2,"."&amp;R$43&amp;R$1&amp;"C"&amp;$A73))-IF(RTD("tos.rtd",,$A$2,"."&amp;R$43&amp;R$1&amp;"P"&amp;$A73)="N/A",0,RTD("tos.rtd",,$A$2,"."&amp;R$43&amp;R$1&amp;"P"&amp;$A73))</f>
        <v>0</v>
      </c>
      <c r="S73" s="56">
        <f ca="1">IF(RTD("tos.rtd",,$A$2,"."&amp;S$43&amp;S$1&amp;"C"&amp;$A73)="N/A",0,RTD("tos.rtd",,$A$2,"."&amp;S$43&amp;S$1&amp;"C"&amp;$A73))-IF(RTD("tos.rtd",,$A$2,"."&amp;S$43&amp;S$1&amp;"P"&amp;$A73)="N/A",0,RTD("tos.rtd",,$A$2,"."&amp;S$43&amp;S$1&amp;"P"&amp;$A73))</f>
        <v>0</v>
      </c>
      <c r="T73" s="56">
        <f ca="1">IF(RTD("tos.rtd",,$A$2,"."&amp;T$43&amp;T$1&amp;"C"&amp;$A73)="N/A",0,RTD("tos.rtd",,$A$2,"."&amp;T$43&amp;T$1&amp;"C"&amp;$A73))-IF(RTD("tos.rtd",,$A$2,"."&amp;T$43&amp;T$1&amp;"P"&amp;$A73)="N/A",0,RTD("tos.rtd",,$A$2,"."&amp;T$43&amp;T$1&amp;"P"&amp;$A73))</f>
        <v>0</v>
      </c>
      <c r="U73" s="56">
        <f ca="1">IF(RTD("tos.rtd",,$A$2,"."&amp;U$43&amp;U$1&amp;"C"&amp;$A73)="N/A",0,RTD("tos.rtd",,$A$2,"."&amp;U$43&amp;U$1&amp;"C"&amp;$A73))-IF(RTD("tos.rtd",,$A$2,"."&amp;U$43&amp;U$1&amp;"P"&amp;$A73)="N/A",0,RTD("tos.rtd",,$A$2,"."&amp;U$43&amp;U$1&amp;"P"&amp;$A73))</f>
        <v>0</v>
      </c>
      <c r="V73" s="56">
        <f ca="1">IF(RTD("tos.rtd",,$A$2,"."&amp;V$43&amp;V$1&amp;"C"&amp;$A73)="N/A",0,RTD("tos.rtd",,$A$2,"."&amp;V$43&amp;V$1&amp;"C"&amp;$A73))-IF(RTD("tos.rtd",,$A$2,"."&amp;V$43&amp;V$1&amp;"P"&amp;$A73)="N/A",0,RTD("tos.rtd",,$A$2,"."&amp;V$43&amp;V$1&amp;"P"&amp;$A73))</f>
        <v>0</v>
      </c>
      <c r="W73" s="56">
        <f ca="1">IF(RTD("tos.rtd",,$A$2,"."&amp;W$43&amp;W$1&amp;"C"&amp;$A73)="N/A",0,RTD("tos.rtd",,$A$2,"."&amp;W$43&amp;W$1&amp;"C"&amp;$A73))-IF(RTD("tos.rtd",,$A$2,"."&amp;W$43&amp;W$1&amp;"P"&amp;$A73)="N/A",0,RTD("tos.rtd",,$A$2,"."&amp;W$43&amp;W$1&amp;"P"&amp;$A73))</f>
        <v>0</v>
      </c>
      <c r="X73" s="56">
        <f ca="1">IF(RTD("tos.rtd",,$A$2,"."&amp;X$43&amp;X$1&amp;"C"&amp;$A73)="N/A",0,RTD("tos.rtd",,$A$2,"."&amp;X$43&amp;X$1&amp;"C"&amp;$A73))-IF(RTD("tos.rtd",,$A$2,"."&amp;X$43&amp;X$1&amp;"P"&amp;$A73)="N/A",0,RTD("tos.rtd",,$A$2,"."&amp;X$43&amp;X$1&amp;"P"&amp;$A73))</f>
        <v>0</v>
      </c>
      <c r="Y73" s="63">
        <f t="shared" ca="1" si="10"/>
        <v>-10350</v>
      </c>
    </row>
    <row r="74" spans="1:25" x14ac:dyDescent="0.25">
      <c r="A74" s="58">
        <f>+Hoja1!A73</f>
        <v>601</v>
      </c>
      <c r="B74" s="56">
        <f ca="1">IF(RTD("tos.rtd",,$A$2,"."&amp;B$43&amp;B$1&amp;"C"&amp;$A74)="N/A",0,RTD("tos.rtd",,$A$2,"."&amp;B$43&amp;B$1&amp;"C"&amp;$A74))-IF(RTD("tos.rtd",,$A$2,"."&amp;B$43&amp;B$1&amp;"P"&amp;$A74)="N/A",0,RTD("tos.rtd",,$A$2,"."&amp;B$43&amp;B$1&amp;"P"&amp;$A74))</f>
        <v>-10762</v>
      </c>
      <c r="C74" s="56">
        <f ca="1">IF(RTD("tos.rtd",,$A$2,"."&amp;C$43&amp;C$1&amp;"C"&amp;$A74)="N/A",0,RTD("tos.rtd",,$A$2,"."&amp;C$43&amp;C$1&amp;"C"&amp;$A74))-IF(RTD("tos.rtd",,$A$2,"."&amp;C$43&amp;C$1&amp;"P"&amp;$A74)="N/A",0,RTD("tos.rtd",,$A$2,"."&amp;C$43&amp;C$1&amp;"P"&amp;$A74))</f>
        <v>-707</v>
      </c>
      <c r="D74" s="56">
        <f ca="1">IF(RTD("tos.rtd",,$A$2,"."&amp;D$43&amp;D$1&amp;"C"&amp;$A74)="N/A",0,RTD("tos.rtd",,$A$2,"."&amp;D$43&amp;D$1&amp;"C"&amp;$A74))-IF(RTD("tos.rtd",,$A$2,"."&amp;D$43&amp;D$1&amp;"P"&amp;$A74)="N/A",0,RTD("tos.rtd",,$A$2,"."&amp;D$43&amp;D$1&amp;"P"&amp;$A74))</f>
        <v>132</v>
      </c>
      <c r="E74" s="56">
        <f ca="1">IF(RTD("tos.rtd",,$A$2,"."&amp;E$43&amp;E$1&amp;"C"&amp;$A74)="N/A",0,RTD("tos.rtd",,$A$2,"."&amp;E$43&amp;E$1&amp;"C"&amp;$A74))-IF(RTD("tos.rtd",,$A$2,"."&amp;E$43&amp;E$1&amp;"P"&amp;$A74)="N/A",0,RTD("tos.rtd",,$A$2,"."&amp;E$43&amp;E$1&amp;"P"&amp;$A74))</f>
        <v>-346</v>
      </c>
      <c r="F74" s="56">
        <f ca="1">IF(RTD("tos.rtd",,$A$2,"."&amp;F$43&amp;F$1&amp;"C"&amp;$A74)="N/A",0,RTD("tos.rtd",,$A$2,"."&amp;F$43&amp;F$1&amp;"C"&amp;$A74))-IF(RTD("tos.rtd",,$A$2,"."&amp;F$43&amp;F$1&amp;"P"&amp;$A74)="N/A",0,RTD("tos.rtd",,$A$2,"."&amp;F$43&amp;F$1&amp;"P"&amp;$A74))</f>
        <v>0</v>
      </c>
      <c r="G74" s="56">
        <f ca="1">IF(RTD("tos.rtd",,$A$2,"."&amp;G$43&amp;G$1&amp;"C"&amp;$A74)="N/A",0,RTD("tos.rtd",,$A$2,"."&amp;G$43&amp;G$1&amp;"C"&amp;$A74))-IF(RTD("tos.rtd",,$A$2,"."&amp;G$43&amp;G$1&amp;"P"&amp;$A74)="N/A",0,RTD("tos.rtd",,$A$2,"."&amp;G$43&amp;G$1&amp;"P"&amp;$A74))</f>
        <v>0</v>
      </c>
      <c r="H74" s="56">
        <f ca="1">IF(RTD("tos.rtd",,$A$2,"."&amp;H$43&amp;H$1&amp;"C"&amp;$A74)="N/A",0,RTD("tos.rtd",,$A$2,"."&amp;H$43&amp;H$1&amp;"C"&amp;$A74))-IF(RTD("tos.rtd",,$A$2,"."&amp;H$43&amp;H$1&amp;"P"&amp;$A74)="N/A",0,RTD("tos.rtd",,$A$2,"."&amp;H$43&amp;H$1&amp;"P"&amp;$A74))</f>
        <v>86</v>
      </c>
      <c r="I74" s="56">
        <f ca="1">IF(RTD("tos.rtd",,$A$2,"."&amp;I$43&amp;I$1&amp;"C"&amp;$A74)="N/A",0,RTD("tos.rtd",,$A$2,"."&amp;I$43&amp;I$1&amp;"C"&amp;$A74))-IF(RTD("tos.rtd",,$A$2,"."&amp;I$43&amp;I$1&amp;"P"&amp;$A74)="N/A",0,RTD("tos.rtd",,$A$2,"."&amp;I$43&amp;I$1&amp;"P"&amp;$A74))</f>
        <v>4</v>
      </c>
      <c r="J74" s="56">
        <f ca="1">IF(RTD("tos.rtd",,$A$2,"."&amp;J$43&amp;J$1&amp;"C"&amp;$A74)="N/A",0,RTD("tos.rtd",,$A$2,"."&amp;J$43&amp;J$1&amp;"C"&amp;$A74))-IF(RTD("tos.rtd",,$A$2,"."&amp;J$43&amp;J$1&amp;"P"&amp;$A74)="N/A",0,RTD("tos.rtd",,$A$2,"."&amp;J$43&amp;J$1&amp;"P"&amp;$A74))</f>
        <v>-3</v>
      </c>
      <c r="K74" s="56">
        <f ca="1">IF(RTD("tos.rtd",,$A$2,"."&amp;K$43&amp;K$1&amp;"C"&amp;$A74)="N/A",0,RTD("tos.rtd",,$A$2,"."&amp;K$43&amp;K$1&amp;"C"&amp;$A74))-IF(RTD("tos.rtd",,$A$2,"."&amp;K$43&amp;K$1&amp;"P"&amp;$A74)="N/A",0,RTD("tos.rtd",,$A$2,"."&amp;K$43&amp;K$1&amp;"P"&amp;$A74))</f>
        <v>-71</v>
      </c>
      <c r="L74" s="56">
        <f ca="1">IF(RTD("tos.rtd",,$A$2,"."&amp;L$43&amp;L$1&amp;"C"&amp;$A74)="N/A",0,RTD("tos.rtd",,$A$2,"."&amp;L$43&amp;L$1&amp;"C"&amp;$A74))-IF(RTD("tos.rtd",,$A$2,"."&amp;L$43&amp;L$1&amp;"P"&amp;$A74)="N/A",0,RTD("tos.rtd",,$A$2,"."&amp;L$43&amp;L$1&amp;"P"&amp;$A74))</f>
        <v>0</v>
      </c>
      <c r="M74" s="56">
        <f ca="1">IF(RTD("tos.rtd",,$A$2,"."&amp;M$43&amp;M$1&amp;"C"&amp;$A74)="N/A",0,RTD("tos.rtd",,$A$2,"."&amp;M$43&amp;M$1&amp;"C"&amp;$A74))-IF(RTD("tos.rtd",,$A$2,"."&amp;M$43&amp;M$1&amp;"P"&amp;$A74)="N/A",0,RTD("tos.rtd",,$A$2,"."&amp;M$43&amp;M$1&amp;"P"&amp;$A74))</f>
        <v>2</v>
      </c>
      <c r="N74" s="56">
        <f ca="1">IF(RTD("tos.rtd",,$A$2,"."&amp;N$43&amp;N$1&amp;"C"&amp;$A74)="N/A",0,RTD("tos.rtd",,$A$2,"."&amp;N$43&amp;N$1&amp;"C"&amp;$A74))-IF(RTD("tos.rtd",,$A$2,"."&amp;N$43&amp;N$1&amp;"P"&amp;$A74)="N/A",0,RTD("tos.rtd",,$A$2,"."&amp;N$43&amp;N$1&amp;"P"&amp;$A74))</f>
        <v>0</v>
      </c>
      <c r="O74" s="56">
        <f ca="1">IF(RTD("tos.rtd",,$A$2,"."&amp;O$43&amp;O$1&amp;"C"&amp;$A74)="N/A",0,RTD("tos.rtd",,$A$2,"."&amp;O$43&amp;O$1&amp;"C"&amp;$A74))-IF(RTD("tos.rtd",,$A$2,"."&amp;O$43&amp;O$1&amp;"P"&amp;$A74)="N/A",0,RTD("tos.rtd",,$A$2,"."&amp;O$43&amp;O$1&amp;"P"&amp;$A74))</f>
        <v>36</v>
      </c>
      <c r="P74" s="56">
        <f ca="1">IF(RTD("tos.rtd",,$A$2,"."&amp;P$43&amp;P$1&amp;"C"&amp;$A74)="N/A",0,RTD("tos.rtd",,$A$2,"."&amp;P$43&amp;P$1&amp;"C"&amp;$A74))-IF(RTD("tos.rtd",,$A$2,"."&amp;P$43&amp;P$1&amp;"P"&amp;$A74)="N/A",0,RTD("tos.rtd",,$A$2,"."&amp;P$43&amp;P$1&amp;"P"&amp;$A74))</f>
        <v>0</v>
      </c>
      <c r="Q74" s="56">
        <f ca="1">IF(RTD("tos.rtd",,$A$2,"."&amp;Q$43&amp;Q$1&amp;"C"&amp;$A74)="N/A",0,RTD("tos.rtd",,$A$2,"."&amp;Q$43&amp;Q$1&amp;"C"&amp;$A74))-IF(RTD("tos.rtd",,$A$2,"."&amp;Q$43&amp;Q$1&amp;"P"&amp;$A74)="N/A",0,RTD("tos.rtd",,$A$2,"."&amp;Q$43&amp;Q$1&amp;"P"&amp;$A74))</f>
        <v>0</v>
      </c>
      <c r="R74" s="56">
        <f ca="1">IF(RTD("tos.rtd",,$A$2,"."&amp;R$43&amp;R$1&amp;"C"&amp;$A74)="N/A",0,RTD("tos.rtd",,$A$2,"."&amp;R$43&amp;R$1&amp;"C"&amp;$A74))-IF(RTD("tos.rtd",,$A$2,"."&amp;R$43&amp;R$1&amp;"P"&amp;$A74)="N/A",0,RTD("tos.rtd",,$A$2,"."&amp;R$43&amp;R$1&amp;"P"&amp;$A74))</f>
        <v>0</v>
      </c>
      <c r="S74" s="56">
        <f ca="1">IF(RTD("tos.rtd",,$A$2,"."&amp;S$43&amp;S$1&amp;"C"&amp;$A74)="N/A",0,RTD("tos.rtd",,$A$2,"."&amp;S$43&amp;S$1&amp;"C"&amp;$A74))-IF(RTD("tos.rtd",,$A$2,"."&amp;S$43&amp;S$1&amp;"P"&amp;$A74)="N/A",0,RTD("tos.rtd",,$A$2,"."&amp;S$43&amp;S$1&amp;"P"&amp;$A74))</f>
        <v>0</v>
      </c>
      <c r="T74" s="56">
        <f ca="1">IF(RTD("tos.rtd",,$A$2,"."&amp;T$43&amp;T$1&amp;"C"&amp;$A74)="N/A",0,RTD("tos.rtd",,$A$2,"."&amp;T$43&amp;T$1&amp;"C"&amp;$A74))-IF(RTD("tos.rtd",,$A$2,"."&amp;T$43&amp;T$1&amp;"P"&amp;$A74)="N/A",0,RTD("tos.rtd",,$A$2,"."&amp;T$43&amp;T$1&amp;"P"&amp;$A74))</f>
        <v>0</v>
      </c>
      <c r="U74" s="56">
        <f ca="1">IF(RTD("tos.rtd",,$A$2,"."&amp;U$43&amp;U$1&amp;"C"&amp;$A74)="N/A",0,RTD("tos.rtd",,$A$2,"."&amp;U$43&amp;U$1&amp;"C"&amp;$A74))-IF(RTD("tos.rtd",,$A$2,"."&amp;U$43&amp;U$1&amp;"P"&amp;$A74)="N/A",0,RTD("tos.rtd",,$A$2,"."&amp;U$43&amp;U$1&amp;"P"&amp;$A74))</f>
        <v>0</v>
      </c>
      <c r="V74" s="56">
        <f ca="1">IF(RTD("tos.rtd",,$A$2,"."&amp;V$43&amp;V$1&amp;"C"&amp;$A74)="N/A",0,RTD("tos.rtd",,$A$2,"."&amp;V$43&amp;V$1&amp;"C"&amp;$A74))-IF(RTD("tos.rtd",,$A$2,"."&amp;V$43&amp;V$1&amp;"P"&amp;$A74)="N/A",0,RTD("tos.rtd",,$A$2,"."&amp;V$43&amp;V$1&amp;"P"&amp;$A74))</f>
        <v>0</v>
      </c>
      <c r="W74" s="56">
        <f ca="1">IF(RTD("tos.rtd",,$A$2,"."&amp;W$43&amp;W$1&amp;"C"&amp;$A74)="N/A",0,RTD("tos.rtd",,$A$2,"."&amp;W$43&amp;W$1&amp;"C"&amp;$A74))-IF(RTD("tos.rtd",,$A$2,"."&amp;W$43&amp;W$1&amp;"P"&amp;$A74)="N/A",0,RTD("tos.rtd",,$A$2,"."&amp;W$43&amp;W$1&amp;"P"&amp;$A74))</f>
        <v>0</v>
      </c>
      <c r="X74" s="56">
        <f ca="1">IF(RTD("tos.rtd",,$A$2,"."&amp;X$43&amp;X$1&amp;"C"&amp;$A74)="N/A",0,RTD("tos.rtd",,$A$2,"."&amp;X$43&amp;X$1&amp;"C"&amp;$A74))-IF(RTD("tos.rtd",,$A$2,"."&amp;X$43&amp;X$1&amp;"P"&amp;$A74)="N/A",0,RTD("tos.rtd",,$A$2,"."&amp;X$43&amp;X$1&amp;"P"&amp;$A74))</f>
        <v>0</v>
      </c>
      <c r="Y74" s="63">
        <f t="shared" ca="1" si="10"/>
        <v>-11629</v>
      </c>
    </row>
    <row r="75" spans="1:25" x14ac:dyDescent="0.25">
      <c r="A75" s="58">
        <f>+Hoja1!A74</f>
        <v>600</v>
      </c>
      <c r="B75" s="56">
        <f ca="1">IF(RTD("tos.rtd",,$A$2,"."&amp;B$43&amp;B$1&amp;"C"&amp;$A75)="N/A",0,RTD("tos.rtd",,$A$2,"."&amp;B$43&amp;B$1&amp;"C"&amp;$A75))-IF(RTD("tos.rtd",,$A$2,"."&amp;B$43&amp;B$1&amp;"P"&amp;$A75)="N/A",0,RTD("tos.rtd",,$A$2,"."&amp;B$43&amp;B$1&amp;"P"&amp;$A75))</f>
        <v>-46646</v>
      </c>
      <c r="C75" s="56">
        <f ca="1">IF(RTD("tos.rtd",,$A$2,"."&amp;C$43&amp;C$1&amp;"C"&amp;$A75)="N/A",0,RTD("tos.rtd",,$A$2,"."&amp;C$43&amp;C$1&amp;"C"&amp;$A75))-IF(RTD("tos.rtd",,$A$2,"."&amp;C$43&amp;C$1&amp;"P"&amp;$A75)="N/A",0,RTD("tos.rtd",,$A$2,"."&amp;C$43&amp;C$1&amp;"P"&amp;$A75))</f>
        <v>-16694</v>
      </c>
      <c r="D75" s="56">
        <f ca="1">IF(RTD("tos.rtd",,$A$2,"."&amp;D$43&amp;D$1&amp;"C"&amp;$A75)="N/A",0,RTD("tos.rtd",,$A$2,"."&amp;D$43&amp;D$1&amp;"C"&amp;$A75))-IF(RTD("tos.rtd",,$A$2,"."&amp;D$43&amp;D$1&amp;"P"&amp;$A75)="N/A",0,RTD("tos.rtd",,$A$2,"."&amp;D$43&amp;D$1&amp;"P"&amp;$A75))</f>
        <v>-8387</v>
      </c>
      <c r="E75" s="56">
        <f ca="1">IF(RTD("tos.rtd",,$A$2,"."&amp;E$43&amp;E$1&amp;"C"&amp;$A75)="N/A",0,RTD("tos.rtd",,$A$2,"."&amp;E$43&amp;E$1&amp;"C"&amp;$A75))-IF(RTD("tos.rtd",,$A$2,"."&amp;E$43&amp;E$1&amp;"P"&amp;$A75)="N/A",0,RTD("tos.rtd",,$A$2,"."&amp;E$43&amp;E$1&amp;"P"&amp;$A75))</f>
        <v>37</v>
      </c>
      <c r="F75" s="56">
        <f ca="1">IF(RTD("tos.rtd",,$A$2,"."&amp;F$43&amp;F$1&amp;"C"&amp;$A75)="N/A",0,RTD("tos.rtd",,$A$2,"."&amp;F$43&amp;F$1&amp;"C"&amp;$A75))-IF(RTD("tos.rtd",,$A$2,"."&amp;F$43&amp;F$1&amp;"P"&amp;$A75)="N/A",0,RTD("tos.rtd",,$A$2,"."&amp;F$43&amp;F$1&amp;"P"&amp;$A75))</f>
        <v>0</v>
      </c>
      <c r="G75" s="56">
        <f ca="1">IF(RTD("tos.rtd",,$A$2,"."&amp;G$43&amp;G$1&amp;"C"&amp;$A75)="N/A",0,RTD("tos.rtd",,$A$2,"."&amp;G$43&amp;G$1&amp;"C"&amp;$A75))-IF(RTD("tos.rtd",,$A$2,"."&amp;G$43&amp;G$1&amp;"P"&amp;$A75)="N/A",0,RTD("tos.rtd",,$A$2,"."&amp;G$43&amp;G$1&amp;"P"&amp;$A75))</f>
        <v>0</v>
      </c>
      <c r="H75" s="56">
        <f ca="1">IF(RTD("tos.rtd",,$A$2,"."&amp;H$43&amp;H$1&amp;"C"&amp;$A75)="N/A",0,RTD("tos.rtd",,$A$2,"."&amp;H$43&amp;H$1&amp;"C"&amp;$A75))-IF(RTD("tos.rtd",,$A$2,"."&amp;H$43&amp;H$1&amp;"P"&amp;$A75)="N/A",0,RTD("tos.rtd",,$A$2,"."&amp;H$43&amp;H$1&amp;"P"&amp;$A75))</f>
        <v>-9383</v>
      </c>
      <c r="I75" s="56">
        <f ca="1">IF(RTD("tos.rtd",,$A$2,"."&amp;I$43&amp;I$1&amp;"C"&amp;$A75)="N/A",0,RTD("tos.rtd",,$A$2,"."&amp;I$43&amp;I$1&amp;"C"&amp;$A75))-IF(RTD("tos.rtd",,$A$2,"."&amp;I$43&amp;I$1&amp;"P"&amp;$A75)="N/A",0,RTD("tos.rtd",,$A$2,"."&amp;I$43&amp;I$1&amp;"P"&amp;$A75))</f>
        <v>-818</v>
      </c>
      <c r="J75" s="56">
        <f ca="1">IF(RTD("tos.rtd",,$A$2,"."&amp;J$43&amp;J$1&amp;"C"&amp;$A75)="N/A",0,RTD("tos.rtd",,$A$2,"."&amp;J$43&amp;J$1&amp;"C"&amp;$A75))-IF(RTD("tos.rtd",,$A$2,"."&amp;J$43&amp;J$1&amp;"P"&amp;$A75)="N/A",0,RTD("tos.rtd",,$A$2,"."&amp;J$43&amp;J$1&amp;"P"&amp;$A75))</f>
        <v>-1013</v>
      </c>
      <c r="K75" s="56">
        <f ca="1">IF(RTD("tos.rtd",,$A$2,"."&amp;K$43&amp;K$1&amp;"C"&amp;$A75)="N/A",0,RTD("tos.rtd",,$A$2,"."&amp;K$43&amp;K$1&amp;"C"&amp;$A75))-IF(RTD("tos.rtd",,$A$2,"."&amp;K$43&amp;K$1&amp;"P"&amp;$A75)="N/A",0,RTD("tos.rtd",,$A$2,"."&amp;K$43&amp;K$1&amp;"P"&amp;$A75))</f>
        <v>-7312</v>
      </c>
      <c r="L75" s="56">
        <f ca="1">IF(RTD("tos.rtd",,$A$2,"."&amp;L$43&amp;L$1&amp;"C"&amp;$A75)="N/A",0,RTD("tos.rtd",,$A$2,"."&amp;L$43&amp;L$1&amp;"C"&amp;$A75))-IF(RTD("tos.rtd",,$A$2,"."&amp;L$43&amp;L$1&amp;"P"&amp;$A75)="N/A",0,RTD("tos.rtd",,$A$2,"."&amp;L$43&amp;L$1&amp;"P"&amp;$A75))</f>
        <v>0</v>
      </c>
      <c r="M75" s="56">
        <f ca="1">IF(RTD("tos.rtd",,$A$2,"."&amp;M$43&amp;M$1&amp;"C"&amp;$A75)="N/A",0,RTD("tos.rtd",,$A$2,"."&amp;M$43&amp;M$1&amp;"C"&amp;$A75))-IF(RTD("tos.rtd",,$A$2,"."&amp;M$43&amp;M$1&amp;"P"&amp;$A75)="N/A",0,RTD("tos.rtd",,$A$2,"."&amp;M$43&amp;M$1&amp;"P"&amp;$A75))</f>
        <v>-78</v>
      </c>
      <c r="N75" s="56">
        <f ca="1">IF(RTD("tos.rtd",,$A$2,"."&amp;N$43&amp;N$1&amp;"C"&amp;$A75)="N/A",0,RTD("tos.rtd",,$A$2,"."&amp;N$43&amp;N$1&amp;"C"&amp;$A75))-IF(RTD("tos.rtd",,$A$2,"."&amp;N$43&amp;N$1&amp;"P"&amp;$A75)="N/A",0,RTD("tos.rtd",,$A$2,"."&amp;N$43&amp;N$1&amp;"P"&amp;$A75))</f>
        <v>0</v>
      </c>
      <c r="O75" s="56">
        <f ca="1">IF(RTD("tos.rtd",,$A$2,"."&amp;O$43&amp;O$1&amp;"C"&amp;$A75)="N/A",0,RTD("tos.rtd",,$A$2,"."&amp;O$43&amp;O$1&amp;"C"&amp;$A75))-IF(RTD("tos.rtd",,$A$2,"."&amp;O$43&amp;O$1&amp;"P"&amp;$A75)="N/A",0,RTD("tos.rtd",,$A$2,"."&amp;O$43&amp;O$1&amp;"P"&amp;$A75))</f>
        <v>-777</v>
      </c>
      <c r="P75" s="56">
        <f ca="1">IF(RTD("tos.rtd",,$A$2,"."&amp;P$43&amp;P$1&amp;"C"&amp;$A75)="N/A",0,RTD("tos.rtd",,$A$2,"."&amp;P$43&amp;P$1&amp;"C"&amp;$A75))-IF(RTD("tos.rtd",,$A$2,"."&amp;P$43&amp;P$1&amp;"P"&amp;$A75)="N/A",0,RTD("tos.rtd",,$A$2,"."&amp;P$43&amp;P$1&amp;"P"&amp;$A75))</f>
        <v>0</v>
      </c>
      <c r="Q75" s="56">
        <f ca="1">IF(RTD("tos.rtd",,$A$2,"."&amp;Q$43&amp;Q$1&amp;"C"&amp;$A75)="N/A",0,RTD("tos.rtd",,$A$2,"."&amp;Q$43&amp;Q$1&amp;"C"&amp;$A75))-IF(RTD("tos.rtd",,$A$2,"."&amp;Q$43&amp;Q$1&amp;"P"&amp;$A75)="N/A",0,RTD("tos.rtd",,$A$2,"."&amp;Q$43&amp;Q$1&amp;"P"&amp;$A75))</f>
        <v>0</v>
      </c>
      <c r="R75" s="56">
        <f ca="1">IF(RTD("tos.rtd",,$A$2,"."&amp;R$43&amp;R$1&amp;"C"&amp;$A75)="N/A",0,RTD("tos.rtd",,$A$2,"."&amp;R$43&amp;R$1&amp;"C"&amp;$A75))-IF(RTD("tos.rtd",,$A$2,"."&amp;R$43&amp;R$1&amp;"P"&amp;$A75)="N/A",0,RTD("tos.rtd",,$A$2,"."&amp;R$43&amp;R$1&amp;"P"&amp;$A75))</f>
        <v>0</v>
      </c>
      <c r="S75" s="56">
        <f ca="1">IF(RTD("tos.rtd",,$A$2,"."&amp;S$43&amp;S$1&amp;"C"&amp;$A75)="N/A",0,RTD("tos.rtd",,$A$2,"."&amp;S$43&amp;S$1&amp;"C"&amp;$A75))-IF(RTD("tos.rtd",,$A$2,"."&amp;S$43&amp;S$1&amp;"P"&amp;$A75)="N/A",0,RTD("tos.rtd",,$A$2,"."&amp;S$43&amp;S$1&amp;"P"&amp;$A75))</f>
        <v>0</v>
      </c>
      <c r="T75" s="56">
        <f ca="1">IF(RTD("tos.rtd",,$A$2,"."&amp;T$43&amp;T$1&amp;"C"&amp;$A75)="N/A",0,RTD("tos.rtd",,$A$2,"."&amp;T$43&amp;T$1&amp;"C"&amp;$A75))-IF(RTD("tos.rtd",,$A$2,"."&amp;T$43&amp;T$1&amp;"P"&amp;$A75)="N/A",0,RTD("tos.rtd",,$A$2,"."&amp;T$43&amp;T$1&amp;"P"&amp;$A75))</f>
        <v>0</v>
      </c>
      <c r="U75" s="56">
        <f ca="1">IF(RTD("tos.rtd",,$A$2,"."&amp;U$43&amp;U$1&amp;"C"&amp;$A75)="N/A",0,RTD("tos.rtd",,$A$2,"."&amp;U$43&amp;U$1&amp;"C"&amp;$A75))-IF(RTD("tos.rtd",,$A$2,"."&amp;U$43&amp;U$1&amp;"P"&amp;$A75)="N/A",0,RTD("tos.rtd",,$A$2,"."&amp;U$43&amp;U$1&amp;"P"&amp;$A75))</f>
        <v>0</v>
      </c>
      <c r="V75" s="56">
        <f ca="1">IF(RTD("tos.rtd",,$A$2,"."&amp;V$43&amp;V$1&amp;"C"&amp;$A75)="N/A",0,RTD("tos.rtd",,$A$2,"."&amp;V$43&amp;V$1&amp;"C"&amp;$A75))-IF(RTD("tos.rtd",,$A$2,"."&amp;V$43&amp;V$1&amp;"P"&amp;$A75)="N/A",0,RTD("tos.rtd",,$A$2,"."&amp;V$43&amp;V$1&amp;"P"&amp;$A75))</f>
        <v>0</v>
      </c>
      <c r="W75" s="56">
        <f ca="1">IF(RTD("tos.rtd",,$A$2,"."&amp;W$43&amp;W$1&amp;"C"&amp;$A75)="N/A",0,RTD("tos.rtd",,$A$2,"."&amp;W$43&amp;W$1&amp;"C"&amp;$A75))-IF(RTD("tos.rtd",,$A$2,"."&amp;W$43&amp;W$1&amp;"P"&amp;$A75)="N/A",0,RTD("tos.rtd",,$A$2,"."&amp;W$43&amp;W$1&amp;"P"&amp;$A75))</f>
        <v>0</v>
      </c>
      <c r="X75" s="56">
        <f ca="1">IF(RTD("tos.rtd",,$A$2,"."&amp;X$43&amp;X$1&amp;"C"&amp;$A75)="N/A",0,RTD("tos.rtd",,$A$2,"."&amp;X$43&amp;X$1&amp;"C"&amp;$A75))-IF(RTD("tos.rtd",,$A$2,"."&amp;X$43&amp;X$1&amp;"P"&amp;$A75)="N/A",0,RTD("tos.rtd",,$A$2,"."&amp;X$43&amp;X$1&amp;"P"&amp;$A75))</f>
        <v>0</v>
      </c>
      <c r="Y75" s="63">
        <f t="shared" ca="1" si="10"/>
        <v>-91071</v>
      </c>
    </row>
    <row r="76" spans="1:25" x14ac:dyDescent="0.25">
      <c r="A76" s="58">
        <f>+Hoja1!A75</f>
        <v>599</v>
      </c>
      <c r="B76" s="56">
        <f ca="1">IF(RTD("tos.rtd",,$A$2,"."&amp;B$43&amp;B$1&amp;"C"&amp;$A76)="N/A",0,RTD("tos.rtd",,$A$2,"."&amp;B$43&amp;B$1&amp;"C"&amp;$A76))-IF(RTD("tos.rtd",,$A$2,"."&amp;B$43&amp;B$1&amp;"P"&amp;$A76)="N/A",0,RTD("tos.rtd",,$A$2,"."&amp;B$43&amp;B$1&amp;"P"&amp;$A76))</f>
        <v>-12566</v>
      </c>
      <c r="C76" s="56">
        <f ca="1">IF(RTD("tos.rtd",,$A$2,"."&amp;C$43&amp;C$1&amp;"C"&amp;$A76)="N/A",0,RTD("tos.rtd",,$A$2,"."&amp;C$43&amp;C$1&amp;"C"&amp;$A76))-IF(RTD("tos.rtd",,$A$2,"."&amp;C$43&amp;C$1&amp;"P"&amp;$A76)="N/A",0,RTD("tos.rtd",,$A$2,"."&amp;C$43&amp;C$1&amp;"P"&amp;$A76))</f>
        <v>-1265</v>
      </c>
      <c r="D76" s="56">
        <f ca="1">IF(RTD("tos.rtd",,$A$2,"."&amp;D$43&amp;D$1&amp;"C"&amp;$A76)="N/A",0,RTD("tos.rtd",,$A$2,"."&amp;D$43&amp;D$1&amp;"C"&amp;$A76))-IF(RTD("tos.rtd",,$A$2,"."&amp;D$43&amp;D$1&amp;"P"&amp;$A76)="N/A",0,RTD("tos.rtd",,$A$2,"."&amp;D$43&amp;D$1&amp;"P"&amp;$A76))</f>
        <v>-1120</v>
      </c>
      <c r="E76" s="56">
        <f ca="1">IF(RTD("tos.rtd",,$A$2,"."&amp;E$43&amp;E$1&amp;"C"&amp;$A76)="N/A",0,RTD("tos.rtd",,$A$2,"."&amp;E$43&amp;E$1&amp;"C"&amp;$A76))-IF(RTD("tos.rtd",,$A$2,"."&amp;E$43&amp;E$1&amp;"P"&amp;$A76)="N/A",0,RTD("tos.rtd",,$A$2,"."&amp;E$43&amp;E$1&amp;"P"&amp;$A76))</f>
        <v>0</v>
      </c>
      <c r="F76" s="56">
        <f ca="1">IF(RTD("tos.rtd",,$A$2,"."&amp;F$43&amp;F$1&amp;"C"&amp;$A76)="N/A",0,RTD("tos.rtd",,$A$2,"."&amp;F$43&amp;F$1&amp;"C"&amp;$A76))-IF(RTD("tos.rtd",,$A$2,"."&amp;F$43&amp;F$1&amp;"P"&amp;$A76)="N/A",0,RTD("tos.rtd",,$A$2,"."&amp;F$43&amp;F$1&amp;"P"&amp;$A76))</f>
        <v>0</v>
      </c>
      <c r="G76" s="56">
        <f ca="1">IF(RTD("tos.rtd",,$A$2,"."&amp;G$43&amp;G$1&amp;"C"&amp;$A76)="N/A",0,RTD("tos.rtd",,$A$2,"."&amp;G$43&amp;G$1&amp;"C"&amp;$A76))-IF(RTD("tos.rtd",,$A$2,"."&amp;G$43&amp;G$1&amp;"P"&amp;$A76)="N/A",0,RTD("tos.rtd",,$A$2,"."&amp;G$43&amp;G$1&amp;"P"&amp;$A76))</f>
        <v>0</v>
      </c>
      <c r="H76" s="56">
        <f ca="1">IF(RTD("tos.rtd",,$A$2,"."&amp;H$43&amp;H$1&amp;"C"&amp;$A76)="N/A",0,RTD("tos.rtd",,$A$2,"."&amp;H$43&amp;H$1&amp;"C"&amp;$A76))-IF(RTD("tos.rtd",,$A$2,"."&amp;H$43&amp;H$1&amp;"P"&amp;$A76)="N/A",0,RTD("tos.rtd",,$A$2,"."&amp;H$43&amp;H$1&amp;"P"&amp;$A76))</f>
        <v>-144</v>
      </c>
      <c r="I76" s="56">
        <f ca="1">IF(RTD("tos.rtd",,$A$2,"."&amp;I$43&amp;I$1&amp;"C"&amp;$A76)="N/A",0,RTD("tos.rtd",,$A$2,"."&amp;I$43&amp;I$1&amp;"C"&amp;$A76))-IF(RTD("tos.rtd",,$A$2,"."&amp;I$43&amp;I$1&amp;"P"&amp;$A76)="N/A",0,RTD("tos.rtd",,$A$2,"."&amp;I$43&amp;I$1&amp;"P"&amp;$A76))</f>
        <v>6</v>
      </c>
      <c r="J76" s="56">
        <f ca="1">IF(RTD("tos.rtd",,$A$2,"."&amp;J$43&amp;J$1&amp;"C"&amp;$A76)="N/A",0,RTD("tos.rtd",,$A$2,"."&amp;J$43&amp;J$1&amp;"C"&amp;$A76))-IF(RTD("tos.rtd",,$A$2,"."&amp;J$43&amp;J$1&amp;"P"&amp;$A76)="N/A",0,RTD("tos.rtd",,$A$2,"."&amp;J$43&amp;J$1&amp;"P"&amp;$A76))</f>
        <v>0</v>
      </c>
      <c r="K76" s="56">
        <f ca="1">IF(RTD("tos.rtd",,$A$2,"."&amp;K$43&amp;K$1&amp;"C"&amp;$A76)="N/A",0,RTD("tos.rtd",,$A$2,"."&amp;K$43&amp;K$1&amp;"C"&amp;$A76))-IF(RTD("tos.rtd",,$A$2,"."&amp;K$43&amp;K$1&amp;"P"&amp;$A76)="N/A",0,RTD("tos.rtd",,$A$2,"."&amp;K$43&amp;K$1&amp;"P"&amp;$A76))</f>
        <v>0</v>
      </c>
      <c r="L76" s="56">
        <f ca="1">IF(RTD("tos.rtd",,$A$2,"."&amp;L$43&amp;L$1&amp;"C"&amp;$A76)="N/A",0,RTD("tos.rtd",,$A$2,"."&amp;L$43&amp;L$1&amp;"C"&amp;$A76))-IF(RTD("tos.rtd",,$A$2,"."&amp;L$43&amp;L$1&amp;"P"&amp;$A76)="N/A",0,RTD("tos.rtd",,$A$2,"."&amp;L$43&amp;L$1&amp;"P"&amp;$A76))</f>
        <v>0</v>
      </c>
      <c r="M76" s="56">
        <f ca="1">IF(RTD("tos.rtd",,$A$2,"."&amp;M$43&amp;M$1&amp;"C"&amp;$A76)="N/A",0,RTD("tos.rtd",,$A$2,"."&amp;M$43&amp;M$1&amp;"C"&amp;$A76))-IF(RTD("tos.rtd",,$A$2,"."&amp;M$43&amp;M$1&amp;"P"&amp;$A76)="N/A",0,RTD("tos.rtd",,$A$2,"."&amp;M$43&amp;M$1&amp;"P"&amp;$A76))</f>
        <v>40</v>
      </c>
      <c r="N76" s="56">
        <f ca="1">IF(RTD("tos.rtd",,$A$2,"."&amp;N$43&amp;N$1&amp;"C"&amp;$A76)="N/A",0,RTD("tos.rtd",,$A$2,"."&amp;N$43&amp;N$1&amp;"C"&amp;$A76))-IF(RTD("tos.rtd",,$A$2,"."&amp;N$43&amp;N$1&amp;"P"&amp;$A76)="N/A",0,RTD("tos.rtd",,$A$2,"."&amp;N$43&amp;N$1&amp;"P"&amp;$A76))</f>
        <v>0</v>
      </c>
      <c r="O76" s="56">
        <f ca="1">IF(RTD("tos.rtd",,$A$2,"."&amp;O$43&amp;O$1&amp;"C"&amp;$A76)="N/A",0,RTD("tos.rtd",,$A$2,"."&amp;O$43&amp;O$1&amp;"C"&amp;$A76))-IF(RTD("tos.rtd",,$A$2,"."&amp;O$43&amp;O$1&amp;"P"&amp;$A76)="N/A",0,RTD("tos.rtd",,$A$2,"."&amp;O$43&amp;O$1&amp;"P"&amp;$A76))</f>
        <v>-7</v>
      </c>
      <c r="P76" s="56">
        <f ca="1">IF(RTD("tos.rtd",,$A$2,"."&amp;P$43&amp;P$1&amp;"C"&amp;$A76)="N/A",0,RTD("tos.rtd",,$A$2,"."&amp;P$43&amp;P$1&amp;"C"&amp;$A76))-IF(RTD("tos.rtd",,$A$2,"."&amp;P$43&amp;P$1&amp;"P"&amp;$A76)="N/A",0,RTD("tos.rtd",,$A$2,"."&amp;P$43&amp;P$1&amp;"P"&amp;$A76))</f>
        <v>0</v>
      </c>
      <c r="Q76" s="56">
        <f ca="1">IF(RTD("tos.rtd",,$A$2,"."&amp;Q$43&amp;Q$1&amp;"C"&amp;$A76)="N/A",0,RTD("tos.rtd",,$A$2,"."&amp;Q$43&amp;Q$1&amp;"C"&amp;$A76))-IF(RTD("tos.rtd",,$A$2,"."&amp;Q$43&amp;Q$1&amp;"P"&amp;$A76)="N/A",0,RTD("tos.rtd",,$A$2,"."&amp;Q$43&amp;Q$1&amp;"P"&amp;$A76))</f>
        <v>0</v>
      </c>
      <c r="R76" s="56">
        <f ca="1">IF(RTD("tos.rtd",,$A$2,"."&amp;R$43&amp;R$1&amp;"C"&amp;$A76)="N/A",0,RTD("tos.rtd",,$A$2,"."&amp;R$43&amp;R$1&amp;"C"&amp;$A76))-IF(RTD("tos.rtd",,$A$2,"."&amp;R$43&amp;R$1&amp;"P"&amp;$A76)="N/A",0,RTD("tos.rtd",,$A$2,"."&amp;R$43&amp;R$1&amp;"P"&amp;$A76))</f>
        <v>0</v>
      </c>
      <c r="S76" s="56">
        <f ca="1">IF(RTD("tos.rtd",,$A$2,"."&amp;S$43&amp;S$1&amp;"C"&amp;$A76)="N/A",0,RTD("tos.rtd",,$A$2,"."&amp;S$43&amp;S$1&amp;"C"&amp;$A76))-IF(RTD("tos.rtd",,$A$2,"."&amp;S$43&amp;S$1&amp;"P"&amp;$A76)="N/A",0,RTD("tos.rtd",,$A$2,"."&amp;S$43&amp;S$1&amp;"P"&amp;$A76))</f>
        <v>0</v>
      </c>
      <c r="T76" s="56">
        <f ca="1">IF(RTD("tos.rtd",,$A$2,"."&amp;T$43&amp;T$1&amp;"C"&amp;$A76)="N/A",0,RTD("tos.rtd",,$A$2,"."&amp;T$43&amp;T$1&amp;"C"&amp;$A76))-IF(RTD("tos.rtd",,$A$2,"."&amp;T$43&amp;T$1&amp;"P"&amp;$A76)="N/A",0,RTD("tos.rtd",,$A$2,"."&amp;T$43&amp;T$1&amp;"P"&amp;$A76))</f>
        <v>0</v>
      </c>
      <c r="U76" s="56">
        <f ca="1">IF(RTD("tos.rtd",,$A$2,"."&amp;U$43&amp;U$1&amp;"C"&amp;$A76)="N/A",0,RTD("tos.rtd",,$A$2,"."&amp;U$43&amp;U$1&amp;"C"&amp;$A76))-IF(RTD("tos.rtd",,$A$2,"."&amp;U$43&amp;U$1&amp;"P"&amp;$A76)="N/A",0,RTD("tos.rtd",,$A$2,"."&amp;U$43&amp;U$1&amp;"P"&amp;$A76))</f>
        <v>0</v>
      </c>
      <c r="V76" s="56">
        <f ca="1">IF(RTD("tos.rtd",,$A$2,"."&amp;V$43&amp;V$1&amp;"C"&amp;$A76)="N/A",0,RTD("tos.rtd",,$A$2,"."&amp;V$43&amp;V$1&amp;"C"&amp;$A76))-IF(RTD("tos.rtd",,$A$2,"."&amp;V$43&amp;V$1&amp;"P"&amp;$A76)="N/A",0,RTD("tos.rtd",,$A$2,"."&amp;V$43&amp;V$1&amp;"P"&amp;$A76))</f>
        <v>0</v>
      </c>
      <c r="W76" s="56">
        <f ca="1">IF(RTD("tos.rtd",,$A$2,"."&amp;W$43&amp;W$1&amp;"C"&amp;$A76)="N/A",0,RTD("tos.rtd",,$A$2,"."&amp;W$43&amp;W$1&amp;"C"&amp;$A76))-IF(RTD("tos.rtd",,$A$2,"."&amp;W$43&amp;W$1&amp;"P"&amp;$A76)="N/A",0,RTD("tos.rtd",,$A$2,"."&amp;W$43&amp;W$1&amp;"P"&amp;$A76))</f>
        <v>0</v>
      </c>
      <c r="X76" s="56">
        <f ca="1">IF(RTD("tos.rtd",,$A$2,"."&amp;X$43&amp;X$1&amp;"C"&amp;$A76)="N/A",0,RTD("tos.rtd",,$A$2,"."&amp;X$43&amp;X$1&amp;"C"&amp;$A76))-IF(RTD("tos.rtd",,$A$2,"."&amp;X$43&amp;X$1&amp;"P"&amp;$A76)="N/A",0,RTD("tos.rtd",,$A$2,"."&amp;X$43&amp;X$1&amp;"P"&amp;$A76))</f>
        <v>0</v>
      </c>
      <c r="Y76" s="63">
        <f t="shared" ca="1" si="10"/>
        <v>-15056</v>
      </c>
    </row>
    <row r="77" spans="1:25" x14ac:dyDescent="0.25">
      <c r="A77" s="58">
        <f>+Hoja1!A76</f>
        <v>598</v>
      </c>
      <c r="B77" s="56">
        <f ca="1">IF(RTD("tos.rtd",,$A$2,"."&amp;B$43&amp;B$1&amp;"C"&amp;$A77)="N/A",0,RTD("tos.rtd",,$A$2,"."&amp;B$43&amp;B$1&amp;"C"&amp;$A77))-IF(RTD("tos.rtd",,$A$2,"."&amp;B$43&amp;B$1&amp;"P"&amp;$A77)="N/A",0,RTD("tos.rtd",,$A$2,"."&amp;B$43&amp;B$1&amp;"P"&amp;$A77))</f>
        <v>-11699</v>
      </c>
      <c r="C77" s="56">
        <f ca="1">IF(RTD("tos.rtd",,$A$2,"."&amp;C$43&amp;C$1&amp;"C"&amp;$A77)="N/A",0,RTD("tos.rtd",,$A$2,"."&amp;C$43&amp;C$1&amp;"C"&amp;$A77))-IF(RTD("tos.rtd",,$A$2,"."&amp;C$43&amp;C$1&amp;"P"&amp;$A77)="N/A",0,RTD("tos.rtd",,$A$2,"."&amp;C$43&amp;C$1&amp;"P"&amp;$A77))</f>
        <v>-1138</v>
      </c>
      <c r="D77" s="56">
        <f ca="1">IF(RTD("tos.rtd",,$A$2,"."&amp;D$43&amp;D$1&amp;"C"&amp;$A77)="N/A",0,RTD("tos.rtd",,$A$2,"."&amp;D$43&amp;D$1&amp;"C"&amp;$A77))-IF(RTD("tos.rtd",,$A$2,"."&amp;D$43&amp;D$1&amp;"P"&amp;$A77)="N/A",0,RTD("tos.rtd",,$A$2,"."&amp;D$43&amp;D$1&amp;"P"&amp;$A77))</f>
        <v>-874</v>
      </c>
      <c r="E77" s="56">
        <f ca="1">IF(RTD("tos.rtd",,$A$2,"."&amp;E$43&amp;E$1&amp;"C"&amp;$A77)="N/A",0,RTD("tos.rtd",,$A$2,"."&amp;E$43&amp;E$1&amp;"C"&amp;$A77))-IF(RTD("tos.rtd",,$A$2,"."&amp;E$43&amp;E$1&amp;"P"&amp;$A77)="N/A",0,RTD("tos.rtd",,$A$2,"."&amp;E$43&amp;E$1&amp;"P"&amp;$A77))</f>
        <v>0</v>
      </c>
      <c r="F77" s="56">
        <f ca="1">IF(RTD("tos.rtd",,$A$2,"."&amp;F$43&amp;F$1&amp;"C"&amp;$A77)="N/A",0,RTD("tos.rtd",,$A$2,"."&amp;F$43&amp;F$1&amp;"C"&amp;$A77))-IF(RTD("tos.rtd",,$A$2,"."&amp;F$43&amp;F$1&amp;"P"&amp;$A77)="N/A",0,RTD("tos.rtd",,$A$2,"."&amp;F$43&amp;F$1&amp;"P"&amp;$A77))</f>
        <v>0</v>
      </c>
      <c r="G77" s="56">
        <f ca="1">IF(RTD("tos.rtd",,$A$2,"."&amp;G$43&amp;G$1&amp;"C"&amp;$A77)="N/A",0,RTD("tos.rtd",,$A$2,"."&amp;G$43&amp;G$1&amp;"C"&amp;$A77))-IF(RTD("tos.rtd",,$A$2,"."&amp;G$43&amp;G$1&amp;"P"&amp;$A77)="N/A",0,RTD("tos.rtd",,$A$2,"."&amp;G$43&amp;G$1&amp;"P"&amp;$A77))</f>
        <v>0</v>
      </c>
      <c r="H77" s="56">
        <f ca="1">IF(RTD("tos.rtd",,$A$2,"."&amp;H$43&amp;H$1&amp;"C"&amp;$A77)="N/A",0,RTD("tos.rtd",,$A$2,"."&amp;H$43&amp;H$1&amp;"C"&amp;$A77))-IF(RTD("tos.rtd",,$A$2,"."&amp;H$43&amp;H$1&amp;"P"&amp;$A77)="N/A",0,RTD("tos.rtd",,$A$2,"."&amp;H$43&amp;H$1&amp;"P"&amp;$A77))</f>
        <v>-389</v>
      </c>
      <c r="I77" s="56">
        <f ca="1">IF(RTD("tos.rtd",,$A$2,"."&amp;I$43&amp;I$1&amp;"C"&amp;$A77)="N/A",0,RTD("tos.rtd",,$A$2,"."&amp;I$43&amp;I$1&amp;"C"&amp;$A77))-IF(RTD("tos.rtd",,$A$2,"."&amp;I$43&amp;I$1&amp;"P"&amp;$A77)="N/A",0,RTD("tos.rtd",,$A$2,"."&amp;I$43&amp;I$1&amp;"P"&amp;$A77))</f>
        <v>82</v>
      </c>
      <c r="J77" s="56">
        <f ca="1">IF(RTD("tos.rtd",,$A$2,"."&amp;J$43&amp;J$1&amp;"C"&amp;$A77)="N/A",0,RTD("tos.rtd",,$A$2,"."&amp;J$43&amp;J$1&amp;"C"&amp;$A77))-IF(RTD("tos.rtd",,$A$2,"."&amp;J$43&amp;J$1&amp;"P"&amp;$A77)="N/A",0,RTD("tos.rtd",,$A$2,"."&amp;J$43&amp;J$1&amp;"P"&amp;$A77))</f>
        <v>0</v>
      </c>
      <c r="K77" s="56">
        <f ca="1">IF(RTD("tos.rtd",,$A$2,"."&amp;K$43&amp;K$1&amp;"C"&amp;$A77)="N/A",0,RTD("tos.rtd",,$A$2,"."&amp;K$43&amp;K$1&amp;"C"&amp;$A77))-IF(RTD("tos.rtd",,$A$2,"."&amp;K$43&amp;K$1&amp;"P"&amp;$A77)="N/A",0,RTD("tos.rtd",,$A$2,"."&amp;K$43&amp;K$1&amp;"P"&amp;$A77))</f>
        <v>0</v>
      </c>
      <c r="L77" s="56">
        <f ca="1">IF(RTD("tos.rtd",,$A$2,"."&amp;L$43&amp;L$1&amp;"C"&amp;$A77)="N/A",0,RTD("tos.rtd",,$A$2,"."&amp;L$43&amp;L$1&amp;"C"&amp;$A77))-IF(RTD("tos.rtd",,$A$2,"."&amp;L$43&amp;L$1&amp;"P"&amp;$A77)="N/A",0,RTD("tos.rtd",,$A$2,"."&amp;L$43&amp;L$1&amp;"P"&amp;$A77))</f>
        <v>0</v>
      </c>
      <c r="M77" s="56">
        <f ca="1">IF(RTD("tos.rtd",,$A$2,"."&amp;M$43&amp;M$1&amp;"C"&amp;$A77)="N/A",0,RTD("tos.rtd",,$A$2,"."&amp;M$43&amp;M$1&amp;"C"&amp;$A77))-IF(RTD("tos.rtd",,$A$2,"."&amp;M$43&amp;M$1&amp;"P"&amp;$A77)="N/A",0,RTD("tos.rtd",,$A$2,"."&amp;M$43&amp;M$1&amp;"P"&amp;$A77))</f>
        <v>-6</v>
      </c>
      <c r="N77" s="56">
        <f ca="1">IF(RTD("tos.rtd",,$A$2,"."&amp;N$43&amp;N$1&amp;"C"&amp;$A77)="N/A",0,RTD("tos.rtd",,$A$2,"."&amp;N$43&amp;N$1&amp;"C"&amp;$A77))-IF(RTD("tos.rtd",,$A$2,"."&amp;N$43&amp;N$1&amp;"P"&amp;$A77)="N/A",0,RTD("tos.rtd",,$A$2,"."&amp;N$43&amp;N$1&amp;"P"&amp;$A77))</f>
        <v>0</v>
      </c>
      <c r="O77" s="56">
        <f ca="1">IF(RTD("tos.rtd",,$A$2,"."&amp;O$43&amp;O$1&amp;"C"&amp;$A77)="N/A",0,RTD("tos.rtd",,$A$2,"."&amp;O$43&amp;O$1&amp;"C"&amp;$A77))-IF(RTD("tos.rtd",,$A$2,"."&amp;O$43&amp;O$1&amp;"P"&amp;$A77)="N/A",0,RTD("tos.rtd",,$A$2,"."&amp;O$43&amp;O$1&amp;"P"&amp;$A77))</f>
        <v>-23</v>
      </c>
      <c r="P77" s="56">
        <f ca="1">IF(RTD("tos.rtd",,$A$2,"."&amp;P$43&amp;P$1&amp;"C"&amp;$A77)="N/A",0,RTD("tos.rtd",,$A$2,"."&amp;P$43&amp;P$1&amp;"C"&amp;$A77))-IF(RTD("tos.rtd",,$A$2,"."&amp;P$43&amp;P$1&amp;"P"&amp;$A77)="N/A",0,RTD("tos.rtd",,$A$2,"."&amp;P$43&amp;P$1&amp;"P"&amp;$A77))</f>
        <v>0</v>
      </c>
      <c r="Q77" s="56">
        <f ca="1">IF(RTD("tos.rtd",,$A$2,"."&amp;Q$43&amp;Q$1&amp;"C"&amp;$A77)="N/A",0,RTD("tos.rtd",,$A$2,"."&amp;Q$43&amp;Q$1&amp;"C"&amp;$A77))-IF(RTD("tos.rtd",,$A$2,"."&amp;Q$43&amp;Q$1&amp;"P"&amp;$A77)="N/A",0,RTD("tos.rtd",,$A$2,"."&amp;Q$43&amp;Q$1&amp;"P"&amp;$A77))</f>
        <v>0</v>
      </c>
      <c r="R77" s="56">
        <f ca="1">IF(RTD("tos.rtd",,$A$2,"."&amp;R$43&amp;R$1&amp;"C"&amp;$A77)="N/A",0,RTD("tos.rtd",,$A$2,"."&amp;R$43&amp;R$1&amp;"C"&amp;$A77))-IF(RTD("tos.rtd",,$A$2,"."&amp;R$43&amp;R$1&amp;"P"&amp;$A77)="N/A",0,RTD("tos.rtd",,$A$2,"."&amp;R$43&amp;R$1&amp;"P"&amp;$A77))</f>
        <v>0</v>
      </c>
      <c r="S77" s="56">
        <f ca="1">IF(RTD("tos.rtd",,$A$2,"."&amp;S$43&amp;S$1&amp;"C"&amp;$A77)="N/A",0,RTD("tos.rtd",,$A$2,"."&amp;S$43&amp;S$1&amp;"C"&amp;$A77))-IF(RTD("tos.rtd",,$A$2,"."&amp;S$43&amp;S$1&amp;"P"&amp;$A77)="N/A",0,RTD("tos.rtd",,$A$2,"."&amp;S$43&amp;S$1&amp;"P"&amp;$A77))</f>
        <v>0</v>
      </c>
      <c r="T77" s="56">
        <f ca="1">IF(RTD("tos.rtd",,$A$2,"."&amp;T$43&amp;T$1&amp;"C"&amp;$A77)="N/A",0,RTD("tos.rtd",,$A$2,"."&amp;T$43&amp;T$1&amp;"C"&amp;$A77))-IF(RTD("tos.rtd",,$A$2,"."&amp;T$43&amp;T$1&amp;"P"&amp;$A77)="N/A",0,RTD("tos.rtd",,$A$2,"."&amp;T$43&amp;T$1&amp;"P"&amp;$A77))</f>
        <v>0</v>
      </c>
      <c r="U77" s="56">
        <f ca="1">IF(RTD("tos.rtd",,$A$2,"."&amp;U$43&amp;U$1&amp;"C"&amp;$A77)="N/A",0,RTD("tos.rtd",,$A$2,"."&amp;U$43&amp;U$1&amp;"C"&amp;$A77))-IF(RTD("tos.rtd",,$A$2,"."&amp;U$43&amp;U$1&amp;"P"&amp;$A77)="N/A",0,RTD("tos.rtd",,$A$2,"."&amp;U$43&amp;U$1&amp;"P"&amp;$A77))</f>
        <v>0</v>
      </c>
      <c r="V77" s="56">
        <f ca="1">IF(RTD("tos.rtd",,$A$2,"."&amp;V$43&amp;V$1&amp;"C"&amp;$A77)="N/A",0,RTD("tos.rtd",,$A$2,"."&amp;V$43&amp;V$1&amp;"C"&amp;$A77))-IF(RTD("tos.rtd",,$A$2,"."&amp;V$43&amp;V$1&amp;"P"&amp;$A77)="N/A",0,RTD("tos.rtd",,$A$2,"."&amp;V$43&amp;V$1&amp;"P"&amp;$A77))</f>
        <v>0</v>
      </c>
      <c r="W77" s="56">
        <f ca="1">IF(RTD("tos.rtd",,$A$2,"."&amp;W$43&amp;W$1&amp;"C"&amp;$A77)="N/A",0,RTD("tos.rtd",,$A$2,"."&amp;W$43&amp;W$1&amp;"C"&amp;$A77))-IF(RTD("tos.rtd",,$A$2,"."&amp;W$43&amp;W$1&amp;"P"&amp;$A77)="N/A",0,RTD("tos.rtd",,$A$2,"."&amp;W$43&amp;W$1&amp;"P"&amp;$A77))</f>
        <v>0</v>
      </c>
      <c r="X77" s="56">
        <f ca="1">IF(RTD("tos.rtd",,$A$2,"."&amp;X$43&amp;X$1&amp;"C"&amp;$A77)="N/A",0,RTD("tos.rtd",,$A$2,"."&amp;X$43&amp;X$1&amp;"C"&amp;$A77))-IF(RTD("tos.rtd",,$A$2,"."&amp;X$43&amp;X$1&amp;"P"&amp;$A77)="N/A",0,RTD("tos.rtd",,$A$2,"."&amp;X$43&amp;X$1&amp;"P"&amp;$A77))</f>
        <v>0</v>
      </c>
      <c r="Y77" s="63">
        <f t="shared" ca="1" si="10"/>
        <v>-14047</v>
      </c>
    </row>
    <row r="78" spans="1:25" x14ac:dyDescent="0.25">
      <c r="A78" s="58">
        <f>+Hoja1!A77</f>
        <v>597</v>
      </c>
      <c r="B78" s="56">
        <f ca="1">IF(RTD("tos.rtd",,$A$2,"."&amp;B$43&amp;B$1&amp;"C"&amp;$A78)="N/A",0,RTD("tos.rtd",,$A$2,"."&amp;B$43&amp;B$1&amp;"C"&amp;$A78))-IF(RTD("tos.rtd",,$A$2,"."&amp;B$43&amp;B$1&amp;"P"&amp;$A78)="N/A",0,RTD("tos.rtd",,$A$2,"."&amp;B$43&amp;B$1&amp;"P"&amp;$A78))</f>
        <v>-9581</v>
      </c>
      <c r="C78" s="56">
        <f ca="1">IF(RTD("tos.rtd",,$A$2,"."&amp;C$43&amp;C$1&amp;"C"&amp;$A78)="N/A",0,RTD("tos.rtd",,$A$2,"."&amp;C$43&amp;C$1&amp;"C"&amp;$A78))-IF(RTD("tos.rtd",,$A$2,"."&amp;C$43&amp;C$1&amp;"P"&amp;$A78)="N/A",0,RTD("tos.rtd",,$A$2,"."&amp;C$43&amp;C$1&amp;"P"&amp;$A78))</f>
        <v>-1621</v>
      </c>
      <c r="D78" s="56">
        <f ca="1">IF(RTD("tos.rtd",,$A$2,"."&amp;D$43&amp;D$1&amp;"C"&amp;$A78)="N/A",0,RTD("tos.rtd",,$A$2,"."&amp;D$43&amp;D$1&amp;"C"&amp;$A78))-IF(RTD("tos.rtd",,$A$2,"."&amp;D$43&amp;D$1&amp;"P"&amp;$A78)="N/A",0,RTD("tos.rtd",,$A$2,"."&amp;D$43&amp;D$1&amp;"P"&amp;$A78))</f>
        <v>-921</v>
      </c>
      <c r="E78" s="56">
        <f ca="1">IF(RTD("tos.rtd",,$A$2,"."&amp;E$43&amp;E$1&amp;"C"&amp;$A78)="N/A",0,RTD("tos.rtd",,$A$2,"."&amp;E$43&amp;E$1&amp;"C"&amp;$A78))-IF(RTD("tos.rtd",,$A$2,"."&amp;E$43&amp;E$1&amp;"P"&amp;$A78)="N/A",0,RTD("tos.rtd",,$A$2,"."&amp;E$43&amp;E$1&amp;"P"&amp;$A78))</f>
        <v>0</v>
      </c>
      <c r="F78" s="56">
        <f ca="1">IF(RTD("tos.rtd",,$A$2,"."&amp;F$43&amp;F$1&amp;"C"&amp;$A78)="N/A",0,RTD("tos.rtd",,$A$2,"."&amp;F$43&amp;F$1&amp;"C"&amp;$A78))-IF(RTD("tos.rtd",,$A$2,"."&amp;F$43&amp;F$1&amp;"P"&amp;$A78)="N/A",0,RTD("tos.rtd",,$A$2,"."&amp;F$43&amp;F$1&amp;"P"&amp;$A78))</f>
        <v>0</v>
      </c>
      <c r="G78" s="56">
        <f ca="1">IF(RTD("tos.rtd",,$A$2,"."&amp;G$43&amp;G$1&amp;"C"&amp;$A78)="N/A",0,RTD("tos.rtd",,$A$2,"."&amp;G$43&amp;G$1&amp;"C"&amp;$A78))-IF(RTD("tos.rtd",,$A$2,"."&amp;G$43&amp;G$1&amp;"P"&amp;$A78)="N/A",0,RTD("tos.rtd",,$A$2,"."&amp;G$43&amp;G$1&amp;"P"&amp;$A78))</f>
        <v>0</v>
      </c>
      <c r="H78" s="56">
        <f ca="1">IF(RTD("tos.rtd",,$A$2,"."&amp;H$43&amp;H$1&amp;"C"&amp;$A78)="N/A",0,RTD("tos.rtd",,$A$2,"."&amp;H$43&amp;H$1&amp;"C"&amp;$A78))-IF(RTD("tos.rtd",,$A$2,"."&amp;H$43&amp;H$1&amp;"P"&amp;$A78)="N/A",0,RTD("tos.rtd",,$A$2,"."&amp;H$43&amp;H$1&amp;"P"&amp;$A78))</f>
        <v>-83</v>
      </c>
      <c r="I78" s="56">
        <f ca="1">IF(RTD("tos.rtd",,$A$2,"."&amp;I$43&amp;I$1&amp;"C"&amp;$A78)="N/A",0,RTD("tos.rtd",,$A$2,"."&amp;I$43&amp;I$1&amp;"C"&amp;$A78))-IF(RTD("tos.rtd",,$A$2,"."&amp;I$43&amp;I$1&amp;"P"&amp;$A78)="N/A",0,RTD("tos.rtd",,$A$2,"."&amp;I$43&amp;I$1&amp;"P"&amp;$A78))</f>
        <v>-37</v>
      </c>
      <c r="J78" s="56">
        <f ca="1">IF(RTD("tos.rtd",,$A$2,"."&amp;J$43&amp;J$1&amp;"C"&amp;$A78)="N/A",0,RTD("tos.rtd",,$A$2,"."&amp;J$43&amp;J$1&amp;"C"&amp;$A78))-IF(RTD("tos.rtd",,$A$2,"."&amp;J$43&amp;J$1&amp;"P"&amp;$A78)="N/A",0,RTD("tos.rtd",,$A$2,"."&amp;J$43&amp;J$1&amp;"P"&amp;$A78))</f>
        <v>0</v>
      </c>
      <c r="K78" s="56">
        <f ca="1">IF(RTD("tos.rtd",,$A$2,"."&amp;K$43&amp;K$1&amp;"C"&amp;$A78)="N/A",0,RTD("tos.rtd",,$A$2,"."&amp;K$43&amp;K$1&amp;"C"&amp;$A78))-IF(RTD("tos.rtd",,$A$2,"."&amp;K$43&amp;K$1&amp;"P"&amp;$A78)="N/A",0,RTD("tos.rtd",,$A$2,"."&amp;K$43&amp;K$1&amp;"P"&amp;$A78))</f>
        <v>0</v>
      </c>
      <c r="L78" s="56">
        <f ca="1">IF(RTD("tos.rtd",,$A$2,"."&amp;L$43&amp;L$1&amp;"C"&amp;$A78)="N/A",0,RTD("tos.rtd",,$A$2,"."&amp;L$43&amp;L$1&amp;"C"&amp;$A78))-IF(RTD("tos.rtd",,$A$2,"."&amp;L$43&amp;L$1&amp;"P"&amp;$A78)="N/A",0,RTD("tos.rtd",,$A$2,"."&amp;L$43&amp;L$1&amp;"P"&amp;$A78))</f>
        <v>0</v>
      </c>
      <c r="M78" s="56">
        <f ca="1">IF(RTD("tos.rtd",,$A$2,"."&amp;M$43&amp;M$1&amp;"C"&amp;$A78)="N/A",0,RTD("tos.rtd",,$A$2,"."&amp;M$43&amp;M$1&amp;"C"&amp;$A78))-IF(RTD("tos.rtd",,$A$2,"."&amp;M$43&amp;M$1&amp;"P"&amp;$A78)="N/A",0,RTD("tos.rtd",,$A$2,"."&amp;M$43&amp;M$1&amp;"P"&amp;$A78))</f>
        <v>-6</v>
      </c>
      <c r="N78" s="56">
        <f ca="1">IF(RTD("tos.rtd",,$A$2,"."&amp;N$43&amp;N$1&amp;"C"&amp;$A78)="N/A",0,RTD("tos.rtd",,$A$2,"."&amp;N$43&amp;N$1&amp;"C"&amp;$A78))-IF(RTD("tos.rtd",,$A$2,"."&amp;N$43&amp;N$1&amp;"P"&amp;$A78)="N/A",0,RTD("tos.rtd",,$A$2,"."&amp;N$43&amp;N$1&amp;"P"&amp;$A78))</f>
        <v>0</v>
      </c>
      <c r="O78" s="56">
        <f ca="1">IF(RTD("tos.rtd",,$A$2,"."&amp;O$43&amp;O$1&amp;"C"&amp;$A78)="N/A",0,RTD("tos.rtd",,$A$2,"."&amp;O$43&amp;O$1&amp;"C"&amp;$A78))-IF(RTD("tos.rtd",,$A$2,"."&amp;O$43&amp;O$1&amp;"P"&amp;$A78)="N/A",0,RTD("tos.rtd",,$A$2,"."&amp;O$43&amp;O$1&amp;"P"&amp;$A78))</f>
        <v>-48</v>
      </c>
      <c r="P78" s="56">
        <f ca="1">IF(RTD("tos.rtd",,$A$2,"."&amp;P$43&amp;P$1&amp;"C"&amp;$A78)="N/A",0,RTD("tos.rtd",,$A$2,"."&amp;P$43&amp;P$1&amp;"C"&amp;$A78))-IF(RTD("tos.rtd",,$A$2,"."&amp;P$43&amp;P$1&amp;"P"&amp;$A78)="N/A",0,RTD("tos.rtd",,$A$2,"."&amp;P$43&amp;P$1&amp;"P"&amp;$A78))</f>
        <v>0</v>
      </c>
      <c r="Q78" s="56">
        <f ca="1">IF(RTD("tos.rtd",,$A$2,"."&amp;Q$43&amp;Q$1&amp;"C"&amp;$A78)="N/A",0,RTD("tos.rtd",,$A$2,"."&amp;Q$43&amp;Q$1&amp;"C"&amp;$A78))-IF(RTD("tos.rtd",,$A$2,"."&amp;Q$43&amp;Q$1&amp;"P"&amp;$A78)="N/A",0,RTD("tos.rtd",,$A$2,"."&amp;Q$43&amp;Q$1&amp;"P"&amp;$A78))</f>
        <v>0</v>
      </c>
      <c r="R78" s="56">
        <f ca="1">IF(RTD("tos.rtd",,$A$2,"."&amp;R$43&amp;R$1&amp;"C"&amp;$A78)="N/A",0,RTD("tos.rtd",,$A$2,"."&amp;R$43&amp;R$1&amp;"C"&amp;$A78))-IF(RTD("tos.rtd",,$A$2,"."&amp;R$43&amp;R$1&amp;"P"&amp;$A78)="N/A",0,RTD("tos.rtd",,$A$2,"."&amp;R$43&amp;R$1&amp;"P"&amp;$A78))</f>
        <v>0</v>
      </c>
      <c r="S78" s="56">
        <f ca="1">IF(RTD("tos.rtd",,$A$2,"."&amp;S$43&amp;S$1&amp;"C"&amp;$A78)="N/A",0,RTD("tos.rtd",,$A$2,"."&amp;S$43&amp;S$1&amp;"C"&amp;$A78))-IF(RTD("tos.rtd",,$A$2,"."&amp;S$43&amp;S$1&amp;"P"&amp;$A78)="N/A",0,RTD("tos.rtd",,$A$2,"."&amp;S$43&amp;S$1&amp;"P"&amp;$A78))</f>
        <v>0</v>
      </c>
      <c r="T78" s="56">
        <f ca="1">IF(RTD("tos.rtd",,$A$2,"."&amp;T$43&amp;T$1&amp;"C"&amp;$A78)="N/A",0,RTD("tos.rtd",,$A$2,"."&amp;T$43&amp;T$1&amp;"C"&amp;$A78))-IF(RTD("tos.rtd",,$A$2,"."&amp;T$43&amp;T$1&amp;"P"&amp;$A78)="N/A",0,RTD("tos.rtd",,$A$2,"."&amp;T$43&amp;T$1&amp;"P"&amp;$A78))</f>
        <v>0</v>
      </c>
      <c r="U78" s="56">
        <f ca="1">IF(RTD("tos.rtd",,$A$2,"."&amp;U$43&amp;U$1&amp;"C"&amp;$A78)="N/A",0,RTD("tos.rtd",,$A$2,"."&amp;U$43&amp;U$1&amp;"C"&amp;$A78))-IF(RTD("tos.rtd",,$A$2,"."&amp;U$43&amp;U$1&amp;"P"&amp;$A78)="N/A",0,RTD("tos.rtd",,$A$2,"."&amp;U$43&amp;U$1&amp;"P"&amp;$A78))</f>
        <v>0</v>
      </c>
      <c r="V78" s="56">
        <f ca="1">IF(RTD("tos.rtd",,$A$2,"."&amp;V$43&amp;V$1&amp;"C"&amp;$A78)="N/A",0,RTD("tos.rtd",,$A$2,"."&amp;V$43&amp;V$1&amp;"C"&amp;$A78))-IF(RTD("tos.rtd",,$A$2,"."&amp;V$43&amp;V$1&amp;"P"&amp;$A78)="N/A",0,RTD("tos.rtd",,$A$2,"."&amp;V$43&amp;V$1&amp;"P"&amp;$A78))</f>
        <v>0</v>
      </c>
      <c r="W78" s="56">
        <f ca="1">IF(RTD("tos.rtd",,$A$2,"."&amp;W$43&amp;W$1&amp;"C"&amp;$A78)="N/A",0,RTD("tos.rtd",,$A$2,"."&amp;W$43&amp;W$1&amp;"C"&amp;$A78))-IF(RTD("tos.rtd",,$A$2,"."&amp;W$43&amp;W$1&amp;"P"&amp;$A78)="N/A",0,RTD("tos.rtd",,$A$2,"."&amp;W$43&amp;W$1&amp;"P"&amp;$A78))</f>
        <v>0</v>
      </c>
      <c r="X78" s="56">
        <f ca="1">IF(RTD("tos.rtd",,$A$2,"."&amp;X$43&amp;X$1&amp;"C"&amp;$A78)="N/A",0,RTD("tos.rtd",,$A$2,"."&amp;X$43&amp;X$1&amp;"C"&amp;$A78))-IF(RTD("tos.rtd",,$A$2,"."&amp;X$43&amp;X$1&amp;"P"&amp;$A78)="N/A",0,RTD("tos.rtd",,$A$2,"."&amp;X$43&amp;X$1&amp;"P"&amp;$A78))</f>
        <v>0</v>
      </c>
      <c r="Y78" s="63">
        <f t="shared" ca="1" si="10"/>
        <v>-12297</v>
      </c>
    </row>
    <row r="79" spans="1:25" x14ac:dyDescent="0.25">
      <c r="A79" s="58">
        <f>+Hoja1!A78</f>
        <v>596</v>
      </c>
      <c r="B79" s="56">
        <f ca="1">IF(RTD("tos.rtd",,$A$2,"."&amp;B$43&amp;B$1&amp;"C"&amp;$A79)="N/A",0,RTD("tos.rtd",,$A$2,"."&amp;B$43&amp;B$1&amp;"C"&amp;$A79))-IF(RTD("tos.rtd",,$A$2,"."&amp;B$43&amp;B$1&amp;"P"&amp;$A79)="N/A",0,RTD("tos.rtd",,$A$2,"."&amp;B$43&amp;B$1&amp;"P"&amp;$A79))</f>
        <v>-13386</v>
      </c>
      <c r="C79" s="56">
        <f ca="1">IF(RTD("tos.rtd",,$A$2,"."&amp;C$43&amp;C$1&amp;"C"&amp;$A79)="N/A",0,RTD("tos.rtd",,$A$2,"."&amp;C$43&amp;C$1&amp;"C"&amp;$A79))-IF(RTD("tos.rtd",,$A$2,"."&amp;C$43&amp;C$1&amp;"P"&amp;$A79)="N/A",0,RTD("tos.rtd",,$A$2,"."&amp;C$43&amp;C$1&amp;"P"&amp;$A79))</f>
        <v>-1833</v>
      </c>
      <c r="D79" s="56">
        <f ca="1">IF(RTD("tos.rtd",,$A$2,"."&amp;D$43&amp;D$1&amp;"C"&amp;$A79)="N/A",0,RTD("tos.rtd",,$A$2,"."&amp;D$43&amp;D$1&amp;"C"&amp;$A79))-IF(RTD("tos.rtd",,$A$2,"."&amp;D$43&amp;D$1&amp;"P"&amp;$A79)="N/A",0,RTD("tos.rtd",,$A$2,"."&amp;D$43&amp;D$1&amp;"P"&amp;$A79))</f>
        <v>-2845</v>
      </c>
      <c r="E79" s="56">
        <f ca="1">IF(RTD("tos.rtd",,$A$2,"."&amp;E$43&amp;E$1&amp;"C"&amp;$A79)="N/A",0,RTD("tos.rtd",,$A$2,"."&amp;E$43&amp;E$1&amp;"C"&amp;$A79))-IF(RTD("tos.rtd",,$A$2,"."&amp;E$43&amp;E$1&amp;"P"&amp;$A79)="N/A",0,RTD("tos.rtd",,$A$2,"."&amp;E$43&amp;E$1&amp;"P"&amp;$A79))</f>
        <v>0</v>
      </c>
      <c r="F79" s="56">
        <f ca="1">IF(RTD("tos.rtd",,$A$2,"."&amp;F$43&amp;F$1&amp;"C"&amp;$A79)="N/A",0,RTD("tos.rtd",,$A$2,"."&amp;F$43&amp;F$1&amp;"C"&amp;$A79))-IF(RTD("tos.rtd",,$A$2,"."&amp;F$43&amp;F$1&amp;"P"&amp;$A79)="N/A",0,RTD("tos.rtd",,$A$2,"."&amp;F$43&amp;F$1&amp;"P"&amp;$A79))</f>
        <v>0</v>
      </c>
      <c r="G79" s="56">
        <f ca="1">IF(RTD("tos.rtd",,$A$2,"."&amp;G$43&amp;G$1&amp;"C"&amp;$A79)="N/A",0,RTD("tos.rtd",,$A$2,"."&amp;G$43&amp;G$1&amp;"C"&amp;$A79))-IF(RTD("tos.rtd",,$A$2,"."&amp;G$43&amp;G$1&amp;"P"&amp;$A79)="N/A",0,RTD("tos.rtd",,$A$2,"."&amp;G$43&amp;G$1&amp;"P"&amp;$A79))</f>
        <v>0</v>
      </c>
      <c r="H79" s="56">
        <f ca="1">IF(RTD("tos.rtd",,$A$2,"."&amp;H$43&amp;H$1&amp;"C"&amp;$A79)="N/A",0,RTD("tos.rtd",,$A$2,"."&amp;H$43&amp;H$1&amp;"C"&amp;$A79))-IF(RTD("tos.rtd",,$A$2,"."&amp;H$43&amp;H$1&amp;"P"&amp;$A79)="N/A",0,RTD("tos.rtd",,$A$2,"."&amp;H$43&amp;H$1&amp;"P"&amp;$A79))</f>
        <v>31</v>
      </c>
      <c r="I79" s="56">
        <f ca="1">IF(RTD("tos.rtd",,$A$2,"."&amp;I$43&amp;I$1&amp;"C"&amp;$A79)="N/A",0,RTD("tos.rtd",,$A$2,"."&amp;I$43&amp;I$1&amp;"C"&amp;$A79))-IF(RTD("tos.rtd",,$A$2,"."&amp;I$43&amp;I$1&amp;"P"&amp;$A79)="N/A",0,RTD("tos.rtd",,$A$2,"."&amp;I$43&amp;I$1&amp;"P"&amp;$A79))</f>
        <v>-41</v>
      </c>
      <c r="J79" s="56">
        <f ca="1">IF(RTD("tos.rtd",,$A$2,"."&amp;J$43&amp;J$1&amp;"C"&amp;$A79)="N/A",0,RTD("tos.rtd",,$A$2,"."&amp;J$43&amp;J$1&amp;"C"&amp;$A79))-IF(RTD("tos.rtd",,$A$2,"."&amp;J$43&amp;J$1&amp;"P"&amp;$A79)="N/A",0,RTD("tos.rtd",,$A$2,"."&amp;J$43&amp;J$1&amp;"P"&amp;$A79))</f>
        <v>0</v>
      </c>
      <c r="K79" s="56">
        <f ca="1">IF(RTD("tos.rtd",,$A$2,"."&amp;K$43&amp;K$1&amp;"C"&amp;$A79)="N/A",0,RTD("tos.rtd",,$A$2,"."&amp;K$43&amp;K$1&amp;"C"&amp;$A79))-IF(RTD("tos.rtd",,$A$2,"."&amp;K$43&amp;K$1&amp;"P"&amp;$A79)="N/A",0,RTD("tos.rtd",,$A$2,"."&amp;K$43&amp;K$1&amp;"P"&amp;$A79))</f>
        <v>0</v>
      </c>
      <c r="L79" s="56">
        <f ca="1">IF(RTD("tos.rtd",,$A$2,"."&amp;L$43&amp;L$1&amp;"C"&amp;$A79)="N/A",0,RTD("tos.rtd",,$A$2,"."&amp;L$43&amp;L$1&amp;"C"&amp;$A79))-IF(RTD("tos.rtd",,$A$2,"."&amp;L$43&amp;L$1&amp;"P"&amp;$A79)="N/A",0,RTD("tos.rtd",,$A$2,"."&amp;L$43&amp;L$1&amp;"P"&amp;$A79))</f>
        <v>0</v>
      </c>
      <c r="M79" s="56">
        <f ca="1">IF(RTD("tos.rtd",,$A$2,"."&amp;M$43&amp;M$1&amp;"C"&amp;$A79)="N/A",0,RTD("tos.rtd",,$A$2,"."&amp;M$43&amp;M$1&amp;"C"&amp;$A79))-IF(RTD("tos.rtd",,$A$2,"."&amp;M$43&amp;M$1&amp;"P"&amp;$A79)="N/A",0,RTD("tos.rtd",,$A$2,"."&amp;M$43&amp;M$1&amp;"P"&amp;$A79))</f>
        <v>1</v>
      </c>
      <c r="N79" s="56">
        <f ca="1">IF(RTD("tos.rtd",,$A$2,"."&amp;N$43&amp;N$1&amp;"C"&amp;$A79)="N/A",0,RTD("tos.rtd",,$A$2,"."&amp;N$43&amp;N$1&amp;"C"&amp;$A79))-IF(RTD("tos.rtd",,$A$2,"."&amp;N$43&amp;N$1&amp;"P"&amp;$A79)="N/A",0,RTD("tos.rtd",,$A$2,"."&amp;N$43&amp;N$1&amp;"P"&amp;$A79))</f>
        <v>0</v>
      </c>
      <c r="O79" s="56">
        <f ca="1">IF(RTD("tos.rtd",,$A$2,"."&amp;O$43&amp;O$1&amp;"C"&amp;$A79)="N/A",0,RTD("tos.rtd",,$A$2,"."&amp;O$43&amp;O$1&amp;"C"&amp;$A79))-IF(RTD("tos.rtd",,$A$2,"."&amp;O$43&amp;O$1&amp;"P"&amp;$A79)="N/A",0,RTD("tos.rtd",,$A$2,"."&amp;O$43&amp;O$1&amp;"P"&amp;$A79))</f>
        <v>-19</v>
      </c>
      <c r="P79" s="56">
        <f ca="1">IF(RTD("tos.rtd",,$A$2,"."&amp;P$43&amp;P$1&amp;"C"&amp;$A79)="N/A",0,RTD("tos.rtd",,$A$2,"."&amp;P$43&amp;P$1&amp;"C"&amp;$A79))-IF(RTD("tos.rtd",,$A$2,"."&amp;P$43&amp;P$1&amp;"P"&amp;$A79)="N/A",0,RTD("tos.rtd",,$A$2,"."&amp;P$43&amp;P$1&amp;"P"&amp;$A79))</f>
        <v>0</v>
      </c>
      <c r="Q79" s="56">
        <f ca="1">IF(RTD("tos.rtd",,$A$2,"."&amp;Q$43&amp;Q$1&amp;"C"&amp;$A79)="N/A",0,RTD("tos.rtd",,$A$2,"."&amp;Q$43&amp;Q$1&amp;"C"&amp;$A79))-IF(RTD("tos.rtd",,$A$2,"."&amp;Q$43&amp;Q$1&amp;"P"&amp;$A79)="N/A",0,RTD("tos.rtd",,$A$2,"."&amp;Q$43&amp;Q$1&amp;"P"&amp;$A79))</f>
        <v>0</v>
      </c>
      <c r="R79" s="56">
        <f ca="1">IF(RTD("tos.rtd",,$A$2,"."&amp;R$43&amp;R$1&amp;"C"&amp;$A79)="N/A",0,RTD("tos.rtd",,$A$2,"."&amp;R$43&amp;R$1&amp;"C"&amp;$A79))-IF(RTD("tos.rtd",,$A$2,"."&amp;R$43&amp;R$1&amp;"P"&amp;$A79)="N/A",0,RTD("tos.rtd",,$A$2,"."&amp;R$43&amp;R$1&amp;"P"&amp;$A79))</f>
        <v>0</v>
      </c>
      <c r="S79" s="56">
        <f ca="1">IF(RTD("tos.rtd",,$A$2,"."&amp;S$43&amp;S$1&amp;"C"&amp;$A79)="N/A",0,RTD("tos.rtd",,$A$2,"."&amp;S$43&amp;S$1&amp;"C"&amp;$A79))-IF(RTD("tos.rtd",,$A$2,"."&amp;S$43&amp;S$1&amp;"P"&amp;$A79)="N/A",0,RTD("tos.rtd",,$A$2,"."&amp;S$43&amp;S$1&amp;"P"&amp;$A79))</f>
        <v>0</v>
      </c>
      <c r="T79" s="56">
        <f ca="1">IF(RTD("tos.rtd",,$A$2,"."&amp;T$43&amp;T$1&amp;"C"&amp;$A79)="N/A",0,RTD("tos.rtd",,$A$2,"."&amp;T$43&amp;T$1&amp;"C"&amp;$A79))-IF(RTD("tos.rtd",,$A$2,"."&amp;T$43&amp;T$1&amp;"P"&amp;$A79)="N/A",0,RTD("tos.rtd",,$A$2,"."&amp;T$43&amp;T$1&amp;"P"&amp;$A79))</f>
        <v>0</v>
      </c>
      <c r="U79" s="56">
        <f ca="1">IF(RTD("tos.rtd",,$A$2,"."&amp;U$43&amp;U$1&amp;"C"&amp;$A79)="N/A",0,RTD("tos.rtd",,$A$2,"."&amp;U$43&amp;U$1&amp;"C"&amp;$A79))-IF(RTD("tos.rtd",,$A$2,"."&amp;U$43&amp;U$1&amp;"P"&amp;$A79)="N/A",0,RTD("tos.rtd",,$A$2,"."&amp;U$43&amp;U$1&amp;"P"&amp;$A79))</f>
        <v>0</v>
      </c>
      <c r="V79" s="56">
        <f ca="1">IF(RTD("tos.rtd",,$A$2,"."&amp;V$43&amp;V$1&amp;"C"&amp;$A79)="N/A",0,RTD("tos.rtd",,$A$2,"."&amp;V$43&amp;V$1&amp;"C"&amp;$A79))-IF(RTD("tos.rtd",,$A$2,"."&amp;V$43&amp;V$1&amp;"P"&amp;$A79)="N/A",0,RTD("tos.rtd",,$A$2,"."&amp;V$43&amp;V$1&amp;"P"&amp;$A79))</f>
        <v>0</v>
      </c>
      <c r="W79" s="56">
        <f ca="1">IF(RTD("tos.rtd",,$A$2,"."&amp;W$43&amp;W$1&amp;"C"&amp;$A79)="N/A",0,RTD("tos.rtd",,$A$2,"."&amp;W$43&amp;W$1&amp;"C"&amp;$A79))-IF(RTD("tos.rtd",,$A$2,"."&amp;W$43&amp;W$1&amp;"P"&amp;$A79)="N/A",0,RTD("tos.rtd",,$A$2,"."&amp;W$43&amp;W$1&amp;"P"&amp;$A79))</f>
        <v>0</v>
      </c>
      <c r="X79" s="56">
        <f ca="1">IF(RTD("tos.rtd",,$A$2,"."&amp;X$43&amp;X$1&amp;"C"&amp;$A79)="N/A",0,RTD("tos.rtd",,$A$2,"."&amp;X$43&amp;X$1&amp;"C"&amp;$A79))-IF(RTD("tos.rtd",,$A$2,"."&amp;X$43&amp;X$1&amp;"P"&amp;$A79)="N/A",0,RTD("tos.rtd",,$A$2,"."&amp;X$43&amp;X$1&amp;"P"&amp;$A79))</f>
        <v>0</v>
      </c>
      <c r="Y79" s="63">
        <f t="shared" ca="1" si="10"/>
        <v>-18092</v>
      </c>
    </row>
    <row r="80" spans="1:25" x14ac:dyDescent="0.25">
      <c r="A80" s="58">
        <f>+Hoja1!A79</f>
        <v>595</v>
      </c>
      <c r="B80" s="56">
        <f ca="1">IF(RTD("tos.rtd",,$A$2,"."&amp;B$43&amp;B$1&amp;"C"&amp;$A80)="N/A",0,RTD("tos.rtd",,$A$2,"."&amp;B$43&amp;B$1&amp;"C"&amp;$A80))-IF(RTD("tos.rtd",,$A$2,"."&amp;B$43&amp;B$1&amp;"P"&amp;$A80)="N/A",0,RTD("tos.rtd",,$A$2,"."&amp;B$43&amp;B$1&amp;"P"&amp;$A80))</f>
        <v>-23060</v>
      </c>
      <c r="C80" s="56">
        <f ca="1">IF(RTD("tos.rtd",,$A$2,"."&amp;C$43&amp;C$1&amp;"C"&amp;$A80)="N/A",0,RTD("tos.rtd",,$A$2,"."&amp;C$43&amp;C$1&amp;"C"&amp;$A80))-IF(RTD("tos.rtd",,$A$2,"."&amp;C$43&amp;C$1&amp;"P"&amp;$A80)="N/A",0,RTD("tos.rtd",,$A$2,"."&amp;C$43&amp;C$1&amp;"P"&amp;$A80))</f>
        <v>-7013</v>
      </c>
      <c r="D80" s="56">
        <f ca="1">IF(RTD("tos.rtd",,$A$2,"."&amp;D$43&amp;D$1&amp;"C"&amp;$A80)="N/A",0,RTD("tos.rtd",,$A$2,"."&amp;D$43&amp;D$1&amp;"C"&amp;$A80))-IF(RTD("tos.rtd",,$A$2,"."&amp;D$43&amp;D$1&amp;"P"&amp;$A80)="N/A",0,RTD("tos.rtd",,$A$2,"."&amp;D$43&amp;D$1&amp;"P"&amp;$A80))</f>
        <v>-7104</v>
      </c>
      <c r="E80" s="56">
        <f ca="1">IF(RTD("tos.rtd",,$A$2,"."&amp;E$43&amp;E$1&amp;"C"&amp;$A80)="N/A",0,RTD("tos.rtd",,$A$2,"."&amp;E$43&amp;E$1&amp;"C"&amp;$A80))-IF(RTD("tos.rtd",,$A$2,"."&amp;E$43&amp;E$1&amp;"P"&amp;$A80)="N/A",0,RTD("tos.rtd",,$A$2,"."&amp;E$43&amp;E$1&amp;"P"&amp;$A80))</f>
        <v>-948</v>
      </c>
      <c r="F80" s="56">
        <f ca="1">IF(RTD("tos.rtd",,$A$2,"."&amp;F$43&amp;F$1&amp;"C"&amp;$A80)="N/A",0,RTD("tos.rtd",,$A$2,"."&amp;F$43&amp;F$1&amp;"C"&amp;$A80))-IF(RTD("tos.rtd",,$A$2,"."&amp;F$43&amp;F$1&amp;"P"&amp;$A80)="N/A",0,RTD("tos.rtd",,$A$2,"."&amp;F$43&amp;F$1&amp;"P"&amp;$A80))</f>
        <v>0</v>
      </c>
      <c r="G80" s="56">
        <f ca="1">IF(RTD("tos.rtd",,$A$2,"."&amp;G$43&amp;G$1&amp;"C"&amp;$A80)="N/A",0,RTD("tos.rtd",,$A$2,"."&amp;G$43&amp;G$1&amp;"C"&amp;$A80))-IF(RTD("tos.rtd",,$A$2,"."&amp;G$43&amp;G$1&amp;"P"&amp;$A80)="N/A",0,RTD("tos.rtd",,$A$2,"."&amp;G$43&amp;G$1&amp;"P"&amp;$A80))</f>
        <v>0</v>
      </c>
      <c r="H80" s="56">
        <f ca="1">IF(RTD("tos.rtd",,$A$2,"."&amp;H$43&amp;H$1&amp;"C"&amp;$A80)="N/A",0,RTD("tos.rtd",,$A$2,"."&amp;H$43&amp;H$1&amp;"C"&amp;$A80))-IF(RTD("tos.rtd",,$A$2,"."&amp;H$43&amp;H$1&amp;"P"&amp;$A80)="N/A",0,RTD("tos.rtd",,$A$2,"."&amp;H$43&amp;H$1&amp;"P"&amp;$A80))</f>
        <v>-5148</v>
      </c>
      <c r="I80" s="56">
        <f ca="1">IF(RTD("tos.rtd",,$A$2,"."&amp;I$43&amp;I$1&amp;"C"&amp;$A80)="N/A",0,RTD("tos.rtd",,$A$2,"."&amp;I$43&amp;I$1&amp;"C"&amp;$A80))-IF(RTD("tos.rtd",,$A$2,"."&amp;I$43&amp;I$1&amp;"P"&amp;$A80)="N/A",0,RTD("tos.rtd",,$A$2,"."&amp;I$43&amp;I$1&amp;"P"&amp;$A80))</f>
        <v>-8</v>
      </c>
      <c r="J80" s="56">
        <f ca="1">IF(RTD("tos.rtd",,$A$2,"."&amp;J$43&amp;J$1&amp;"C"&amp;$A80)="N/A",0,RTD("tos.rtd",,$A$2,"."&amp;J$43&amp;J$1&amp;"C"&amp;$A80))-IF(RTD("tos.rtd",,$A$2,"."&amp;J$43&amp;J$1&amp;"P"&amp;$A80)="N/A",0,RTD("tos.rtd",,$A$2,"."&amp;J$43&amp;J$1&amp;"P"&amp;$A80))</f>
        <v>-91</v>
      </c>
      <c r="K80" s="56">
        <f ca="1">IF(RTD("tos.rtd",,$A$2,"."&amp;K$43&amp;K$1&amp;"C"&amp;$A80)="N/A",0,RTD("tos.rtd",,$A$2,"."&amp;K$43&amp;K$1&amp;"C"&amp;$A80))-IF(RTD("tos.rtd",,$A$2,"."&amp;K$43&amp;K$1&amp;"P"&amp;$A80)="N/A",0,RTD("tos.rtd",,$A$2,"."&amp;K$43&amp;K$1&amp;"P"&amp;$A80))</f>
        <v>-177</v>
      </c>
      <c r="L80" s="56">
        <f ca="1">IF(RTD("tos.rtd",,$A$2,"."&amp;L$43&amp;L$1&amp;"C"&amp;$A80)="N/A",0,RTD("tos.rtd",,$A$2,"."&amp;L$43&amp;L$1&amp;"C"&amp;$A80))-IF(RTD("tos.rtd",,$A$2,"."&amp;L$43&amp;L$1&amp;"P"&amp;$A80)="N/A",0,RTD("tos.rtd",,$A$2,"."&amp;L$43&amp;L$1&amp;"P"&amp;$A80))</f>
        <v>0</v>
      </c>
      <c r="M80" s="56">
        <f ca="1">IF(RTD("tos.rtd",,$A$2,"."&amp;M$43&amp;M$1&amp;"C"&amp;$A80)="N/A",0,RTD("tos.rtd",,$A$2,"."&amp;M$43&amp;M$1&amp;"C"&amp;$A80))-IF(RTD("tos.rtd",,$A$2,"."&amp;M$43&amp;M$1&amp;"P"&amp;$A80)="N/A",0,RTD("tos.rtd",,$A$2,"."&amp;M$43&amp;M$1&amp;"P"&amp;$A80))</f>
        <v>-5</v>
      </c>
      <c r="N80" s="56">
        <f ca="1">IF(RTD("tos.rtd",,$A$2,"."&amp;N$43&amp;N$1&amp;"C"&amp;$A80)="N/A",0,RTD("tos.rtd",,$A$2,"."&amp;N$43&amp;N$1&amp;"C"&amp;$A80))-IF(RTD("tos.rtd",,$A$2,"."&amp;N$43&amp;N$1&amp;"P"&amp;$A80)="N/A",0,RTD("tos.rtd",,$A$2,"."&amp;N$43&amp;N$1&amp;"P"&amp;$A80))</f>
        <v>0</v>
      </c>
      <c r="O80" s="56">
        <f ca="1">IF(RTD("tos.rtd",,$A$2,"."&amp;O$43&amp;O$1&amp;"C"&amp;$A80)="N/A",0,RTD("tos.rtd",,$A$2,"."&amp;O$43&amp;O$1&amp;"C"&amp;$A80))-IF(RTD("tos.rtd",,$A$2,"."&amp;O$43&amp;O$1&amp;"P"&amp;$A80)="N/A",0,RTD("tos.rtd",,$A$2,"."&amp;O$43&amp;O$1&amp;"P"&amp;$A80))</f>
        <v>-133</v>
      </c>
      <c r="P80" s="56">
        <f ca="1">IF(RTD("tos.rtd",,$A$2,"."&amp;P$43&amp;P$1&amp;"C"&amp;$A80)="N/A",0,RTD("tos.rtd",,$A$2,"."&amp;P$43&amp;P$1&amp;"C"&amp;$A80))-IF(RTD("tos.rtd",,$A$2,"."&amp;P$43&amp;P$1&amp;"P"&amp;$A80)="N/A",0,RTD("tos.rtd",,$A$2,"."&amp;P$43&amp;P$1&amp;"P"&amp;$A80))</f>
        <v>0</v>
      </c>
      <c r="Q80" s="56">
        <f ca="1">IF(RTD("tos.rtd",,$A$2,"."&amp;Q$43&amp;Q$1&amp;"C"&amp;$A80)="N/A",0,RTD("tos.rtd",,$A$2,"."&amp;Q$43&amp;Q$1&amp;"C"&amp;$A80))-IF(RTD("tos.rtd",,$A$2,"."&amp;Q$43&amp;Q$1&amp;"P"&amp;$A80)="N/A",0,RTD("tos.rtd",,$A$2,"."&amp;Q$43&amp;Q$1&amp;"P"&amp;$A80))</f>
        <v>0</v>
      </c>
      <c r="R80" s="56">
        <f ca="1">IF(RTD("tos.rtd",,$A$2,"."&amp;R$43&amp;R$1&amp;"C"&amp;$A80)="N/A",0,RTD("tos.rtd",,$A$2,"."&amp;R$43&amp;R$1&amp;"C"&amp;$A80))-IF(RTD("tos.rtd",,$A$2,"."&amp;R$43&amp;R$1&amp;"P"&amp;$A80)="N/A",0,RTD("tos.rtd",,$A$2,"."&amp;R$43&amp;R$1&amp;"P"&amp;$A80))</f>
        <v>0</v>
      </c>
      <c r="S80" s="56">
        <f ca="1">IF(RTD("tos.rtd",,$A$2,"."&amp;S$43&amp;S$1&amp;"C"&amp;$A80)="N/A",0,RTD("tos.rtd",,$A$2,"."&amp;S$43&amp;S$1&amp;"C"&amp;$A80))-IF(RTD("tos.rtd",,$A$2,"."&amp;S$43&amp;S$1&amp;"P"&amp;$A80)="N/A",0,RTD("tos.rtd",,$A$2,"."&amp;S$43&amp;S$1&amp;"P"&amp;$A80))</f>
        <v>0</v>
      </c>
      <c r="T80" s="56">
        <f ca="1">IF(RTD("tos.rtd",,$A$2,"."&amp;T$43&amp;T$1&amp;"C"&amp;$A80)="N/A",0,RTD("tos.rtd",,$A$2,"."&amp;T$43&amp;T$1&amp;"C"&amp;$A80))-IF(RTD("tos.rtd",,$A$2,"."&amp;T$43&amp;T$1&amp;"P"&amp;$A80)="N/A",0,RTD("tos.rtd",,$A$2,"."&amp;T$43&amp;T$1&amp;"P"&amp;$A80))</f>
        <v>0</v>
      </c>
      <c r="U80" s="56">
        <f ca="1">IF(RTD("tos.rtd",,$A$2,"."&amp;U$43&amp;U$1&amp;"C"&amp;$A80)="N/A",0,RTD("tos.rtd",,$A$2,"."&amp;U$43&amp;U$1&amp;"C"&amp;$A80))-IF(RTD("tos.rtd",,$A$2,"."&amp;U$43&amp;U$1&amp;"P"&amp;$A80)="N/A",0,RTD("tos.rtd",,$A$2,"."&amp;U$43&amp;U$1&amp;"P"&amp;$A80))</f>
        <v>0</v>
      </c>
      <c r="V80" s="56">
        <f ca="1">IF(RTD("tos.rtd",,$A$2,"."&amp;V$43&amp;V$1&amp;"C"&amp;$A80)="N/A",0,RTD("tos.rtd",,$A$2,"."&amp;V$43&amp;V$1&amp;"C"&amp;$A80))-IF(RTD("tos.rtd",,$A$2,"."&amp;V$43&amp;V$1&amp;"P"&amp;$A80)="N/A",0,RTD("tos.rtd",,$A$2,"."&amp;V$43&amp;V$1&amp;"P"&amp;$A80))</f>
        <v>0</v>
      </c>
      <c r="W80" s="56">
        <f ca="1">IF(RTD("tos.rtd",,$A$2,"."&amp;W$43&amp;W$1&amp;"C"&amp;$A80)="N/A",0,RTD("tos.rtd",,$A$2,"."&amp;W$43&amp;W$1&amp;"C"&amp;$A80))-IF(RTD("tos.rtd",,$A$2,"."&amp;W$43&amp;W$1&amp;"P"&amp;$A80)="N/A",0,RTD("tos.rtd",,$A$2,"."&amp;W$43&amp;W$1&amp;"P"&amp;$A80))</f>
        <v>0</v>
      </c>
      <c r="X80" s="56">
        <f ca="1">IF(RTD("tos.rtd",,$A$2,"."&amp;X$43&amp;X$1&amp;"C"&amp;$A80)="N/A",0,RTD("tos.rtd",,$A$2,"."&amp;X$43&amp;X$1&amp;"C"&amp;$A80))-IF(RTD("tos.rtd",,$A$2,"."&amp;X$43&amp;X$1&amp;"P"&amp;$A80)="N/A",0,RTD("tos.rtd",,$A$2,"."&amp;X$43&amp;X$1&amp;"P"&amp;$A80))</f>
        <v>0</v>
      </c>
      <c r="Y80" s="63">
        <f t="shared" ca="1" si="10"/>
        <v>-43687</v>
      </c>
    </row>
    <row r="81" spans="1:25" x14ac:dyDescent="0.25">
      <c r="A81" s="58">
        <f>+Hoja1!A80</f>
        <v>0</v>
      </c>
    </row>
    <row r="82" spans="1:25" x14ac:dyDescent="0.25">
      <c r="A82" s="58">
        <f>+Hoja1!A81</f>
        <v>5</v>
      </c>
      <c r="B82" s="57" t="str">
        <f ca="1">+B42</f>
        <v>251110</v>
      </c>
      <c r="C82" s="57" t="str">
        <f t="shared" ref="C82:X82" ca="1" si="11">+C42</f>
        <v>251111</v>
      </c>
      <c r="D82" s="57" t="str">
        <f t="shared" ca="1" si="11"/>
        <v>251112</v>
      </c>
      <c r="E82" s="57" t="str">
        <f t="shared" ca="1" si="11"/>
        <v>251113</v>
      </c>
      <c r="F82" s="57" t="str">
        <f t="shared" ca="1" si="11"/>
        <v/>
      </c>
      <c r="G82" s="57" t="str">
        <f t="shared" ca="1" si="11"/>
        <v/>
      </c>
      <c r="H82" s="57" t="str">
        <f t="shared" ca="1" si="11"/>
        <v>251128</v>
      </c>
      <c r="I82" s="57" t="str">
        <f t="shared" ca="1" si="11"/>
        <v>251205</v>
      </c>
      <c r="J82" s="57" t="str">
        <f t="shared" ca="1" si="11"/>
        <v>251212</v>
      </c>
      <c r="K82" s="57" t="str">
        <f t="shared" ca="1" si="11"/>
        <v>251219</v>
      </c>
      <c r="L82" s="57" t="str">
        <f t="shared" ca="1" si="11"/>
        <v>260109</v>
      </c>
      <c r="M82" s="57" t="str">
        <f t="shared" ca="1" si="11"/>
        <v>260130</v>
      </c>
      <c r="N82" s="57" t="str">
        <f t="shared" ca="1" si="11"/>
        <v>260206</v>
      </c>
      <c r="O82" s="57" t="str">
        <f t="shared" ca="1" si="11"/>
        <v>251231</v>
      </c>
      <c r="P82" s="57" t="str">
        <f t="shared" ca="1" si="11"/>
        <v>260227</v>
      </c>
      <c r="Q82" s="57" t="str">
        <f t="shared" ca="1" si="11"/>
        <v>260403</v>
      </c>
      <c r="R82" s="57" t="str">
        <f t="shared" ca="1" si="11"/>
        <v>260501</v>
      </c>
      <c r="S82" s="57" t="str">
        <f t="shared" ca="1" si="11"/>
        <v>260529</v>
      </c>
      <c r="T82" s="57" t="str">
        <f t="shared" ca="1" si="11"/>
        <v>260626</v>
      </c>
      <c r="U82" s="57" t="str">
        <f t="shared" ca="1" si="11"/>
        <v>260731</v>
      </c>
      <c r="V82" s="57" t="str">
        <f t="shared" ca="1" si="11"/>
        <v>260828</v>
      </c>
      <c r="W82" s="57" t="str">
        <f t="shared" ca="1" si="11"/>
        <v>261002</v>
      </c>
      <c r="X82" s="57" t="str">
        <f t="shared" ca="1" si="11"/>
        <v>261030</v>
      </c>
    </row>
    <row r="83" spans="1:25" x14ac:dyDescent="0.25">
      <c r="A83" s="58" t="str">
        <f>+Hoja1!A82</f>
        <v>SPX</v>
      </c>
      <c r="B83" s="57" t="s">
        <v>10</v>
      </c>
      <c r="C83" s="57" t="s">
        <v>10</v>
      </c>
      <c r="D83" s="57" t="s">
        <v>10</v>
      </c>
      <c r="E83" s="57" t="s">
        <v>10</v>
      </c>
      <c r="F83" s="57" t="s">
        <v>10</v>
      </c>
      <c r="G83" s="57" t="s">
        <v>10</v>
      </c>
      <c r="H83" s="57" t="s">
        <v>10</v>
      </c>
      <c r="I83" s="57" t="s">
        <v>10</v>
      </c>
      <c r="J83" s="57" t="s">
        <v>10</v>
      </c>
      <c r="K83" s="57" t="s">
        <v>10</v>
      </c>
      <c r="L83" s="57" t="s">
        <v>10</v>
      </c>
      <c r="M83" s="57" t="s">
        <v>9</v>
      </c>
      <c r="N83" s="57" t="s">
        <v>10</v>
      </c>
      <c r="O83" s="57" t="s">
        <v>9</v>
      </c>
      <c r="P83" s="57" t="s">
        <v>10</v>
      </c>
      <c r="Q83" s="57" t="s">
        <v>9</v>
      </c>
      <c r="R83" s="57" t="s">
        <v>10</v>
      </c>
      <c r="S83" s="57" t="s">
        <v>9</v>
      </c>
      <c r="T83" s="57" t="s">
        <v>10</v>
      </c>
      <c r="U83" s="57" t="s">
        <v>9</v>
      </c>
      <c r="V83" s="57" t="s">
        <v>10</v>
      </c>
      <c r="W83" s="57" t="s">
        <v>9</v>
      </c>
      <c r="X83" s="57" t="s">
        <v>10</v>
      </c>
    </row>
    <row r="84" spans="1:25" x14ac:dyDescent="0.25">
      <c r="A84" s="58" t="str">
        <f>+Hoja1!A83</f>
        <v>SPX</v>
      </c>
      <c r="B84" s="59">
        <f>+B44</f>
        <v>45971</v>
      </c>
      <c r="C84" s="59">
        <f t="shared" ref="C84:X84" si="12">+C44</f>
        <v>45972</v>
      </c>
      <c r="D84" s="59">
        <f t="shared" si="12"/>
        <v>45973</v>
      </c>
      <c r="E84" s="59">
        <f t="shared" si="12"/>
        <v>45974</v>
      </c>
      <c r="F84" s="59">
        <f t="shared" si="12"/>
        <v>45975</v>
      </c>
      <c r="G84" s="59">
        <f t="shared" si="12"/>
        <v>45982</v>
      </c>
      <c r="H84" s="59">
        <f t="shared" si="12"/>
        <v>45989</v>
      </c>
      <c r="I84" s="59">
        <f t="shared" si="12"/>
        <v>45996</v>
      </c>
      <c r="J84" s="59">
        <f t="shared" si="12"/>
        <v>46003</v>
      </c>
      <c r="K84" s="59">
        <f t="shared" si="12"/>
        <v>46010</v>
      </c>
      <c r="L84" s="59">
        <f t="shared" si="12"/>
        <v>46031</v>
      </c>
      <c r="M84" s="59">
        <f t="shared" si="12"/>
        <v>46052</v>
      </c>
      <c r="N84" s="59">
        <f t="shared" si="12"/>
        <v>46059</v>
      </c>
      <c r="O84" s="59">
        <f t="shared" si="12"/>
        <v>46022</v>
      </c>
      <c r="P84" s="59">
        <f t="shared" si="12"/>
        <v>46080</v>
      </c>
      <c r="Q84" s="59">
        <f t="shared" si="12"/>
        <v>46115</v>
      </c>
      <c r="R84" s="59">
        <f t="shared" si="12"/>
        <v>46143</v>
      </c>
      <c r="S84" s="59">
        <f t="shared" si="12"/>
        <v>46171</v>
      </c>
      <c r="T84" s="59">
        <f t="shared" si="12"/>
        <v>46199</v>
      </c>
      <c r="U84" s="59">
        <f t="shared" si="12"/>
        <v>46234</v>
      </c>
      <c r="V84" s="59">
        <f t="shared" si="12"/>
        <v>46262</v>
      </c>
      <c r="W84" s="59">
        <f t="shared" si="12"/>
        <v>46297</v>
      </c>
      <c r="X84" s="59">
        <f t="shared" si="12"/>
        <v>46325</v>
      </c>
    </row>
    <row r="85" spans="1:25" x14ac:dyDescent="0.25">
      <c r="A85" s="58">
        <f>+Hoja1!A84</f>
        <v>6728.8</v>
      </c>
      <c r="B85" s="57"/>
    </row>
    <row r="86" spans="1:25" x14ac:dyDescent="0.25">
      <c r="A86" s="58">
        <f>+Hoja1!A85</f>
        <v>6840</v>
      </c>
      <c r="B86" s="56">
        <f ca="1">IF(RTD("tos.rtd",,$A$2,"."&amp;B$83&amp;B$1&amp;"C"&amp;$A86)="N/A",0,RTD("tos.rtd",,$A$2,"."&amp;B$83&amp;B$1&amp;"C"&amp;$A86))-IF(RTD("tos.rtd",,$A$2,"."&amp;B$83&amp;B$1&amp;"P"&amp;$A86)="N/A",0,RTD("tos.rtd",,$A$2,"."&amp;B$83&amp;B$1&amp;"P"&amp;$A86))</f>
        <v>812</v>
      </c>
      <c r="C86" s="56">
        <f ca="1">IF(RTD("tos.rtd",,$A$2,"."&amp;C$83&amp;C$1&amp;"C"&amp;$A86)="N/A",0,RTD("tos.rtd",,$A$2,"."&amp;C$83&amp;C$1&amp;"C"&amp;$A86))-IF(RTD("tos.rtd",,$A$2,"."&amp;C$83&amp;C$1&amp;"P"&amp;$A86)="N/A",0,RTD("tos.rtd",,$A$2,"."&amp;C$83&amp;C$1&amp;"P"&amp;$A86))</f>
        <v>383</v>
      </c>
      <c r="D86" s="56">
        <f ca="1">IF(RTD("tos.rtd",,$A$2,"."&amp;D$83&amp;D$1&amp;"C"&amp;$A86)="N/A",0,RTD("tos.rtd",,$A$2,"."&amp;D$83&amp;D$1&amp;"C"&amp;$A86))-IF(RTD("tos.rtd",,$A$2,"."&amp;D$83&amp;D$1&amp;"P"&amp;$A86)="N/A",0,RTD("tos.rtd",,$A$2,"."&amp;D$83&amp;D$1&amp;"P"&amp;$A86))</f>
        <v>1110</v>
      </c>
      <c r="E86" s="56">
        <f ca="1">IF(RTD("tos.rtd",,$A$2,"."&amp;E$83&amp;E$1&amp;"C"&amp;$A86)="N/A",0,RTD("tos.rtd",,$A$2,"."&amp;E$83&amp;E$1&amp;"C"&amp;$A86))-IF(RTD("tos.rtd",,$A$2,"."&amp;E$83&amp;E$1&amp;"P"&amp;$A86)="N/A",0,RTD("tos.rtd",,$A$2,"."&amp;E$83&amp;E$1&amp;"P"&amp;$A86))</f>
        <v>87</v>
      </c>
      <c r="F86" s="56">
        <f ca="1">IF(RTD("tos.rtd",,$A$2,"."&amp;F$83&amp;F$1&amp;"C"&amp;$A86)="N/A",0,RTD("tos.rtd",,$A$2,"."&amp;F$83&amp;F$1&amp;"C"&amp;$A86))-IF(RTD("tos.rtd",,$A$2,"."&amp;F$83&amp;F$1&amp;"P"&amp;$A86)="N/A",0,RTD("tos.rtd",,$A$2,"."&amp;F$83&amp;F$1&amp;"P"&amp;$A86))</f>
        <v>0</v>
      </c>
      <c r="G86" s="56">
        <f ca="1">IF(RTD("tos.rtd",,$A$2,"."&amp;G$83&amp;G$1&amp;"C"&amp;$A86)="N/A",0,RTD("tos.rtd",,$A$2,"."&amp;G$83&amp;G$1&amp;"C"&amp;$A86))-IF(RTD("tos.rtd",,$A$2,"."&amp;G$83&amp;G$1&amp;"P"&amp;$A86)="N/A",0,RTD("tos.rtd",,$A$2,"."&amp;G$83&amp;G$1&amp;"P"&amp;$A86))</f>
        <v>0</v>
      </c>
      <c r="H86" s="56">
        <f ca="1">IF(RTD("tos.rtd",,$A$2,"."&amp;H$83&amp;H$1&amp;"C"&amp;$A86)="N/A",0,RTD("tos.rtd",,$A$2,"."&amp;H$83&amp;H$1&amp;"C"&amp;$A86))-IF(RTD("tos.rtd",,$A$2,"."&amp;H$83&amp;H$1&amp;"P"&amp;$A86)="N/A",0,RTD("tos.rtd",,$A$2,"."&amp;H$83&amp;H$1&amp;"P"&amp;$A86))</f>
        <v>40</v>
      </c>
      <c r="I86" s="56">
        <f ca="1">IF(RTD("tos.rtd",,$A$2,"."&amp;I$83&amp;I$1&amp;"C"&amp;$A86)="N/A",0,RTD("tos.rtd",,$A$2,"."&amp;I$83&amp;I$1&amp;"C"&amp;$A86))-IF(RTD("tos.rtd",,$A$2,"."&amp;I$83&amp;I$1&amp;"P"&amp;$A86)="N/A",0,RTD("tos.rtd",,$A$2,"."&amp;I$83&amp;I$1&amp;"P"&amp;$A86))</f>
        <v>376</v>
      </c>
      <c r="J86" s="56">
        <f ca="1">IF(RTD("tos.rtd",,$A$2,"."&amp;J$83&amp;J$1&amp;"C"&amp;$A86)="N/A",0,RTD("tos.rtd",,$A$2,"."&amp;J$83&amp;J$1&amp;"C"&amp;$A86))-IF(RTD("tos.rtd",,$A$2,"."&amp;J$83&amp;J$1&amp;"P"&amp;$A86)="N/A",0,RTD("tos.rtd",,$A$2,"."&amp;J$83&amp;J$1&amp;"P"&amp;$A86))</f>
        <v>0</v>
      </c>
      <c r="K86" s="56">
        <f ca="1">IF(RTD("tos.rtd",,$A$2,"."&amp;K$83&amp;K$1&amp;"C"&amp;$A86)="N/A",0,RTD("tos.rtd",,$A$2,"."&amp;K$83&amp;K$1&amp;"C"&amp;$A86))-IF(RTD("tos.rtd",,$A$2,"."&amp;K$83&amp;K$1&amp;"P"&amp;$A86)="N/A",0,RTD("tos.rtd",,$A$2,"."&amp;K$83&amp;K$1&amp;"P"&amp;$A86))</f>
        <v>8</v>
      </c>
      <c r="L86" s="56">
        <f ca="1">IF(RTD("tos.rtd",,$A$2,"."&amp;L$83&amp;L$1&amp;"C"&amp;$A86)="N/A",0,RTD("tos.rtd",,$A$2,"."&amp;L$83&amp;L$1&amp;"C"&amp;$A86))-IF(RTD("tos.rtd",,$A$2,"."&amp;L$83&amp;L$1&amp;"P"&amp;$A86)="N/A",0,RTD("tos.rtd",,$A$2,"."&amp;L$83&amp;L$1&amp;"P"&amp;$A86))</f>
        <v>0</v>
      </c>
      <c r="M86" s="56">
        <f ca="1">IF(RTD("tos.rtd",,$A$2,"."&amp;M$83&amp;M$1&amp;"C"&amp;$A86)="N/A",0,RTD("tos.rtd",,$A$2,"."&amp;M$83&amp;M$1&amp;"C"&amp;$A86))-IF(RTD("tos.rtd",,$A$2,"."&amp;M$83&amp;M$1&amp;"P"&amp;$A86)="N/A",0,RTD("tos.rtd",,$A$2,"."&amp;M$83&amp;M$1&amp;"P"&amp;$A86))</f>
        <v>0</v>
      </c>
      <c r="N86" s="56">
        <f ca="1">IF(RTD("tos.rtd",,$A$2,"."&amp;N$83&amp;N$1&amp;"C"&amp;$A86)="N/A",0,RTD("tos.rtd",,$A$2,"."&amp;N$83&amp;N$1&amp;"C"&amp;$A86))-IF(RTD("tos.rtd",,$A$2,"."&amp;N$83&amp;N$1&amp;"P"&amp;$A86)="N/A",0,RTD("tos.rtd",,$A$2,"."&amp;N$83&amp;N$1&amp;"P"&amp;$A86))</f>
        <v>0</v>
      </c>
      <c r="O86" s="56">
        <f ca="1">IF(RTD("tos.rtd",,$A$2,"."&amp;O$83&amp;O$1&amp;"C"&amp;$A86)="N/A",0,RTD("tos.rtd",,$A$2,"."&amp;O$83&amp;O$1&amp;"C"&amp;$A86))-IF(RTD("tos.rtd",,$A$2,"."&amp;O$83&amp;O$1&amp;"P"&amp;$A86)="N/A",0,RTD("tos.rtd",,$A$2,"."&amp;O$83&amp;O$1&amp;"P"&amp;$A86))</f>
        <v>0</v>
      </c>
      <c r="P86" s="56">
        <f ca="1">IF(RTD("tos.rtd",,$A$2,"."&amp;P$83&amp;P$1&amp;"C"&amp;$A86)="N/A",0,RTD("tos.rtd",,$A$2,"."&amp;P$83&amp;P$1&amp;"C"&amp;$A86))-IF(RTD("tos.rtd",,$A$2,"."&amp;P$83&amp;P$1&amp;"P"&amp;$A86)="N/A",0,RTD("tos.rtd",,$A$2,"."&amp;P$83&amp;P$1&amp;"P"&amp;$A86))</f>
        <v>0</v>
      </c>
      <c r="Q86" s="56">
        <f ca="1">IF(RTD("tos.rtd",,$A$2,"."&amp;Q$83&amp;Q$1&amp;"C"&amp;$A86)="N/A",0,RTD("tos.rtd",,$A$2,"."&amp;Q$83&amp;Q$1&amp;"C"&amp;$A86))-IF(RTD("tos.rtd",,$A$2,"."&amp;Q$83&amp;Q$1&amp;"P"&amp;$A86)="N/A",0,RTD("tos.rtd",,$A$2,"."&amp;Q$83&amp;Q$1&amp;"P"&amp;$A86))</f>
        <v>0</v>
      </c>
      <c r="R86" s="56">
        <f ca="1">IF(RTD("tos.rtd",,$A$2,"."&amp;R$83&amp;R$1&amp;"C"&amp;$A86)="N/A",0,RTD("tos.rtd",,$A$2,"."&amp;R$83&amp;R$1&amp;"C"&amp;$A86))-IF(RTD("tos.rtd",,$A$2,"."&amp;R$83&amp;R$1&amp;"P"&amp;$A86)="N/A",0,RTD("tos.rtd",,$A$2,"."&amp;R$83&amp;R$1&amp;"P"&amp;$A86))</f>
        <v>0</v>
      </c>
      <c r="S86" s="56">
        <f ca="1">IF(RTD("tos.rtd",,$A$2,"."&amp;S$83&amp;S$1&amp;"C"&amp;$A86)="N/A",0,RTD("tos.rtd",,$A$2,"."&amp;S$83&amp;S$1&amp;"C"&amp;$A86))-IF(RTD("tos.rtd",,$A$2,"."&amp;S$83&amp;S$1&amp;"P"&amp;$A86)="N/A",0,RTD("tos.rtd",,$A$2,"."&amp;S$83&amp;S$1&amp;"P"&amp;$A86))</f>
        <v>0</v>
      </c>
      <c r="T86" s="56">
        <f ca="1">IF(RTD("tos.rtd",,$A$2,"."&amp;T$83&amp;T$1&amp;"C"&amp;$A86)="N/A",0,RTD("tos.rtd",,$A$2,"."&amp;T$83&amp;T$1&amp;"C"&amp;$A86))-IF(RTD("tos.rtd",,$A$2,"."&amp;T$83&amp;T$1&amp;"P"&amp;$A86)="N/A",0,RTD("tos.rtd",,$A$2,"."&amp;T$83&amp;T$1&amp;"P"&amp;$A86))</f>
        <v>0</v>
      </c>
      <c r="U86" s="56">
        <f ca="1">IF(RTD("tos.rtd",,$A$2,"."&amp;U$83&amp;U$1&amp;"C"&amp;$A86)="N/A",0,RTD("tos.rtd",,$A$2,"."&amp;U$83&amp;U$1&amp;"C"&amp;$A86))-IF(RTD("tos.rtd",,$A$2,"."&amp;U$83&amp;U$1&amp;"P"&amp;$A86)="N/A",0,RTD("tos.rtd",,$A$2,"."&amp;U$83&amp;U$1&amp;"P"&amp;$A86))</f>
        <v>0</v>
      </c>
      <c r="V86" s="56">
        <f ca="1">IF(RTD("tos.rtd",,$A$2,"."&amp;V$83&amp;V$1&amp;"C"&amp;$A86)="N/A",0,RTD("tos.rtd",,$A$2,"."&amp;V$83&amp;V$1&amp;"C"&amp;$A86))-IF(RTD("tos.rtd",,$A$2,"."&amp;V$83&amp;V$1&amp;"P"&amp;$A86)="N/A",0,RTD("tos.rtd",,$A$2,"."&amp;V$83&amp;V$1&amp;"P"&amp;$A86))</f>
        <v>0</v>
      </c>
      <c r="W86" s="56">
        <f ca="1">IF(RTD("tos.rtd",,$A$2,"."&amp;W$83&amp;W$1&amp;"C"&amp;$A86)="N/A",0,RTD("tos.rtd",,$A$2,"."&amp;W$83&amp;W$1&amp;"C"&amp;$A86))-IF(RTD("tos.rtd",,$A$2,"."&amp;W$83&amp;W$1&amp;"P"&amp;$A86)="N/A",0,RTD("tos.rtd",,$A$2,"."&amp;W$83&amp;W$1&amp;"P"&amp;$A86))</f>
        <v>0</v>
      </c>
      <c r="X86" s="56">
        <f ca="1">IF(RTD("tos.rtd",,$A$2,"."&amp;X$83&amp;X$1&amp;"C"&amp;$A86)="N/A",0,RTD("tos.rtd",,$A$2,"."&amp;X$83&amp;X$1&amp;"C"&amp;$A86))-IF(RTD("tos.rtd",,$A$2,"."&amp;X$83&amp;X$1&amp;"P"&amp;$A86)="N/A",0,RTD("tos.rtd",,$A$2,"."&amp;X$83&amp;X$1&amp;"P"&amp;$A86))</f>
        <v>0</v>
      </c>
      <c r="Y86" s="63">
        <f ca="1">SUM(B86:X86)</f>
        <v>2816</v>
      </c>
    </row>
    <row r="87" spans="1:25" x14ac:dyDescent="0.25">
      <c r="A87" s="58">
        <f>+Hoja1!A86</f>
        <v>6835</v>
      </c>
      <c r="B87" s="56">
        <f ca="1">IF(RTD("tos.rtd",,$A$2,"."&amp;B$83&amp;B$1&amp;"C"&amp;$A87)="N/A",0,RTD("tos.rtd",,$A$2,"."&amp;B$83&amp;B$1&amp;"C"&amp;$A87))-IF(RTD("tos.rtd",,$A$2,"."&amp;B$83&amp;B$1&amp;"P"&amp;$A87)="N/A",0,RTD("tos.rtd",,$A$2,"."&amp;B$83&amp;B$1&amp;"P"&amp;$A87))</f>
        <v>1649</v>
      </c>
      <c r="C87" s="56">
        <f ca="1">IF(RTD("tos.rtd",,$A$2,"."&amp;C$83&amp;C$1&amp;"C"&amp;$A87)="N/A",0,RTD("tos.rtd",,$A$2,"."&amp;C$83&amp;C$1&amp;"C"&amp;$A87))-IF(RTD("tos.rtd",,$A$2,"."&amp;C$83&amp;C$1&amp;"P"&amp;$A87)="N/A",0,RTD("tos.rtd",,$A$2,"."&amp;C$83&amp;C$1&amp;"P"&amp;$A87))</f>
        <v>427</v>
      </c>
      <c r="D87" s="56">
        <f ca="1">IF(RTD("tos.rtd",,$A$2,"."&amp;D$83&amp;D$1&amp;"C"&amp;$A87)="N/A",0,RTD("tos.rtd",,$A$2,"."&amp;D$83&amp;D$1&amp;"C"&amp;$A87))-IF(RTD("tos.rtd",,$A$2,"."&amp;D$83&amp;D$1&amp;"P"&amp;$A87)="N/A",0,RTD("tos.rtd",,$A$2,"."&amp;D$83&amp;D$1&amp;"P"&amp;$A87))</f>
        <v>311</v>
      </c>
      <c r="E87" s="56">
        <f ca="1">IF(RTD("tos.rtd",,$A$2,"."&amp;E$83&amp;E$1&amp;"C"&amp;$A87)="N/A",0,RTD("tos.rtd",,$A$2,"."&amp;E$83&amp;E$1&amp;"C"&amp;$A87))-IF(RTD("tos.rtd",,$A$2,"."&amp;E$83&amp;E$1&amp;"P"&amp;$A87)="N/A",0,RTD("tos.rtd",,$A$2,"."&amp;E$83&amp;E$1&amp;"P"&amp;$A87))</f>
        <v>383</v>
      </c>
      <c r="F87" s="56">
        <f ca="1">IF(RTD("tos.rtd",,$A$2,"."&amp;F$83&amp;F$1&amp;"C"&amp;$A87)="N/A",0,RTD("tos.rtd",,$A$2,"."&amp;F$83&amp;F$1&amp;"C"&amp;$A87))-IF(RTD("tos.rtd",,$A$2,"."&amp;F$83&amp;F$1&amp;"P"&amp;$A87)="N/A",0,RTD("tos.rtd",,$A$2,"."&amp;F$83&amp;F$1&amp;"P"&amp;$A87))</f>
        <v>0</v>
      </c>
      <c r="G87" s="56">
        <f ca="1">IF(RTD("tos.rtd",,$A$2,"."&amp;G$83&amp;G$1&amp;"C"&amp;$A87)="N/A",0,RTD("tos.rtd",,$A$2,"."&amp;G$83&amp;G$1&amp;"C"&amp;$A87))-IF(RTD("tos.rtd",,$A$2,"."&amp;G$83&amp;G$1&amp;"P"&amp;$A87)="N/A",0,RTD("tos.rtd",,$A$2,"."&amp;G$83&amp;G$1&amp;"P"&amp;$A87))</f>
        <v>0</v>
      </c>
      <c r="H87" s="56">
        <f ca="1">IF(RTD("tos.rtd",,$A$2,"."&amp;H$83&amp;H$1&amp;"C"&amp;$A87)="N/A",0,RTD("tos.rtd",,$A$2,"."&amp;H$83&amp;H$1&amp;"C"&amp;$A87))-IF(RTD("tos.rtd",,$A$2,"."&amp;H$83&amp;H$1&amp;"P"&amp;$A87)="N/A",0,RTD("tos.rtd",,$A$2,"."&amp;H$83&amp;H$1&amp;"P"&amp;$A87))</f>
        <v>53</v>
      </c>
      <c r="I87" s="56">
        <f ca="1">IF(RTD("tos.rtd",,$A$2,"."&amp;I$83&amp;I$1&amp;"C"&amp;$A87)="N/A",0,RTD("tos.rtd",,$A$2,"."&amp;I$83&amp;I$1&amp;"C"&amp;$A87))-IF(RTD("tos.rtd",,$A$2,"."&amp;I$83&amp;I$1&amp;"P"&amp;$A87)="N/A",0,RTD("tos.rtd",,$A$2,"."&amp;I$83&amp;I$1&amp;"P"&amp;$A87))</f>
        <v>28</v>
      </c>
      <c r="J87" s="56">
        <f ca="1">IF(RTD("tos.rtd",,$A$2,"."&amp;J$83&amp;J$1&amp;"C"&amp;$A87)="N/A",0,RTD("tos.rtd",,$A$2,"."&amp;J$83&amp;J$1&amp;"C"&amp;$A87))-IF(RTD("tos.rtd",,$A$2,"."&amp;J$83&amp;J$1&amp;"P"&amp;$A87)="N/A",0,RTD("tos.rtd",,$A$2,"."&amp;J$83&amp;J$1&amp;"P"&amp;$A87))</f>
        <v>0</v>
      </c>
      <c r="K87" s="56">
        <f ca="1">IF(RTD("tos.rtd",,$A$2,"."&amp;K$83&amp;K$1&amp;"C"&amp;$A87)="N/A",0,RTD("tos.rtd",,$A$2,"."&amp;K$83&amp;K$1&amp;"C"&amp;$A87))-IF(RTD("tos.rtd",,$A$2,"."&amp;K$83&amp;K$1&amp;"P"&amp;$A87)="N/A",0,RTD("tos.rtd",,$A$2,"."&amp;K$83&amp;K$1&amp;"P"&amp;$A87))</f>
        <v>4</v>
      </c>
      <c r="L87" s="56">
        <f ca="1">IF(RTD("tos.rtd",,$A$2,"."&amp;L$83&amp;L$1&amp;"C"&amp;$A87)="N/A",0,RTD("tos.rtd",,$A$2,"."&amp;L$83&amp;L$1&amp;"C"&amp;$A87))-IF(RTD("tos.rtd",,$A$2,"."&amp;L$83&amp;L$1&amp;"P"&amp;$A87)="N/A",0,RTD("tos.rtd",,$A$2,"."&amp;L$83&amp;L$1&amp;"P"&amp;$A87))</f>
        <v>0</v>
      </c>
      <c r="M87" s="56">
        <f ca="1">IF(RTD("tos.rtd",,$A$2,"."&amp;M$83&amp;M$1&amp;"C"&amp;$A87)="N/A",0,RTD("tos.rtd",,$A$2,"."&amp;M$83&amp;M$1&amp;"C"&amp;$A87))-IF(RTD("tos.rtd",,$A$2,"."&amp;M$83&amp;M$1&amp;"P"&amp;$A87)="N/A",0,RTD("tos.rtd",,$A$2,"."&amp;M$83&amp;M$1&amp;"P"&amp;$A87))</f>
        <v>0</v>
      </c>
      <c r="N87" s="56">
        <f ca="1">IF(RTD("tos.rtd",,$A$2,"."&amp;N$83&amp;N$1&amp;"C"&amp;$A87)="N/A",0,RTD("tos.rtd",,$A$2,"."&amp;N$83&amp;N$1&amp;"C"&amp;$A87))-IF(RTD("tos.rtd",,$A$2,"."&amp;N$83&amp;N$1&amp;"P"&amp;$A87)="N/A",0,RTD("tos.rtd",,$A$2,"."&amp;N$83&amp;N$1&amp;"P"&amp;$A87))</f>
        <v>0</v>
      </c>
      <c r="O87" s="56">
        <f ca="1">IF(RTD("tos.rtd",,$A$2,"."&amp;O$83&amp;O$1&amp;"C"&amp;$A87)="N/A",0,RTD("tos.rtd",,$A$2,"."&amp;O$83&amp;O$1&amp;"C"&amp;$A87))-IF(RTD("tos.rtd",,$A$2,"."&amp;O$83&amp;O$1&amp;"P"&amp;$A87)="N/A",0,RTD("tos.rtd",,$A$2,"."&amp;O$83&amp;O$1&amp;"P"&amp;$A87))</f>
        <v>0</v>
      </c>
      <c r="P87" s="56">
        <f ca="1">IF(RTD("tos.rtd",,$A$2,"."&amp;P$83&amp;P$1&amp;"C"&amp;$A87)="N/A",0,RTD("tos.rtd",,$A$2,"."&amp;P$83&amp;P$1&amp;"C"&amp;$A87))-IF(RTD("tos.rtd",,$A$2,"."&amp;P$83&amp;P$1&amp;"P"&amp;$A87)="N/A",0,RTD("tos.rtd",,$A$2,"."&amp;P$83&amp;P$1&amp;"P"&amp;$A87))</f>
        <v>0</v>
      </c>
      <c r="Q87" s="56">
        <f ca="1">IF(RTD("tos.rtd",,$A$2,"."&amp;Q$83&amp;Q$1&amp;"C"&amp;$A87)="N/A",0,RTD("tos.rtd",,$A$2,"."&amp;Q$83&amp;Q$1&amp;"C"&amp;$A87))-IF(RTD("tos.rtd",,$A$2,"."&amp;Q$83&amp;Q$1&amp;"P"&amp;$A87)="N/A",0,RTD("tos.rtd",,$A$2,"."&amp;Q$83&amp;Q$1&amp;"P"&amp;$A87))</f>
        <v>0</v>
      </c>
      <c r="R87" s="56">
        <f ca="1">IF(RTD("tos.rtd",,$A$2,"."&amp;R$83&amp;R$1&amp;"C"&amp;$A87)="N/A",0,RTD("tos.rtd",,$A$2,"."&amp;R$83&amp;R$1&amp;"C"&amp;$A87))-IF(RTD("tos.rtd",,$A$2,"."&amp;R$83&amp;R$1&amp;"P"&amp;$A87)="N/A",0,RTD("tos.rtd",,$A$2,"."&amp;R$83&amp;R$1&amp;"P"&amp;$A87))</f>
        <v>0</v>
      </c>
      <c r="S87" s="56">
        <f ca="1">IF(RTD("tos.rtd",,$A$2,"."&amp;S$83&amp;S$1&amp;"C"&amp;$A87)="N/A",0,RTD("tos.rtd",,$A$2,"."&amp;S$83&amp;S$1&amp;"C"&amp;$A87))-IF(RTD("tos.rtd",,$A$2,"."&amp;S$83&amp;S$1&amp;"P"&amp;$A87)="N/A",0,RTD("tos.rtd",,$A$2,"."&amp;S$83&amp;S$1&amp;"P"&amp;$A87))</f>
        <v>0</v>
      </c>
      <c r="T87" s="56">
        <f ca="1">IF(RTD("tos.rtd",,$A$2,"."&amp;T$83&amp;T$1&amp;"C"&amp;$A87)="N/A",0,RTD("tos.rtd",,$A$2,"."&amp;T$83&amp;T$1&amp;"C"&amp;$A87))-IF(RTD("tos.rtd",,$A$2,"."&amp;T$83&amp;T$1&amp;"P"&amp;$A87)="N/A",0,RTD("tos.rtd",,$A$2,"."&amp;T$83&amp;T$1&amp;"P"&amp;$A87))</f>
        <v>0</v>
      </c>
      <c r="U87" s="56">
        <f ca="1">IF(RTD("tos.rtd",,$A$2,"."&amp;U$83&amp;U$1&amp;"C"&amp;$A87)="N/A",0,RTD("tos.rtd",,$A$2,"."&amp;U$83&amp;U$1&amp;"C"&amp;$A87))-IF(RTD("tos.rtd",,$A$2,"."&amp;U$83&amp;U$1&amp;"P"&amp;$A87)="N/A",0,RTD("tos.rtd",,$A$2,"."&amp;U$83&amp;U$1&amp;"P"&amp;$A87))</f>
        <v>0</v>
      </c>
      <c r="V87" s="56">
        <f ca="1">IF(RTD("tos.rtd",,$A$2,"."&amp;V$83&amp;V$1&amp;"C"&amp;$A87)="N/A",0,RTD("tos.rtd",,$A$2,"."&amp;V$83&amp;V$1&amp;"C"&amp;$A87))-IF(RTD("tos.rtd",,$A$2,"."&amp;V$83&amp;V$1&amp;"P"&amp;$A87)="N/A",0,RTD("tos.rtd",,$A$2,"."&amp;V$83&amp;V$1&amp;"P"&amp;$A87))</f>
        <v>0</v>
      </c>
      <c r="W87" s="56">
        <f ca="1">IF(RTD("tos.rtd",,$A$2,"."&amp;W$83&amp;W$1&amp;"C"&amp;$A87)="N/A",0,RTD("tos.rtd",,$A$2,"."&amp;W$83&amp;W$1&amp;"C"&amp;$A87))-IF(RTD("tos.rtd",,$A$2,"."&amp;W$83&amp;W$1&amp;"P"&amp;$A87)="N/A",0,RTD("tos.rtd",,$A$2,"."&amp;W$83&amp;W$1&amp;"P"&amp;$A87))</f>
        <v>0</v>
      </c>
      <c r="X87" s="56">
        <f ca="1">IF(RTD("tos.rtd",,$A$2,"."&amp;X$83&amp;X$1&amp;"C"&amp;$A87)="N/A",0,RTD("tos.rtd",,$A$2,"."&amp;X$83&amp;X$1&amp;"C"&amp;$A87))-IF(RTD("tos.rtd",,$A$2,"."&amp;X$83&amp;X$1&amp;"P"&amp;$A87)="N/A",0,RTD("tos.rtd",,$A$2,"."&amp;X$83&amp;X$1&amp;"P"&amp;$A87))</f>
        <v>0</v>
      </c>
      <c r="Y87" s="63">
        <f t="shared" ref="Y87:Y131" ca="1" si="13">SUM(B87:X87)</f>
        <v>2855</v>
      </c>
    </row>
    <row r="88" spans="1:25" x14ac:dyDescent="0.25">
      <c r="A88" s="58">
        <f>+Hoja1!A87</f>
        <v>6830</v>
      </c>
      <c r="B88" s="56">
        <f ca="1">IF(RTD("tos.rtd",,$A$2,"."&amp;B$83&amp;B$1&amp;"C"&amp;$A88)="N/A",0,RTD("tos.rtd",,$A$2,"."&amp;B$83&amp;B$1&amp;"C"&amp;$A88))-IF(RTD("tos.rtd",,$A$2,"."&amp;B$83&amp;B$1&amp;"P"&amp;$A88)="N/A",0,RTD("tos.rtd",,$A$2,"."&amp;B$83&amp;B$1&amp;"P"&amp;$A88))</f>
        <v>2927</v>
      </c>
      <c r="C88" s="56">
        <f ca="1">IF(RTD("tos.rtd",,$A$2,"."&amp;C$83&amp;C$1&amp;"C"&amp;$A88)="N/A",0,RTD("tos.rtd",,$A$2,"."&amp;C$83&amp;C$1&amp;"C"&amp;$A88))-IF(RTD("tos.rtd",,$A$2,"."&amp;C$83&amp;C$1&amp;"P"&amp;$A88)="N/A",0,RTD("tos.rtd",,$A$2,"."&amp;C$83&amp;C$1&amp;"P"&amp;$A88))</f>
        <v>283</v>
      </c>
      <c r="D88" s="56">
        <f ca="1">IF(RTD("tos.rtd",,$A$2,"."&amp;D$83&amp;D$1&amp;"C"&amp;$A88)="N/A",0,RTD("tos.rtd",,$A$2,"."&amp;D$83&amp;D$1&amp;"C"&amp;$A88))-IF(RTD("tos.rtd",,$A$2,"."&amp;D$83&amp;D$1&amp;"P"&amp;$A88)="N/A",0,RTD("tos.rtd",,$A$2,"."&amp;D$83&amp;D$1&amp;"P"&amp;$A88))</f>
        <v>601</v>
      </c>
      <c r="E88" s="56">
        <f ca="1">IF(RTD("tos.rtd",,$A$2,"."&amp;E$83&amp;E$1&amp;"C"&amp;$A88)="N/A",0,RTD("tos.rtd",,$A$2,"."&amp;E$83&amp;E$1&amp;"C"&amp;$A88))-IF(RTD("tos.rtd",,$A$2,"."&amp;E$83&amp;E$1&amp;"P"&amp;$A88)="N/A",0,RTD("tos.rtd",,$A$2,"."&amp;E$83&amp;E$1&amp;"P"&amp;$A88))</f>
        <v>911</v>
      </c>
      <c r="F88" s="56">
        <f ca="1">IF(RTD("tos.rtd",,$A$2,"."&amp;F$83&amp;F$1&amp;"C"&amp;$A88)="N/A",0,RTD("tos.rtd",,$A$2,"."&amp;F$83&amp;F$1&amp;"C"&amp;$A88))-IF(RTD("tos.rtd",,$A$2,"."&amp;F$83&amp;F$1&amp;"P"&amp;$A88)="N/A",0,RTD("tos.rtd",,$A$2,"."&amp;F$83&amp;F$1&amp;"P"&amp;$A88))</f>
        <v>0</v>
      </c>
      <c r="G88" s="56">
        <f ca="1">IF(RTD("tos.rtd",,$A$2,"."&amp;G$83&amp;G$1&amp;"C"&amp;$A88)="N/A",0,RTD("tos.rtd",,$A$2,"."&amp;G$83&amp;G$1&amp;"C"&amp;$A88))-IF(RTD("tos.rtd",,$A$2,"."&amp;G$83&amp;G$1&amp;"P"&amp;$A88)="N/A",0,RTD("tos.rtd",,$A$2,"."&amp;G$83&amp;G$1&amp;"P"&amp;$A88))</f>
        <v>0</v>
      </c>
      <c r="H88" s="56">
        <f ca="1">IF(RTD("tos.rtd",,$A$2,"."&amp;H$83&amp;H$1&amp;"C"&amp;$A88)="N/A",0,RTD("tos.rtd",,$A$2,"."&amp;H$83&amp;H$1&amp;"C"&amp;$A88))-IF(RTD("tos.rtd",,$A$2,"."&amp;H$83&amp;H$1&amp;"P"&amp;$A88)="N/A",0,RTD("tos.rtd",,$A$2,"."&amp;H$83&amp;H$1&amp;"P"&amp;$A88))</f>
        <v>168</v>
      </c>
      <c r="I88" s="56">
        <f ca="1">IF(RTD("tos.rtd",,$A$2,"."&amp;I$83&amp;I$1&amp;"C"&amp;$A88)="N/A",0,RTD("tos.rtd",,$A$2,"."&amp;I$83&amp;I$1&amp;"C"&amp;$A88))-IF(RTD("tos.rtd",,$A$2,"."&amp;I$83&amp;I$1&amp;"P"&amp;$A88)="N/A",0,RTD("tos.rtd",,$A$2,"."&amp;I$83&amp;I$1&amp;"P"&amp;$A88))</f>
        <v>34</v>
      </c>
      <c r="J88" s="56">
        <f ca="1">IF(RTD("tos.rtd",,$A$2,"."&amp;J$83&amp;J$1&amp;"C"&amp;$A88)="N/A",0,RTD("tos.rtd",,$A$2,"."&amp;J$83&amp;J$1&amp;"C"&amp;$A88))-IF(RTD("tos.rtd",,$A$2,"."&amp;J$83&amp;J$1&amp;"P"&amp;$A88)="N/A",0,RTD("tos.rtd",,$A$2,"."&amp;J$83&amp;J$1&amp;"P"&amp;$A88))</f>
        <v>18</v>
      </c>
      <c r="K88" s="56">
        <f ca="1">IF(RTD("tos.rtd",,$A$2,"."&amp;K$83&amp;K$1&amp;"C"&amp;$A88)="N/A",0,RTD("tos.rtd",,$A$2,"."&amp;K$83&amp;K$1&amp;"C"&amp;$A88))-IF(RTD("tos.rtd",,$A$2,"."&amp;K$83&amp;K$1&amp;"P"&amp;$A88)="N/A",0,RTD("tos.rtd",,$A$2,"."&amp;K$83&amp;K$1&amp;"P"&amp;$A88))</f>
        <v>72</v>
      </c>
      <c r="L88" s="56">
        <f ca="1">IF(RTD("tos.rtd",,$A$2,"."&amp;L$83&amp;L$1&amp;"C"&amp;$A88)="N/A",0,RTD("tos.rtd",,$A$2,"."&amp;L$83&amp;L$1&amp;"C"&amp;$A88))-IF(RTD("tos.rtd",,$A$2,"."&amp;L$83&amp;L$1&amp;"P"&amp;$A88)="N/A",0,RTD("tos.rtd",,$A$2,"."&amp;L$83&amp;L$1&amp;"P"&amp;$A88))</f>
        <v>0</v>
      </c>
      <c r="M88" s="56">
        <f ca="1">IF(RTD("tos.rtd",,$A$2,"."&amp;M$83&amp;M$1&amp;"C"&amp;$A88)="N/A",0,RTD("tos.rtd",,$A$2,"."&amp;M$83&amp;M$1&amp;"C"&amp;$A88))-IF(RTD("tos.rtd",,$A$2,"."&amp;M$83&amp;M$1&amp;"P"&amp;$A88)="N/A",0,RTD("tos.rtd",,$A$2,"."&amp;M$83&amp;M$1&amp;"P"&amp;$A88))</f>
        <v>0</v>
      </c>
      <c r="N88" s="56">
        <f ca="1">IF(RTD("tos.rtd",,$A$2,"."&amp;N$83&amp;N$1&amp;"C"&amp;$A88)="N/A",0,RTD("tos.rtd",,$A$2,"."&amp;N$83&amp;N$1&amp;"C"&amp;$A88))-IF(RTD("tos.rtd",,$A$2,"."&amp;N$83&amp;N$1&amp;"P"&amp;$A88)="N/A",0,RTD("tos.rtd",,$A$2,"."&amp;N$83&amp;N$1&amp;"P"&amp;$A88))</f>
        <v>0</v>
      </c>
      <c r="O88" s="56">
        <f ca="1">IF(RTD("tos.rtd",,$A$2,"."&amp;O$83&amp;O$1&amp;"C"&amp;$A88)="N/A",0,RTD("tos.rtd",,$A$2,"."&amp;O$83&amp;O$1&amp;"C"&amp;$A88))-IF(RTD("tos.rtd",,$A$2,"."&amp;O$83&amp;O$1&amp;"P"&amp;$A88)="N/A",0,RTD("tos.rtd",,$A$2,"."&amp;O$83&amp;O$1&amp;"P"&amp;$A88))</f>
        <v>0</v>
      </c>
      <c r="P88" s="56">
        <f ca="1">IF(RTD("tos.rtd",,$A$2,"."&amp;P$83&amp;P$1&amp;"C"&amp;$A88)="N/A",0,RTD("tos.rtd",,$A$2,"."&amp;P$83&amp;P$1&amp;"C"&amp;$A88))-IF(RTD("tos.rtd",,$A$2,"."&amp;P$83&amp;P$1&amp;"P"&amp;$A88)="N/A",0,RTD("tos.rtd",,$A$2,"."&amp;P$83&amp;P$1&amp;"P"&amp;$A88))</f>
        <v>0</v>
      </c>
      <c r="Q88" s="56">
        <f ca="1">IF(RTD("tos.rtd",,$A$2,"."&amp;Q$83&amp;Q$1&amp;"C"&amp;$A88)="N/A",0,RTD("tos.rtd",,$A$2,"."&amp;Q$83&amp;Q$1&amp;"C"&amp;$A88))-IF(RTD("tos.rtd",,$A$2,"."&amp;Q$83&amp;Q$1&amp;"P"&amp;$A88)="N/A",0,RTD("tos.rtd",,$A$2,"."&amp;Q$83&amp;Q$1&amp;"P"&amp;$A88))</f>
        <v>0</v>
      </c>
      <c r="R88" s="56">
        <f ca="1">IF(RTD("tos.rtd",,$A$2,"."&amp;R$83&amp;R$1&amp;"C"&amp;$A88)="N/A",0,RTD("tos.rtd",,$A$2,"."&amp;R$83&amp;R$1&amp;"C"&amp;$A88))-IF(RTD("tos.rtd",,$A$2,"."&amp;R$83&amp;R$1&amp;"P"&amp;$A88)="N/A",0,RTD("tos.rtd",,$A$2,"."&amp;R$83&amp;R$1&amp;"P"&amp;$A88))</f>
        <v>0</v>
      </c>
      <c r="S88" s="56">
        <f ca="1">IF(RTD("tos.rtd",,$A$2,"."&amp;S$83&amp;S$1&amp;"C"&amp;$A88)="N/A",0,RTD("tos.rtd",,$A$2,"."&amp;S$83&amp;S$1&amp;"C"&amp;$A88))-IF(RTD("tos.rtd",,$A$2,"."&amp;S$83&amp;S$1&amp;"P"&amp;$A88)="N/A",0,RTD("tos.rtd",,$A$2,"."&amp;S$83&amp;S$1&amp;"P"&amp;$A88))</f>
        <v>0</v>
      </c>
      <c r="T88" s="56">
        <f ca="1">IF(RTD("tos.rtd",,$A$2,"."&amp;T$83&amp;T$1&amp;"C"&amp;$A88)="N/A",0,RTD("tos.rtd",,$A$2,"."&amp;T$83&amp;T$1&amp;"C"&amp;$A88))-IF(RTD("tos.rtd",,$A$2,"."&amp;T$83&amp;T$1&amp;"P"&amp;$A88)="N/A",0,RTD("tos.rtd",,$A$2,"."&amp;T$83&amp;T$1&amp;"P"&amp;$A88))</f>
        <v>0</v>
      </c>
      <c r="U88" s="56">
        <f ca="1">IF(RTD("tos.rtd",,$A$2,"."&amp;U$83&amp;U$1&amp;"C"&amp;$A88)="N/A",0,RTD("tos.rtd",,$A$2,"."&amp;U$83&amp;U$1&amp;"C"&amp;$A88))-IF(RTD("tos.rtd",,$A$2,"."&amp;U$83&amp;U$1&amp;"P"&amp;$A88)="N/A",0,RTD("tos.rtd",,$A$2,"."&amp;U$83&amp;U$1&amp;"P"&amp;$A88))</f>
        <v>0</v>
      </c>
      <c r="V88" s="56">
        <f ca="1">IF(RTD("tos.rtd",,$A$2,"."&amp;V$83&amp;V$1&amp;"C"&amp;$A88)="N/A",0,RTD("tos.rtd",,$A$2,"."&amp;V$83&amp;V$1&amp;"C"&amp;$A88))-IF(RTD("tos.rtd",,$A$2,"."&amp;V$83&amp;V$1&amp;"P"&amp;$A88)="N/A",0,RTD("tos.rtd",,$A$2,"."&amp;V$83&amp;V$1&amp;"P"&amp;$A88))</f>
        <v>0</v>
      </c>
      <c r="W88" s="56">
        <f ca="1">IF(RTD("tos.rtd",,$A$2,"."&amp;W$83&amp;W$1&amp;"C"&amp;$A88)="N/A",0,RTD("tos.rtd",,$A$2,"."&amp;W$83&amp;W$1&amp;"C"&amp;$A88))-IF(RTD("tos.rtd",,$A$2,"."&amp;W$83&amp;W$1&amp;"P"&amp;$A88)="N/A",0,RTD("tos.rtd",,$A$2,"."&amp;W$83&amp;W$1&amp;"P"&amp;$A88))</f>
        <v>0</v>
      </c>
      <c r="X88" s="56">
        <f ca="1">IF(RTD("tos.rtd",,$A$2,"."&amp;X$83&amp;X$1&amp;"C"&amp;$A88)="N/A",0,RTD("tos.rtd",,$A$2,"."&amp;X$83&amp;X$1&amp;"C"&amp;$A88))-IF(RTD("tos.rtd",,$A$2,"."&amp;X$83&amp;X$1&amp;"P"&amp;$A88)="N/A",0,RTD("tos.rtd",,$A$2,"."&amp;X$83&amp;X$1&amp;"P"&amp;$A88))</f>
        <v>0</v>
      </c>
      <c r="Y88" s="63">
        <f t="shared" ca="1" si="13"/>
        <v>5014</v>
      </c>
    </row>
    <row r="89" spans="1:25" x14ac:dyDescent="0.25">
      <c r="A89" s="58">
        <f>+Hoja1!A88</f>
        <v>6825</v>
      </c>
      <c r="B89" s="56">
        <f ca="1">IF(RTD("tos.rtd",,$A$2,"."&amp;B$83&amp;B$1&amp;"C"&amp;$A89)="N/A",0,RTD("tos.rtd",,$A$2,"."&amp;B$83&amp;B$1&amp;"C"&amp;$A89))-IF(RTD("tos.rtd",,$A$2,"."&amp;B$83&amp;B$1&amp;"P"&amp;$A89)="N/A",0,RTD("tos.rtd",,$A$2,"."&amp;B$83&amp;B$1&amp;"P"&amp;$A89))</f>
        <v>3361</v>
      </c>
      <c r="C89" s="56">
        <f ca="1">IF(RTD("tos.rtd",,$A$2,"."&amp;C$83&amp;C$1&amp;"C"&amp;$A89)="N/A",0,RTD("tos.rtd",,$A$2,"."&amp;C$83&amp;C$1&amp;"C"&amp;$A89))-IF(RTD("tos.rtd",,$A$2,"."&amp;C$83&amp;C$1&amp;"P"&amp;$A89)="N/A",0,RTD("tos.rtd",,$A$2,"."&amp;C$83&amp;C$1&amp;"P"&amp;$A89))</f>
        <v>890</v>
      </c>
      <c r="D89" s="56">
        <f ca="1">IF(RTD("tos.rtd",,$A$2,"."&amp;D$83&amp;D$1&amp;"C"&amp;$A89)="N/A",0,RTD("tos.rtd",,$A$2,"."&amp;D$83&amp;D$1&amp;"C"&amp;$A89))-IF(RTD("tos.rtd",,$A$2,"."&amp;D$83&amp;D$1&amp;"P"&amp;$A89)="N/A",0,RTD("tos.rtd",,$A$2,"."&amp;D$83&amp;D$1&amp;"P"&amp;$A89))</f>
        <v>41</v>
      </c>
      <c r="E89" s="56">
        <f ca="1">IF(RTD("tos.rtd",,$A$2,"."&amp;E$83&amp;E$1&amp;"C"&amp;$A89)="N/A",0,RTD("tos.rtd",,$A$2,"."&amp;E$83&amp;E$1&amp;"C"&amp;$A89))-IF(RTD("tos.rtd",,$A$2,"."&amp;E$83&amp;E$1&amp;"P"&amp;$A89)="N/A",0,RTD("tos.rtd",,$A$2,"."&amp;E$83&amp;E$1&amp;"P"&amp;$A89))</f>
        <v>-526</v>
      </c>
      <c r="F89" s="56">
        <f ca="1">IF(RTD("tos.rtd",,$A$2,"."&amp;F$83&amp;F$1&amp;"C"&amp;$A89)="N/A",0,RTD("tos.rtd",,$A$2,"."&amp;F$83&amp;F$1&amp;"C"&amp;$A89))-IF(RTD("tos.rtd",,$A$2,"."&amp;F$83&amp;F$1&amp;"P"&amp;$A89)="N/A",0,RTD("tos.rtd",,$A$2,"."&amp;F$83&amp;F$1&amp;"P"&amp;$A89))</f>
        <v>0</v>
      </c>
      <c r="G89" s="56">
        <f ca="1">IF(RTD("tos.rtd",,$A$2,"."&amp;G$83&amp;G$1&amp;"C"&amp;$A89)="N/A",0,RTD("tos.rtd",,$A$2,"."&amp;G$83&amp;G$1&amp;"C"&amp;$A89))-IF(RTD("tos.rtd",,$A$2,"."&amp;G$83&amp;G$1&amp;"P"&amp;$A89)="N/A",0,RTD("tos.rtd",,$A$2,"."&amp;G$83&amp;G$1&amp;"P"&amp;$A89))</f>
        <v>0</v>
      </c>
      <c r="H89" s="56">
        <f ca="1">IF(RTD("tos.rtd",,$A$2,"."&amp;H$83&amp;H$1&amp;"C"&amp;$A89)="N/A",0,RTD("tos.rtd",,$A$2,"."&amp;H$83&amp;H$1&amp;"C"&amp;$A89))-IF(RTD("tos.rtd",,$A$2,"."&amp;H$83&amp;H$1&amp;"P"&amp;$A89)="N/A",0,RTD("tos.rtd",,$A$2,"."&amp;H$83&amp;H$1&amp;"P"&amp;$A89))</f>
        <v>77</v>
      </c>
      <c r="I89" s="56">
        <f ca="1">IF(RTD("tos.rtd",,$A$2,"."&amp;I$83&amp;I$1&amp;"C"&amp;$A89)="N/A",0,RTD("tos.rtd",,$A$2,"."&amp;I$83&amp;I$1&amp;"C"&amp;$A89))-IF(RTD("tos.rtd",,$A$2,"."&amp;I$83&amp;I$1&amp;"P"&amp;$A89)="N/A",0,RTD("tos.rtd",,$A$2,"."&amp;I$83&amp;I$1&amp;"P"&amp;$A89))</f>
        <v>252</v>
      </c>
      <c r="J89" s="56">
        <f ca="1">IF(RTD("tos.rtd",,$A$2,"."&amp;J$83&amp;J$1&amp;"C"&amp;$A89)="N/A",0,RTD("tos.rtd",,$A$2,"."&amp;J$83&amp;J$1&amp;"C"&amp;$A89))-IF(RTD("tos.rtd",,$A$2,"."&amp;J$83&amp;J$1&amp;"P"&amp;$A89)="N/A",0,RTD("tos.rtd",,$A$2,"."&amp;J$83&amp;J$1&amp;"P"&amp;$A89))</f>
        <v>6</v>
      </c>
      <c r="K89" s="56">
        <f ca="1">IF(RTD("tos.rtd",,$A$2,"."&amp;K$83&amp;K$1&amp;"C"&amp;$A89)="N/A",0,RTD("tos.rtd",,$A$2,"."&amp;K$83&amp;K$1&amp;"C"&amp;$A89))-IF(RTD("tos.rtd",,$A$2,"."&amp;K$83&amp;K$1&amp;"P"&amp;$A89)="N/A",0,RTD("tos.rtd",,$A$2,"."&amp;K$83&amp;K$1&amp;"P"&amp;$A89))</f>
        <v>25</v>
      </c>
      <c r="L89" s="56">
        <f ca="1">IF(RTD("tos.rtd",,$A$2,"."&amp;L$83&amp;L$1&amp;"C"&amp;$A89)="N/A",0,RTD("tos.rtd",,$A$2,"."&amp;L$83&amp;L$1&amp;"C"&amp;$A89))-IF(RTD("tos.rtd",,$A$2,"."&amp;L$83&amp;L$1&amp;"P"&amp;$A89)="N/A",0,RTD("tos.rtd",,$A$2,"."&amp;L$83&amp;L$1&amp;"P"&amp;$A89))</f>
        <v>0</v>
      </c>
      <c r="M89" s="56">
        <f ca="1">IF(RTD("tos.rtd",,$A$2,"."&amp;M$83&amp;M$1&amp;"C"&amp;$A89)="N/A",0,RTD("tos.rtd",,$A$2,"."&amp;M$83&amp;M$1&amp;"C"&amp;$A89))-IF(RTD("tos.rtd",,$A$2,"."&amp;M$83&amp;M$1&amp;"P"&amp;$A89)="N/A",0,RTD("tos.rtd",,$A$2,"."&amp;M$83&amp;M$1&amp;"P"&amp;$A89))</f>
        <v>0</v>
      </c>
      <c r="N89" s="56">
        <f ca="1">IF(RTD("tos.rtd",,$A$2,"."&amp;N$83&amp;N$1&amp;"C"&amp;$A89)="N/A",0,RTD("tos.rtd",,$A$2,"."&amp;N$83&amp;N$1&amp;"C"&amp;$A89))-IF(RTD("tos.rtd",,$A$2,"."&amp;N$83&amp;N$1&amp;"P"&amp;$A89)="N/A",0,RTD("tos.rtd",,$A$2,"."&amp;N$83&amp;N$1&amp;"P"&amp;$A89))</f>
        <v>0</v>
      </c>
      <c r="O89" s="56">
        <f ca="1">IF(RTD("tos.rtd",,$A$2,"."&amp;O$83&amp;O$1&amp;"C"&amp;$A89)="N/A",0,RTD("tos.rtd",,$A$2,"."&amp;O$83&amp;O$1&amp;"C"&amp;$A89))-IF(RTD("tos.rtd",,$A$2,"."&amp;O$83&amp;O$1&amp;"P"&amp;$A89)="N/A",0,RTD("tos.rtd",,$A$2,"."&amp;O$83&amp;O$1&amp;"P"&amp;$A89))</f>
        <v>0</v>
      </c>
      <c r="P89" s="56">
        <f ca="1">IF(RTD("tos.rtd",,$A$2,"."&amp;P$83&amp;P$1&amp;"C"&amp;$A89)="N/A",0,RTD("tos.rtd",,$A$2,"."&amp;P$83&amp;P$1&amp;"C"&amp;$A89))-IF(RTD("tos.rtd",,$A$2,"."&amp;P$83&amp;P$1&amp;"P"&amp;$A89)="N/A",0,RTD("tos.rtd",,$A$2,"."&amp;P$83&amp;P$1&amp;"P"&amp;$A89))</f>
        <v>-10</v>
      </c>
      <c r="Q89" s="56">
        <f ca="1">IF(RTD("tos.rtd",,$A$2,"."&amp;Q$83&amp;Q$1&amp;"C"&amp;$A89)="N/A",0,RTD("tos.rtd",,$A$2,"."&amp;Q$83&amp;Q$1&amp;"C"&amp;$A89))-IF(RTD("tos.rtd",,$A$2,"."&amp;Q$83&amp;Q$1&amp;"P"&amp;$A89)="N/A",0,RTD("tos.rtd",,$A$2,"."&amp;Q$83&amp;Q$1&amp;"P"&amp;$A89))</f>
        <v>0</v>
      </c>
      <c r="R89" s="56">
        <f ca="1">IF(RTD("tos.rtd",,$A$2,"."&amp;R$83&amp;R$1&amp;"C"&amp;$A89)="N/A",0,RTD("tos.rtd",,$A$2,"."&amp;R$83&amp;R$1&amp;"C"&amp;$A89))-IF(RTD("tos.rtd",,$A$2,"."&amp;R$83&amp;R$1&amp;"P"&amp;$A89)="N/A",0,RTD("tos.rtd",,$A$2,"."&amp;R$83&amp;R$1&amp;"P"&amp;$A89))</f>
        <v>0</v>
      </c>
      <c r="S89" s="56">
        <f ca="1">IF(RTD("tos.rtd",,$A$2,"."&amp;S$83&amp;S$1&amp;"C"&amp;$A89)="N/A",0,RTD("tos.rtd",,$A$2,"."&amp;S$83&amp;S$1&amp;"C"&amp;$A89))-IF(RTD("tos.rtd",,$A$2,"."&amp;S$83&amp;S$1&amp;"P"&amp;$A89)="N/A",0,RTD("tos.rtd",,$A$2,"."&amp;S$83&amp;S$1&amp;"P"&amp;$A89))</f>
        <v>0</v>
      </c>
      <c r="T89" s="56">
        <f ca="1">IF(RTD("tos.rtd",,$A$2,"."&amp;T$83&amp;T$1&amp;"C"&amp;$A89)="N/A",0,RTD("tos.rtd",,$A$2,"."&amp;T$83&amp;T$1&amp;"C"&amp;$A89))-IF(RTD("tos.rtd",,$A$2,"."&amp;T$83&amp;T$1&amp;"P"&amp;$A89)="N/A",0,RTD("tos.rtd",,$A$2,"."&amp;T$83&amp;T$1&amp;"P"&amp;$A89))</f>
        <v>0</v>
      </c>
      <c r="U89" s="56">
        <f ca="1">IF(RTD("tos.rtd",,$A$2,"."&amp;U$83&amp;U$1&amp;"C"&amp;$A89)="N/A",0,RTD("tos.rtd",,$A$2,"."&amp;U$83&amp;U$1&amp;"C"&amp;$A89))-IF(RTD("tos.rtd",,$A$2,"."&amp;U$83&amp;U$1&amp;"P"&amp;$A89)="N/A",0,RTD("tos.rtd",,$A$2,"."&amp;U$83&amp;U$1&amp;"P"&amp;$A89))</f>
        <v>0</v>
      </c>
      <c r="V89" s="56">
        <f ca="1">IF(RTD("tos.rtd",,$A$2,"."&amp;V$83&amp;V$1&amp;"C"&amp;$A89)="N/A",0,RTD("tos.rtd",,$A$2,"."&amp;V$83&amp;V$1&amp;"C"&amp;$A89))-IF(RTD("tos.rtd",,$A$2,"."&amp;V$83&amp;V$1&amp;"P"&amp;$A89)="N/A",0,RTD("tos.rtd",,$A$2,"."&amp;V$83&amp;V$1&amp;"P"&amp;$A89))</f>
        <v>0</v>
      </c>
      <c r="W89" s="56">
        <f ca="1">IF(RTD("tos.rtd",,$A$2,"."&amp;W$83&amp;W$1&amp;"C"&amp;$A89)="N/A",0,RTD("tos.rtd",,$A$2,"."&amp;W$83&amp;W$1&amp;"C"&amp;$A89))-IF(RTD("tos.rtd",,$A$2,"."&amp;W$83&amp;W$1&amp;"P"&amp;$A89)="N/A",0,RTD("tos.rtd",,$A$2,"."&amp;W$83&amp;W$1&amp;"P"&amp;$A89))</f>
        <v>0</v>
      </c>
      <c r="X89" s="56">
        <f ca="1">IF(RTD("tos.rtd",,$A$2,"."&amp;X$83&amp;X$1&amp;"C"&amp;$A89)="N/A",0,RTD("tos.rtd",,$A$2,"."&amp;X$83&amp;X$1&amp;"C"&amp;$A89))-IF(RTD("tos.rtd",,$A$2,"."&amp;X$83&amp;X$1&amp;"P"&amp;$A89)="N/A",0,RTD("tos.rtd",,$A$2,"."&amp;X$83&amp;X$1&amp;"P"&amp;$A89))</f>
        <v>0</v>
      </c>
      <c r="Y89" s="63">
        <f t="shared" ca="1" si="13"/>
        <v>4116</v>
      </c>
    </row>
    <row r="90" spans="1:25" x14ac:dyDescent="0.25">
      <c r="A90" s="58">
        <f>+Hoja1!A89</f>
        <v>6820</v>
      </c>
      <c r="B90" s="56">
        <f ca="1">IF(RTD("tos.rtd",,$A$2,"."&amp;B$83&amp;B$1&amp;"C"&amp;$A90)="N/A",0,RTD("tos.rtd",,$A$2,"."&amp;B$83&amp;B$1&amp;"C"&amp;$A90))-IF(RTD("tos.rtd",,$A$2,"."&amp;B$83&amp;B$1&amp;"P"&amp;$A90)="N/A",0,RTD("tos.rtd",,$A$2,"."&amp;B$83&amp;B$1&amp;"P"&amp;$A90))</f>
        <v>3534</v>
      </c>
      <c r="C90" s="56">
        <f ca="1">IF(RTD("tos.rtd",,$A$2,"."&amp;C$83&amp;C$1&amp;"C"&amp;$A90)="N/A",0,RTD("tos.rtd",,$A$2,"."&amp;C$83&amp;C$1&amp;"C"&amp;$A90))-IF(RTD("tos.rtd",,$A$2,"."&amp;C$83&amp;C$1&amp;"P"&amp;$A90)="N/A",0,RTD("tos.rtd",,$A$2,"."&amp;C$83&amp;C$1&amp;"P"&amp;$A90))</f>
        <v>617</v>
      </c>
      <c r="D90" s="56">
        <f ca="1">IF(RTD("tos.rtd",,$A$2,"."&amp;D$83&amp;D$1&amp;"C"&amp;$A90)="N/A",0,RTD("tos.rtd",,$A$2,"."&amp;D$83&amp;D$1&amp;"C"&amp;$A90))-IF(RTD("tos.rtd",,$A$2,"."&amp;D$83&amp;D$1&amp;"P"&amp;$A90)="N/A",0,RTD("tos.rtd",,$A$2,"."&amp;D$83&amp;D$1&amp;"P"&amp;$A90))</f>
        <v>289</v>
      </c>
      <c r="E90" s="56">
        <f ca="1">IF(RTD("tos.rtd",,$A$2,"."&amp;E$83&amp;E$1&amp;"C"&amp;$A90)="N/A",0,RTD("tos.rtd",,$A$2,"."&amp;E$83&amp;E$1&amp;"C"&amp;$A90))-IF(RTD("tos.rtd",,$A$2,"."&amp;E$83&amp;E$1&amp;"P"&amp;$A90)="N/A",0,RTD("tos.rtd",,$A$2,"."&amp;E$83&amp;E$1&amp;"P"&amp;$A90))</f>
        <v>907</v>
      </c>
      <c r="F90" s="56">
        <f ca="1">IF(RTD("tos.rtd",,$A$2,"."&amp;F$83&amp;F$1&amp;"C"&amp;$A90)="N/A",0,RTD("tos.rtd",,$A$2,"."&amp;F$83&amp;F$1&amp;"C"&amp;$A90))-IF(RTD("tos.rtd",,$A$2,"."&amp;F$83&amp;F$1&amp;"P"&amp;$A90)="N/A",0,RTD("tos.rtd",,$A$2,"."&amp;F$83&amp;F$1&amp;"P"&amp;$A90))</f>
        <v>0</v>
      </c>
      <c r="G90" s="56">
        <f ca="1">IF(RTD("tos.rtd",,$A$2,"."&amp;G$83&amp;G$1&amp;"C"&amp;$A90)="N/A",0,RTD("tos.rtd",,$A$2,"."&amp;G$83&amp;G$1&amp;"C"&amp;$A90))-IF(RTD("tos.rtd",,$A$2,"."&amp;G$83&amp;G$1&amp;"P"&amp;$A90)="N/A",0,RTD("tos.rtd",,$A$2,"."&amp;G$83&amp;G$1&amp;"P"&amp;$A90))</f>
        <v>0</v>
      </c>
      <c r="H90" s="56">
        <f ca="1">IF(RTD("tos.rtd",,$A$2,"."&amp;H$83&amp;H$1&amp;"C"&amp;$A90)="N/A",0,RTD("tos.rtd",,$A$2,"."&amp;H$83&amp;H$1&amp;"C"&amp;$A90))-IF(RTD("tos.rtd",,$A$2,"."&amp;H$83&amp;H$1&amp;"P"&amp;$A90)="N/A",0,RTD("tos.rtd",,$A$2,"."&amp;H$83&amp;H$1&amp;"P"&amp;$A90))</f>
        <v>174</v>
      </c>
      <c r="I90" s="56">
        <f ca="1">IF(RTD("tos.rtd",,$A$2,"."&amp;I$83&amp;I$1&amp;"C"&amp;$A90)="N/A",0,RTD("tos.rtd",,$A$2,"."&amp;I$83&amp;I$1&amp;"C"&amp;$A90))-IF(RTD("tos.rtd",,$A$2,"."&amp;I$83&amp;I$1&amp;"P"&amp;$A90)="N/A",0,RTD("tos.rtd",,$A$2,"."&amp;I$83&amp;I$1&amp;"P"&amp;$A90))</f>
        <v>26</v>
      </c>
      <c r="J90" s="56">
        <f ca="1">IF(RTD("tos.rtd",,$A$2,"."&amp;J$83&amp;J$1&amp;"C"&amp;$A90)="N/A",0,RTD("tos.rtd",,$A$2,"."&amp;J$83&amp;J$1&amp;"C"&amp;$A90))-IF(RTD("tos.rtd",,$A$2,"."&amp;J$83&amp;J$1&amp;"P"&amp;$A90)="N/A",0,RTD("tos.rtd",,$A$2,"."&amp;J$83&amp;J$1&amp;"P"&amp;$A90))</f>
        <v>6</v>
      </c>
      <c r="K90" s="56">
        <f ca="1">IF(RTD("tos.rtd",,$A$2,"."&amp;K$83&amp;K$1&amp;"C"&amp;$A90)="N/A",0,RTD("tos.rtd",,$A$2,"."&amp;K$83&amp;K$1&amp;"C"&amp;$A90))-IF(RTD("tos.rtd",,$A$2,"."&amp;K$83&amp;K$1&amp;"P"&amp;$A90)="N/A",0,RTD("tos.rtd",,$A$2,"."&amp;K$83&amp;K$1&amp;"P"&amp;$A90))</f>
        <v>4</v>
      </c>
      <c r="L90" s="56">
        <f ca="1">IF(RTD("tos.rtd",,$A$2,"."&amp;L$83&amp;L$1&amp;"C"&amp;$A90)="N/A",0,RTD("tos.rtd",,$A$2,"."&amp;L$83&amp;L$1&amp;"C"&amp;$A90))-IF(RTD("tos.rtd",,$A$2,"."&amp;L$83&amp;L$1&amp;"P"&amp;$A90)="N/A",0,RTD("tos.rtd",,$A$2,"."&amp;L$83&amp;L$1&amp;"P"&amp;$A90))</f>
        <v>0</v>
      </c>
      <c r="M90" s="56">
        <f ca="1">IF(RTD("tos.rtd",,$A$2,"."&amp;M$83&amp;M$1&amp;"C"&amp;$A90)="N/A",0,RTD("tos.rtd",,$A$2,"."&amp;M$83&amp;M$1&amp;"C"&amp;$A90))-IF(RTD("tos.rtd",,$A$2,"."&amp;M$83&amp;M$1&amp;"P"&amp;$A90)="N/A",0,RTD("tos.rtd",,$A$2,"."&amp;M$83&amp;M$1&amp;"P"&amp;$A90))</f>
        <v>0</v>
      </c>
      <c r="N90" s="56">
        <f ca="1">IF(RTD("tos.rtd",,$A$2,"."&amp;N$83&amp;N$1&amp;"C"&amp;$A90)="N/A",0,RTD("tos.rtd",,$A$2,"."&amp;N$83&amp;N$1&amp;"C"&amp;$A90))-IF(RTD("tos.rtd",,$A$2,"."&amp;N$83&amp;N$1&amp;"P"&amp;$A90)="N/A",0,RTD("tos.rtd",,$A$2,"."&amp;N$83&amp;N$1&amp;"P"&amp;$A90))</f>
        <v>0</v>
      </c>
      <c r="O90" s="56">
        <f ca="1">IF(RTD("tos.rtd",,$A$2,"."&amp;O$83&amp;O$1&amp;"C"&amp;$A90)="N/A",0,RTD("tos.rtd",,$A$2,"."&amp;O$83&amp;O$1&amp;"C"&amp;$A90))-IF(RTD("tos.rtd",,$A$2,"."&amp;O$83&amp;O$1&amp;"P"&amp;$A90)="N/A",0,RTD("tos.rtd",,$A$2,"."&amp;O$83&amp;O$1&amp;"P"&amp;$A90))</f>
        <v>0</v>
      </c>
      <c r="P90" s="56">
        <f ca="1">IF(RTD("tos.rtd",,$A$2,"."&amp;P$83&amp;P$1&amp;"C"&amp;$A90)="N/A",0,RTD("tos.rtd",,$A$2,"."&amp;P$83&amp;P$1&amp;"C"&amp;$A90))-IF(RTD("tos.rtd",,$A$2,"."&amp;P$83&amp;P$1&amp;"P"&amp;$A90)="N/A",0,RTD("tos.rtd",,$A$2,"."&amp;P$83&amp;P$1&amp;"P"&amp;$A90))</f>
        <v>1</v>
      </c>
      <c r="Q90" s="56">
        <f ca="1">IF(RTD("tos.rtd",,$A$2,"."&amp;Q$83&amp;Q$1&amp;"C"&amp;$A90)="N/A",0,RTD("tos.rtd",,$A$2,"."&amp;Q$83&amp;Q$1&amp;"C"&amp;$A90))-IF(RTD("tos.rtd",,$A$2,"."&amp;Q$83&amp;Q$1&amp;"P"&amp;$A90)="N/A",0,RTD("tos.rtd",,$A$2,"."&amp;Q$83&amp;Q$1&amp;"P"&amp;$A90))</f>
        <v>0</v>
      </c>
      <c r="R90" s="56">
        <f ca="1">IF(RTD("tos.rtd",,$A$2,"."&amp;R$83&amp;R$1&amp;"C"&amp;$A90)="N/A",0,RTD("tos.rtd",,$A$2,"."&amp;R$83&amp;R$1&amp;"C"&amp;$A90))-IF(RTD("tos.rtd",,$A$2,"."&amp;R$83&amp;R$1&amp;"P"&amp;$A90)="N/A",0,RTD("tos.rtd",,$A$2,"."&amp;R$83&amp;R$1&amp;"P"&amp;$A90))</f>
        <v>0</v>
      </c>
      <c r="S90" s="56">
        <f ca="1">IF(RTD("tos.rtd",,$A$2,"."&amp;S$83&amp;S$1&amp;"C"&amp;$A90)="N/A",0,RTD("tos.rtd",,$A$2,"."&amp;S$83&amp;S$1&amp;"C"&amp;$A90))-IF(RTD("tos.rtd",,$A$2,"."&amp;S$83&amp;S$1&amp;"P"&amp;$A90)="N/A",0,RTD("tos.rtd",,$A$2,"."&amp;S$83&amp;S$1&amp;"P"&amp;$A90))</f>
        <v>0</v>
      </c>
      <c r="T90" s="56">
        <f ca="1">IF(RTD("tos.rtd",,$A$2,"."&amp;T$83&amp;T$1&amp;"C"&amp;$A90)="N/A",0,RTD("tos.rtd",,$A$2,"."&amp;T$83&amp;T$1&amp;"C"&amp;$A90))-IF(RTD("tos.rtd",,$A$2,"."&amp;T$83&amp;T$1&amp;"P"&amp;$A90)="N/A",0,RTD("tos.rtd",,$A$2,"."&amp;T$83&amp;T$1&amp;"P"&amp;$A90))</f>
        <v>0</v>
      </c>
      <c r="U90" s="56">
        <f ca="1">IF(RTD("tos.rtd",,$A$2,"."&amp;U$83&amp;U$1&amp;"C"&amp;$A90)="N/A",0,RTD("tos.rtd",,$A$2,"."&amp;U$83&amp;U$1&amp;"C"&amp;$A90))-IF(RTD("tos.rtd",,$A$2,"."&amp;U$83&amp;U$1&amp;"P"&amp;$A90)="N/A",0,RTD("tos.rtd",,$A$2,"."&amp;U$83&amp;U$1&amp;"P"&amp;$A90))</f>
        <v>0</v>
      </c>
      <c r="V90" s="56">
        <f ca="1">IF(RTD("tos.rtd",,$A$2,"."&amp;V$83&amp;V$1&amp;"C"&amp;$A90)="N/A",0,RTD("tos.rtd",,$A$2,"."&amp;V$83&amp;V$1&amp;"C"&amp;$A90))-IF(RTD("tos.rtd",,$A$2,"."&amp;V$83&amp;V$1&amp;"P"&amp;$A90)="N/A",0,RTD("tos.rtd",,$A$2,"."&amp;V$83&amp;V$1&amp;"P"&amp;$A90))</f>
        <v>0</v>
      </c>
      <c r="W90" s="56">
        <f ca="1">IF(RTD("tos.rtd",,$A$2,"."&amp;W$83&amp;W$1&amp;"C"&amp;$A90)="N/A",0,RTD("tos.rtd",,$A$2,"."&amp;W$83&amp;W$1&amp;"C"&amp;$A90))-IF(RTD("tos.rtd",,$A$2,"."&amp;W$83&amp;W$1&amp;"P"&amp;$A90)="N/A",0,RTD("tos.rtd",,$A$2,"."&amp;W$83&amp;W$1&amp;"P"&amp;$A90))</f>
        <v>0</v>
      </c>
      <c r="X90" s="56">
        <f ca="1">IF(RTD("tos.rtd",,$A$2,"."&amp;X$83&amp;X$1&amp;"C"&amp;$A90)="N/A",0,RTD("tos.rtd",,$A$2,"."&amp;X$83&amp;X$1&amp;"C"&amp;$A90))-IF(RTD("tos.rtd",,$A$2,"."&amp;X$83&amp;X$1&amp;"P"&amp;$A90)="N/A",0,RTD("tos.rtd",,$A$2,"."&amp;X$83&amp;X$1&amp;"P"&amp;$A90))</f>
        <v>0</v>
      </c>
      <c r="Y90" s="63">
        <f t="shared" ca="1" si="13"/>
        <v>5558</v>
      </c>
    </row>
    <row r="91" spans="1:25" x14ac:dyDescent="0.25">
      <c r="A91" s="58">
        <f>+Hoja1!A90</f>
        <v>6815</v>
      </c>
      <c r="B91" s="56">
        <f ca="1">IF(RTD("tos.rtd",,$A$2,"."&amp;B$83&amp;B$1&amp;"C"&amp;$A91)="N/A",0,RTD("tos.rtd",,$A$2,"."&amp;B$83&amp;B$1&amp;"C"&amp;$A91))-IF(RTD("tos.rtd",,$A$2,"."&amp;B$83&amp;B$1&amp;"P"&amp;$A91)="N/A",0,RTD("tos.rtd",,$A$2,"."&amp;B$83&amp;B$1&amp;"P"&amp;$A91))</f>
        <v>4750</v>
      </c>
      <c r="C91" s="56">
        <f ca="1">IF(RTD("tos.rtd",,$A$2,"."&amp;C$83&amp;C$1&amp;"C"&amp;$A91)="N/A",0,RTD("tos.rtd",,$A$2,"."&amp;C$83&amp;C$1&amp;"C"&amp;$A91))-IF(RTD("tos.rtd",,$A$2,"."&amp;C$83&amp;C$1&amp;"P"&amp;$A91)="N/A",0,RTD("tos.rtd",,$A$2,"."&amp;C$83&amp;C$1&amp;"P"&amp;$A91))</f>
        <v>232</v>
      </c>
      <c r="D91" s="56">
        <f ca="1">IF(RTD("tos.rtd",,$A$2,"."&amp;D$83&amp;D$1&amp;"C"&amp;$A91)="N/A",0,RTD("tos.rtd",,$A$2,"."&amp;D$83&amp;D$1&amp;"C"&amp;$A91))-IF(RTD("tos.rtd",,$A$2,"."&amp;D$83&amp;D$1&amp;"P"&amp;$A91)="N/A",0,RTD("tos.rtd",,$A$2,"."&amp;D$83&amp;D$1&amp;"P"&amp;$A91))</f>
        <v>657</v>
      </c>
      <c r="E91" s="56">
        <f ca="1">IF(RTD("tos.rtd",,$A$2,"."&amp;E$83&amp;E$1&amp;"C"&amp;$A91)="N/A",0,RTD("tos.rtd",,$A$2,"."&amp;E$83&amp;E$1&amp;"C"&amp;$A91))-IF(RTD("tos.rtd",,$A$2,"."&amp;E$83&amp;E$1&amp;"P"&amp;$A91)="N/A",0,RTD("tos.rtd",,$A$2,"."&amp;E$83&amp;E$1&amp;"P"&amp;$A91))</f>
        <v>-36</v>
      </c>
      <c r="F91" s="56">
        <f ca="1">IF(RTD("tos.rtd",,$A$2,"."&amp;F$83&amp;F$1&amp;"C"&amp;$A91)="N/A",0,RTD("tos.rtd",,$A$2,"."&amp;F$83&amp;F$1&amp;"C"&amp;$A91))-IF(RTD("tos.rtd",,$A$2,"."&amp;F$83&amp;F$1&amp;"P"&amp;$A91)="N/A",0,RTD("tos.rtd",,$A$2,"."&amp;F$83&amp;F$1&amp;"P"&amp;$A91))</f>
        <v>0</v>
      </c>
      <c r="G91" s="56">
        <f ca="1">IF(RTD("tos.rtd",,$A$2,"."&amp;G$83&amp;G$1&amp;"C"&amp;$A91)="N/A",0,RTD("tos.rtd",,$A$2,"."&amp;G$83&amp;G$1&amp;"C"&amp;$A91))-IF(RTD("tos.rtd",,$A$2,"."&amp;G$83&amp;G$1&amp;"P"&amp;$A91)="N/A",0,RTD("tos.rtd",,$A$2,"."&amp;G$83&amp;G$1&amp;"P"&amp;$A91))</f>
        <v>0</v>
      </c>
      <c r="H91" s="56">
        <f ca="1">IF(RTD("tos.rtd",,$A$2,"."&amp;H$83&amp;H$1&amp;"C"&amp;$A91)="N/A",0,RTD("tos.rtd",,$A$2,"."&amp;H$83&amp;H$1&amp;"C"&amp;$A91))-IF(RTD("tos.rtd",,$A$2,"."&amp;H$83&amp;H$1&amp;"P"&amp;$A91)="N/A",0,RTD("tos.rtd",,$A$2,"."&amp;H$83&amp;H$1&amp;"P"&amp;$A91))</f>
        <v>401</v>
      </c>
      <c r="I91" s="56">
        <f ca="1">IF(RTD("tos.rtd",,$A$2,"."&amp;I$83&amp;I$1&amp;"C"&amp;$A91)="N/A",0,RTD("tos.rtd",,$A$2,"."&amp;I$83&amp;I$1&amp;"C"&amp;$A91))-IF(RTD("tos.rtd",,$A$2,"."&amp;I$83&amp;I$1&amp;"P"&amp;$A91)="N/A",0,RTD("tos.rtd",,$A$2,"."&amp;I$83&amp;I$1&amp;"P"&amp;$A91))</f>
        <v>67</v>
      </c>
      <c r="J91" s="56">
        <f ca="1">IF(RTD("tos.rtd",,$A$2,"."&amp;J$83&amp;J$1&amp;"C"&amp;$A91)="N/A",0,RTD("tos.rtd",,$A$2,"."&amp;J$83&amp;J$1&amp;"C"&amp;$A91))-IF(RTD("tos.rtd",,$A$2,"."&amp;J$83&amp;J$1&amp;"P"&amp;$A91)="N/A",0,RTD("tos.rtd",,$A$2,"."&amp;J$83&amp;J$1&amp;"P"&amp;$A91))</f>
        <v>0</v>
      </c>
      <c r="K91" s="56">
        <f ca="1">IF(RTD("tos.rtd",,$A$2,"."&amp;K$83&amp;K$1&amp;"C"&amp;$A91)="N/A",0,RTD("tos.rtd",,$A$2,"."&amp;K$83&amp;K$1&amp;"C"&amp;$A91))-IF(RTD("tos.rtd",,$A$2,"."&amp;K$83&amp;K$1&amp;"P"&amp;$A91)="N/A",0,RTD("tos.rtd",,$A$2,"."&amp;K$83&amp;K$1&amp;"P"&amp;$A91))</f>
        <v>3</v>
      </c>
      <c r="L91" s="56">
        <f ca="1">IF(RTD("tos.rtd",,$A$2,"."&amp;L$83&amp;L$1&amp;"C"&amp;$A91)="N/A",0,RTD("tos.rtd",,$A$2,"."&amp;L$83&amp;L$1&amp;"C"&amp;$A91))-IF(RTD("tos.rtd",,$A$2,"."&amp;L$83&amp;L$1&amp;"P"&amp;$A91)="N/A",0,RTD("tos.rtd",,$A$2,"."&amp;L$83&amp;L$1&amp;"P"&amp;$A91))</f>
        <v>0</v>
      </c>
      <c r="M91" s="56">
        <f ca="1">IF(RTD("tos.rtd",,$A$2,"."&amp;M$83&amp;M$1&amp;"C"&amp;$A91)="N/A",0,RTD("tos.rtd",,$A$2,"."&amp;M$83&amp;M$1&amp;"C"&amp;$A91))-IF(RTD("tos.rtd",,$A$2,"."&amp;M$83&amp;M$1&amp;"P"&amp;$A91)="N/A",0,RTD("tos.rtd",,$A$2,"."&amp;M$83&amp;M$1&amp;"P"&amp;$A91))</f>
        <v>0</v>
      </c>
      <c r="N91" s="56">
        <f ca="1">IF(RTD("tos.rtd",,$A$2,"."&amp;N$83&amp;N$1&amp;"C"&amp;$A91)="N/A",0,RTD("tos.rtd",,$A$2,"."&amp;N$83&amp;N$1&amp;"C"&amp;$A91))-IF(RTD("tos.rtd",,$A$2,"."&amp;N$83&amp;N$1&amp;"P"&amp;$A91)="N/A",0,RTD("tos.rtd",,$A$2,"."&amp;N$83&amp;N$1&amp;"P"&amp;$A91))</f>
        <v>0</v>
      </c>
      <c r="O91" s="56">
        <f ca="1">IF(RTD("tos.rtd",,$A$2,"."&amp;O$83&amp;O$1&amp;"C"&amp;$A91)="N/A",0,RTD("tos.rtd",,$A$2,"."&amp;O$83&amp;O$1&amp;"C"&amp;$A91))-IF(RTD("tos.rtd",,$A$2,"."&amp;O$83&amp;O$1&amp;"P"&amp;$A91)="N/A",0,RTD("tos.rtd",,$A$2,"."&amp;O$83&amp;O$1&amp;"P"&amp;$A91))</f>
        <v>0</v>
      </c>
      <c r="P91" s="56">
        <f ca="1">IF(RTD("tos.rtd",,$A$2,"."&amp;P$83&amp;P$1&amp;"C"&amp;$A91)="N/A",0,RTD("tos.rtd",,$A$2,"."&amp;P$83&amp;P$1&amp;"C"&amp;$A91))-IF(RTD("tos.rtd",,$A$2,"."&amp;P$83&amp;P$1&amp;"P"&amp;$A91)="N/A",0,RTD("tos.rtd",,$A$2,"."&amp;P$83&amp;P$1&amp;"P"&amp;$A91))</f>
        <v>0</v>
      </c>
      <c r="Q91" s="56">
        <f ca="1">IF(RTD("tos.rtd",,$A$2,"."&amp;Q$83&amp;Q$1&amp;"C"&amp;$A91)="N/A",0,RTD("tos.rtd",,$A$2,"."&amp;Q$83&amp;Q$1&amp;"C"&amp;$A91))-IF(RTD("tos.rtd",,$A$2,"."&amp;Q$83&amp;Q$1&amp;"P"&amp;$A91)="N/A",0,RTD("tos.rtd",,$A$2,"."&amp;Q$83&amp;Q$1&amp;"P"&amp;$A91))</f>
        <v>0</v>
      </c>
      <c r="R91" s="56">
        <f ca="1">IF(RTD("tos.rtd",,$A$2,"."&amp;R$83&amp;R$1&amp;"C"&amp;$A91)="N/A",0,RTD("tos.rtd",,$A$2,"."&amp;R$83&amp;R$1&amp;"C"&amp;$A91))-IF(RTD("tos.rtd",,$A$2,"."&amp;R$83&amp;R$1&amp;"P"&amp;$A91)="N/A",0,RTD("tos.rtd",,$A$2,"."&amp;R$83&amp;R$1&amp;"P"&amp;$A91))</f>
        <v>0</v>
      </c>
      <c r="S91" s="56">
        <f ca="1">IF(RTD("tos.rtd",,$A$2,"."&amp;S$83&amp;S$1&amp;"C"&amp;$A91)="N/A",0,RTD("tos.rtd",,$A$2,"."&amp;S$83&amp;S$1&amp;"C"&amp;$A91))-IF(RTD("tos.rtd",,$A$2,"."&amp;S$83&amp;S$1&amp;"P"&amp;$A91)="N/A",0,RTD("tos.rtd",,$A$2,"."&amp;S$83&amp;S$1&amp;"P"&amp;$A91))</f>
        <v>0</v>
      </c>
      <c r="T91" s="56">
        <f ca="1">IF(RTD("tos.rtd",,$A$2,"."&amp;T$83&amp;T$1&amp;"C"&amp;$A91)="N/A",0,RTD("tos.rtd",,$A$2,"."&amp;T$83&amp;T$1&amp;"C"&amp;$A91))-IF(RTD("tos.rtd",,$A$2,"."&amp;T$83&amp;T$1&amp;"P"&amp;$A91)="N/A",0,RTD("tos.rtd",,$A$2,"."&amp;T$83&amp;T$1&amp;"P"&amp;$A91))</f>
        <v>0</v>
      </c>
      <c r="U91" s="56">
        <f ca="1">IF(RTD("tos.rtd",,$A$2,"."&amp;U$83&amp;U$1&amp;"C"&amp;$A91)="N/A",0,RTD("tos.rtd",,$A$2,"."&amp;U$83&amp;U$1&amp;"C"&amp;$A91))-IF(RTD("tos.rtd",,$A$2,"."&amp;U$83&amp;U$1&amp;"P"&amp;$A91)="N/A",0,RTD("tos.rtd",,$A$2,"."&amp;U$83&amp;U$1&amp;"P"&amp;$A91))</f>
        <v>0</v>
      </c>
      <c r="V91" s="56">
        <f ca="1">IF(RTD("tos.rtd",,$A$2,"."&amp;V$83&amp;V$1&amp;"C"&amp;$A91)="N/A",0,RTD("tos.rtd",,$A$2,"."&amp;V$83&amp;V$1&amp;"C"&amp;$A91))-IF(RTD("tos.rtd",,$A$2,"."&amp;V$83&amp;V$1&amp;"P"&amp;$A91)="N/A",0,RTD("tos.rtd",,$A$2,"."&amp;V$83&amp;V$1&amp;"P"&amp;$A91))</f>
        <v>0</v>
      </c>
      <c r="W91" s="56">
        <f ca="1">IF(RTD("tos.rtd",,$A$2,"."&amp;W$83&amp;W$1&amp;"C"&amp;$A91)="N/A",0,RTD("tos.rtd",,$A$2,"."&amp;W$83&amp;W$1&amp;"C"&amp;$A91))-IF(RTD("tos.rtd",,$A$2,"."&amp;W$83&amp;W$1&amp;"P"&amp;$A91)="N/A",0,RTD("tos.rtd",,$A$2,"."&amp;W$83&amp;W$1&amp;"P"&amp;$A91))</f>
        <v>0</v>
      </c>
      <c r="X91" s="56">
        <f ca="1">IF(RTD("tos.rtd",,$A$2,"."&amp;X$83&amp;X$1&amp;"C"&amp;$A91)="N/A",0,RTD("tos.rtd",,$A$2,"."&amp;X$83&amp;X$1&amp;"C"&amp;$A91))-IF(RTD("tos.rtd",,$A$2,"."&amp;X$83&amp;X$1&amp;"P"&amp;$A91)="N/A",0,RTD("tos.rtd",,$A$2,"."&amp;X$83&amp;X$1&amp;"P"&amp;$A91))</f>
        <v>0</v>
      </c>
      <c r="Y91" s="63">
        <f t="shared" ca="1" si="13"/>
        <v>6074</v>
      </c>
    </row>
    <row r="92" spans="1:25" x14ac:dyDescent="0.25">
      <c r="A92" s="58">
        <f>+Hoja1!A91</f>
        <v>6810</v>
      </c>
      <c r="B92" s="56">
        <f ca="1">IF(RTD("tos.rtd",,$A$2,"."&amp;B$83&amp;B$1&amp;"C"&amp;$A92)="N/A",0,RTD("tos.rtd",,$A$2,"."&amp;B$83&amp;B$1&amp;"C"&amp;$A92))-IF(RTD("tos.rtd",,$A$2,"."&amp;B$83&amp;B$1&amp;"P"&amp;$A92)="N/A",0,RTD("tos.rtd",,$A$2,"."&amp;B$83&amp;B$1&amp;"P"&amp;$A92))</f>
        <v>2053</v>
      </c>
      <c r="C92" s="56">
        <f ca="1">IF(RTD("tos.rtd",,$A$2,"."&amp;C$83&amp;C$1&amp;"C"&amp;$A92)="N/A",0,RTD("tos.rtd",,$A$2,"."&amp;C$83&amp;C$1&amp;"C"&amp;$A92))-IF(RTD("tos.rtd",,$A$2,"."&amp;C$83&amp;C$1&amp;"P"&amp;$A92)="N/A",0,RTD("tos.rtd",,$A$2,"."&amp;C$83&amp;C$1&amp;"P"&amp;$A92))</f>
        <v>606</v>
      </c>
      <c r="D92" s="56">
        <f ca="1">IF(RTD("tos.rtd",,$A$2,"."&amp;D$83&amp;D$1&amp;"C"&amp;$A92)="N/A",0,RTD("tos.rtd",,$A$2,"."&amp;D$83&amp;D$1&amp;"C"&amp;$A92))-IF(RTD("tos.rtd",,$A$2,"."&amp;D$83&amp;D$1&amp;"P"&amp;$A92)="N/A",0,RTD("tos.rtd",,$A$2,"."&amp;D$83&amp;D$1&amp;"P"&amp;$A92))</f>
        <v>440</v>
      </c>
      <c r="E92" s="56">
        <f ca="1">IF(RTD("tos.rtd",,$A$2,"."&amp;E$83&amp;E$1&amp;"C"&amp;$A92)="N/A",0,RTD("tos.rtd",,$A$2,"."&amp;E$83&amp;E$1&amp;"C"&amp;$A92))-IF(RTD("tos.rtd",,$A$2,"."&amp;E$83&amp;E$1&amp;"P"&amp;$A92)="N/A",0,RTD("tos.rtd",,$A$2,"."&amp;E$83&amp;E$1&amp;"P"&amp;$A92))</f>
        <v>327</v>
      </c>
      <c r="F92" s="56">
        <f ca="1">IF(RTD("tos.rtd",,$A$2,"."&amp;F$83&amp;F$1&amp;"C"&amp;$A92)="N/A",0,RTD("tos.rtd",,$A$2,"."&amp;F$83&amp;F$1&amp;"C"&amp;$A92))-IF(RTD("tos.rtd",,$A$2,"."&amp;F$83&amp;F$1&amp;"P"&amp;$A92)="N/A",0,RTD("tos.rtd",,$A$2,"."&amp;F$83&amp;F$1&amp;"P"&amp;$A92))</f>
        <v>0</v>
      </c>
      <c r="G92" s="56">
        <f ca="1">IF(RTD("tos.rtd",,$A$2,"."&amp;G$83&amp;G$1&amp;"C"&amp;$A92)="N/A",0,RTD("tos.rtd",,$A$2,"."&amp;G$83&amp;G$1&amp;"C"&amp;$A92))-IF(RTD("tos.rtd",,$A$2,"."&amp;G$83&amp;G$1&amp;"P"&amp;$A92)="N/A",0,RTD("tos.rtd",,$A$2,"."&amp;G$83&amp;G$1&amp;"P"&amp;$A92))</f>
        <v>0</v>
      </c>
      <c r="H92" s="56">
        <f ca="1">IF(RTD("tos.rtd",,$A$2,"."&amp;H$83&amp;H$1&amp;"C"&amp;$A92)="N/A",0,RTD("tos.rtd",,$A$2,"."&amp;H$83&amp;H$1&amp;"C"&amp;$A92))-IF(RTD("tos.rtd",,$A$2,"."&amp;H$83&amp;H$1&amp;"P"&amp;$A92)="N/A",0,RTD("tos.rtd",,$A$2,"."&amp;H$83&amp;H$1&amp;"P"&amp;$A92))</f>
        <v>159</v>
      </c>
      <c r="I92" s="56">
        <f ca="1">IF(RTD("tos.rtd",,$A$2,"."&amp;I$83&amp;I$1&amp;"C"&amp;$A92)="N/A",0,RTD("tos.rtd",,$A$2,"."&amp;I$83&amp;I$1&amp;"C"&amp;$A92))-IF(RTD("tos.rtd",,$A$2,"."&amp;I$83&amp;I$1&amp;"P"&amp;$A92)="N/A",0,RTD("tos.rtd",,$A$2,"."&amp;I$83&amp;I$1&amp;"P"&amp;$A92))</f>
        <v>32</v>
      </c>
      <c r="J92" s="56">
        <f ca="1">IF(RTD("tos.rtd",,$A$2,"."&amp;J$83&amp;J$1&amp;"C"&amp;$A92)="N/A",0,RTD("tos.rtd",,$A$2,"."&amp;J$83&amp;J$1&amp;"C"&amp;$A92))-IF(RTD("tos.rtd",,$A$2,"."&amp;J$83&amp;J$1&amp;"P"&amp;$A92)="N/A",0,RTD("tos.rtd",,$A$2,"."&amp;J$83&amp;J$1&amp;"P"&amp;$A92))</f>
        <v>2</v>
      </c>
      <c r="K92" s="56">
        <f ca="1">IF(RTD("tos.rtd",,$A$2,"."&amp;K$83&amp;K$1&amp;"C"&amp;$A92)="N/A",0,RTD("tos.rtd",,$A$2,"."&amp;K$83&amp;K$1&amp;"C"&amp;$A92))-IF(RTD("tos.rtd",,$A$2,"."&amp;K$83&amp;K$1&amp;"P"&amp;$A92)="N/A",0,RTD("tos.rtd",,$A$2,"."&amp;K$83&amp;K$1&amp;"P"&amp;$A92))</f>
        <v>-2</v>
      </c>
      <c r="L92" s="56">
        <f ca="1">IF(RTD("tos.rtd",,$A$2,"."&amp;L$83&amp;L$1&amp;"C"&amp;$A92)="N/A",0,RTD("tos.rtd",,$A$2,"."&amp;L$83&amp;L$1&amp;"C"&amp;$A92))-IF(RTD("tos.rtd",,$A$2,"."&amp;L$83&amp;L$1&amp;"P"&amp;$A92)="N/A",0,RTD("tos.rtd",,$A$2,"."&amp;L$83&amp;L$1&amp;"P"&amp;$A92))</f>
        <v>0</v>
      </c>
      <c r="M92" s="56">
        <f ca="1">IF(RTD("tos.rtd",,$A$2,"."&amp;M$83&amp;M$1&amp;"C"&amp;$A92)="N/A",0,RTD("tos.rtd",,$A$2,"."&amp;M$83&amp;M$1&amp;"C"&amp;$A92))-IF(RTD("tos.rtd",,$A$2,"."&amp;M$83&amp;M$1&amp;"P"&amp;$A92)="N/A",0,RTD("tos.rtd",,$A$2,"."&amp;M$83&amp;M$1&amp;"P"&amp;$A92))</f>
        <v>0</v>
      </c>
      <c r="N92" s="56">
        <f ca="1">IF(RTD("tos.rtd",,$A$2,"."&amp;N$83&amp;N$1&amp;"C"&amp;$A92)="N/A",0,RTD("tos.rtd",,$A$2,"."&amp;N$83&amp;N$1&amp;"C"&amp;$A92))-IF(RTD("tos.rtd",,$A$2,"."&amp;N$83&amp;N$1&amp;"P"&amp;$A92)="N/A",0,RTD("tos.rtd",,$A$2,"."&amp;N$83&amp;N$1&amp;"P"&amp;$A92))</f>
        <v>0</v>
      </c>
      <c r="O92" s="56">
        <f ca="1">IF(RTD("tos.rtd",,$A$2,"."&amp;O$83&amp;O$1&amp;"C"&amp;$A92)="N/A",0,RTD("tos.rtd",,$A$2,"."&amp;O$83&amp;O$1&amp;"C"&amp;$A92))-IF(RTD("tos.rtd",,$A$2,"."&amp;O$83&amp;O$1&amp;"P"&amp;$A92)="N/A",0,RTD("tos.rtd",,$A$2,"."&amp;O$83&amp;O$1&amp;"P"&amp;$A92))</f>
        <v>0</v>
      </c>
      <c r="P92" s="56">
        <f ca="1">IF(RTD("tos.rtd",,$A$2,"."&amp;P$83&amp;P$1&amp;"C"&amp;$A92)="N/A",0,RTD("tos.rtd",,$A$2,"."&amp;P$83&amp;P$1&amp;"C"&amp;$A92))-IF(RTD("tos.rtd",,$A$2,"."&amp;P$83&amp;P$1&amp;"P"&amp;$A92)="N/A",0,RTD("tos.rtd",,$A$2,"."&amp;P$83&amp;P$1&amp;"P"&amp;$A92))</f>
        <v>-2</v>
      </c>
      <c r="Q92" s="56">
        <f ca="1">IF(RTD("tos.rtd",,$A$2,"."&amp;Q$83&amp;Q$1&amp;"C"&amp;$A92)="N/A",0,RTD("tos.rtd",,$A$2,"."&amp;Q$83&amp;Q$1&amp;"C"&amp;$A92))-IF(RTD("tos.rtd",,$A$2,"."&amp;Q$83&amp;Q$1&amp;"P"&amp;$A92)="N/A",0,RTD("tos.rtd",,$A$2,"."&amp;Q$83&amp;Q$1&amp;"P"&amp;$A92))</f>
        <v>0</v>
      </c>
      <c r="R92" s="56">
        <f ca="1">IF(RTD("tos.rtd",,$A$2,"."&amp;R$83&amp;R$1&amp;"C"&amp;$A92)="N/A",0,RTD("tos.rtd",,$A$2,"."&amp;R$83&amp;R$1&amp;"C"&amp;$A92))-IF(RTD("tos.rtd",,$A$2,"."&amp;R$83&amp;R$1&amp;"P"&amp;$A92)="N/A",0,RTD("tos.rtd",,$A$2,"."&amp;R$83&amp;R$1&amp;"P"&amp;$A92))</f>
        <v>0</v>
      </c>
      <c r="S92" s="56">
        <f ca="1">IF(RTD("tos.rtd",,$A$2,"."&amp;S$83&amp;S$1&amp;"C"&amp;$A92)="N/A",0,RTD("tos.rtd",,$A$2,"."&amp;S$83&amp;S$1&amp;"C"&amp;$A92))-IF(RTD("tos.rtd",,$A$2,"."&amp;S$83&amp;S$1&amp;"P"&amp;$A92)="N/A",0,RTD("tos.rtd",,$A$2,"."&amp;S$83&amp;S$1&amp;"P"&amp;$A92))</f>
        <v>0</v>
      </c>
      <c r="T92" s="56">
        <f ca="1">IF(RTD("tos.rtd",,$A$2,"."&amp;T$83&amp;T$1&amp;"C"&amp;$A92)="N/A",0,RTD("tos.rtd",,$A$2,"."&amp;T$83&amp;T$1&amp;"C"&amp;$A92))-IF(RTD("tos.rtd",,$A$2,"."&amp;T$83&amp;T$1&amp;"P"&amp;$A92)="N/A",0,RTD("tos.rtd",,$A$2,"."&amp;T$83&amp;T$1&amp;"P"&amp;$A92))</f>
        <v>0</v>
      </c>
      <c r="U92" s="56">
        <f ca="1">IF(RTD("tos.rtd",,$A$2,"."&amp;U$83&amp;U$1&amp;"C"&amp;$A92)="N/A",0,RTD("tos.rtd",,$A$2,"."&amp;U$83&amp;U$1&amp;"C"&amp;$A92))-IF(RTD("tos.rtd",,$A$2,"."&amp;U$83&amp;U$1&amp;"P"&amp;$A92)="N/A",0,RTD("tos.rtd",,$A$2,"."&amp;U$83&amp;U$1&amp;"P"&amp;$A92))</f>
        <v>0</v>
      </c>
      <c r="V92" s="56">
        <f ca="1">IF(RTD("tos.rtd",,$A$2,"."&amp;V$83&amp;V$1&amp;"C"&amp;$A92)="N/A",0,RTD("tos.rtd",,$A$2,"."&amp;V$83&amp;V$1&amp;"C"&amp;$A92))-IF(RTD("tos.rtd",,$A$2,"."&amp;V$83&amp;V$1&amp;"P"&amp;$A92)="N/A",0,RTD("tos.rtd",,$A$2,"."&amp;V$83&amp;V$1&amp;"P"&amp;$A92))</f>
        <v>0</v>
      </c>
      <c r="W92" s="56">
        <f ca="1">IF(RTD("tos.rtd",,$A$2,"."&amp;W$83&amp;W$1&amp;"C"&amp;$A92)="N/A",0,RTD("tos.rtd",,$A$2,"."&amp;W$83&amp;W$1&amp;"C"&amp;$A92))-IF(RTD("tos.rtd",,$A$2,"."&amp;W$83&amp;W$1&amp;"P"&amp;$A92)="N/A",0,RTD("tos.rtd",,$A$2,"."&amp;W$83&amp;W$1&amp;"P"&amp;$A92))</f>
        <v>0</v>
      </c>
      <c r="X92" s="56">
        <f ca="1">IF(RTD("tos.rtd",,$A$2,"."&amp;X$83&amp;X$1&amp;"C"&amp;$A92)="N/A",0,RTD("tos.rtd",,$A$2,"."&amp;X$83&amp;X$1&amp;"C"&amp;$A92))-IF(RTD("tos.rtd",,$A$2,"."&amp;X$83&amp;X$1&amp;"P"&amp;$A92)="N/A",0,RTD("tos.rtd",,$A$2,"."&amp;X$83&amp;X$1&amp;"P"&amp;$A92))</f>
        <v>0</v>
      </c>
      <c r="Y92" s="63">
        <f t="shared" ca="1" si="13"/>
        <v>3615</v>
      </c>
    </row>
    <row r="93" spans="1:25" x14ac:dyDescent="0.25">
      <c r="A93" s="58">
        <f>+Hoja1!A92</f>
        <v>6805</v>
      </c>
      <c r="B93" s="56">
        <f ca="1">IF(RTD("tos.rtd",,$A$2,"."&amp;B$83&amp;B$1&amp;"C"&amp;$A93)="N/A",0,RTD("tos.rtd",,$A$2,"."&amp;B$83&amp;B$1&amp;"C"&amp;$A93))-IF(RTD("tos.rtd",,$A$2,"."&amp;B$83&amp;B$1&amp;"P"&amp;$A93)="N/A",0,RTD("tos.rtd",,$A$2,"."&amp;B$83&amp;B$1&amp;"P"&amp;$A93))</f>
        <v>2735</v>
      </c>
      <c r="C93" s="56">
        <f ca="1">IF(RTD("tos.rtd",,$A$2,"."&amp;C$83&amp;C$1&amp;"C"&amp;$A93)="N/A",0,RTD("tos.rtd",,$A$2,"."&amp;C$83&amp;C$1&amp;"C"&amp;$A93))-IF(RTD("tos.rtd",,$A$2,"."&amp;C$83&amp;C$1&amp;"P"&amp;$A93)="N/A",0,RTD("tos.rtd",,$A$2,"."&amp;C$83&amp;C$1&amp;"P"&amp;$A93))</f>
        <v>638</v>
      </c>
      <c r="D93" s="56">
        <f ca="1">IF(RTD("tos.rtd",,$A$2,"."&amp;D$83&amp;D$1&amp;"C"&amp;$A93)="N/A",0,RTD("tos.rtd",,$A$2,"."&amp;D$83&amp;D$1&amp;"C"&amp;$A93))-IF(RTD("tos.rtd",,$A$2,"."&amp;D$83&amp;D$1&amp;"P"&amp;$A93)="N/A",0,RTD("tos.rtd",,$A$2,"."&amp;D$83&amp;D$1&amp;"P"&amp;$A93))</f>
        <v>1213</v>
      </c>
      <c r="E93" s="56">
        <f ca="1">IF(RTD("tos.rtd",,$A$2,"."&amp;E$83&amp;E$1&amp;"C"&amp;$A93)="N/A",0,RTD("tos.rtd",,$A$2,"."&amp;E$83&amp;E$1&amp;"C"&amp;$A93))-IF(RTD("tos.rtd",,$A$2,"."&amp;E$83&amp;E$1&amp;"P"&amp;$A93)="N/A",0,RTD("tos.rtd",,$A$2,"."&amp;E$83&amp;E$1&amp;"P"&amp;$A93))</f>
        <v>39</v>
      </c>
      <c r="F93" s="56">
        <f ca="1">IF(RTD("tos.rtd",,$A$2,"."&amp;F$83&amp;F$1&amp;"C"&amp;$A93)="N/A",0,RTD("tos.rtd",,$A$2,"."&amp;F$83&amp;F$1&amp;"C"&amp;$A93))-IF(RTD("tos.rtd",,$A$2,"."&amp;F$83&amp;F$1&amp;"P"&amp;$A93)="N/A",0,RTD("tos.rtd",,$A$2,"."&amp;F$83&amp;F$1&amp;"P"&amp;$A93))</f>
        <v>0</v>
      </c>
      <c r="G93" s="56">
        <f ca="1">IF(RTD("tos.rtd",,$A$2,"."&amp;G$83&amp;G$1&amp;"C"&amp;$A93)="N/A",0,RTD("tos.rtd",,$A$2,"."&amp;G$83&amp;G$1&amp;"C"&amp;$A93))-IF(RTD("tos.rtd",,$A$2,"."&amp;G$83&amp;G$1&amp;"P"&amp;$A93)="N/A",0,RTD("tos.rtd",,$A$2,"."&amp;G$83&amp;G$1&amp;"P"&amp;$A93))</f>
        <v>0</v>
      </c>
      <c r="H93" s="56">
        <f ca="1">IF(RTD("tos.rtd",,$A$2,"."&amp;H$83&amp;H$1&amp;"C"&amp;$A93)="N/A",0,RTD("tos.rtd",,$A$2,"."&amp;H$83&amp;H$1&amp;"C"&amp;$A93))-IF(RTD("tos.rtd",,$A$2,"."&amp;H$83&amp;H$1&amp;"P"&amp;$A93)="N/A",0,RTD("tos.rtd",,$A$2,"."&amp;H$83&amp;H$1&amp;"P"&amp;$A93))</f>
        <v>53</v>
      </c>
      <c r="I93" s="56">
        <f ca="1">IF(RTD("tos.rtd",,$A$2,"."&amp;I$83&amp;I$1&amp;"C"&amp;$A93)="N/A",0,RTD("tos.rtd",,$A$2,"."&amp;I$83&amp;I$1&amp;"C"&amp;$A93))-IF(RTD("tos.rtd",,$A$2,"."&amp;I$83&amp;I$1&amp;"P"&amp;$A93)="N/A",0,RTD("tos.rtd",,$A$2,"."&amp;I$83&amp;I$1&amp;"P"&amp;$A93))</f>
        <v>20</v>
      </c>
      <c r="J93" s="56">
        <f ca="1">IF(RTD("tos.rtd",,$A$2,"."&amp;J$83&amp;J$1&amp;"C"&amp;$A93)="N/A",0,RTD("tos.rtd",,$A$2,"."&amp;J$83&amp;J$1&amp;"C"&amp;$A93))-IF(RTD("tos.rtd",,$A$2,"."&amp;J$83&amp;J$1&amp;"P"&amp;$A93)="N/A",0,RTD("tos.rtd",,$A$2,"."&amp;J$83&amp;J$1&amp;"P"&amp;$A93))</f>
        <v>0</v>
      </c>
      <c r="K93" s="56">
        <f ca="1">IF(RTD("tos.rtd",,$A$2,"."&amp;K$83&amp;K$1&amp;"C"&amp;$A93)="N/A",0,RTD("tos.rtd",,$A$2,"."&amp;K$83&amp;K$1&amp;"C"&amp;$A93))-IF(RTD("tos.rtd",,$A$2,"."&amp;K$83&amp;K$1&amp;"P"&amp;$A93)="N/A",0,RTD("tos.rtd",,$A$2,"."&amp;K$83&amp;K$1&amp;"P"&amp;$A93))</f>
        <v>7</v>
      </c>
      <c r="L93" s="56">
        <f ca="1">IF(RTD("tos.rtd",,$A$2,"."&amp;L$83&amp;L$1&amp;"C"&amp;$A93)="N/A",0,RTD("tos.rtd",,$A$2,"."&amp;L$83&amp;L$1&amp;"C"&amp;$A93))-IF(RTD("tos.rtd",,$A$2,"."&amp;L$83&amp;L$1&amp;"P"&amp;$A93)="N/A",0,RTD("tos.rtd",,$A$2,"."&amp;L$83&amp;L$1&amp;"P"&amp;$A93))</f>
        <v>0</v>
      </c>
      <c r="M93" s="56">
        <f ca="1">IF(RTD("tos.rtd",,$A$2,"."&amp;M$83&amp;M$1&amp;"C"&amp;$A93)="N/A",0,RTD("tos.rtd",,$A$2,"."&amp;M$83&amp;M$1&amp;"C"&amp;$A93))-IF(RTD("tos.rtd",,$A$2,"."&amp;M$83&amp;M$1&amp;"P"&amp;$A93)="N/A",0,RTD("tos.rtd",,$A$2,"."&amp;M$83&amp;M$1&amp;"P"&amp;$A93))</f>
        <v>0</v>
      </c>
      <c r="N93" s="56">
        <f ca="1">IF(RTD("tos.rtd",,$A$2,"."&amp;N$83&amp;N$1&amp;"C"&amp;$A93)="N/A",0,RTD("tos.rtd",,$A$2,"."&amp;N$83&amp;N$1&amp;"C"&amp;$A93))-IF(RTD("tos.rtd",,$A$2,"."&amp;N$83&amp;N$1&amp;"P"&amp;$A93)="N/A",0,RTD("tos.rtd",,$A$2,"."&amp;N$83&amp;N$1&amp;"P"&amp;$A93))</f>
        <v>0</v>
      </c>
      <c r="O93" s="56">
        <f ca="1">IF(RTD("tos.rtd",,$A$2,"."&amp;O$83&amp;O$1&amp;"C"&amp;$A93)="N/A",0,RTD("tos.rtd",,$A$2,"."&amp;O$83&amp;O$1&amp;"C"&amp;$A93))-IF(RTD("tos.rtd",,$A$2,"."&amp;O$83&amp;O$1&amp;"P"&amp;$A93)="N/A",0,RTD("tos.rtd",,$A$2,"."&amp;O$83&amp;O$1&amp;"P"&amp;$A93))</f>
        <v>0</v>
      </c>
      <c r="P93" s="56">
        <f ca="1">IF(RTD("tos.rtd",,$A$2,"."&amp;P$83&amp;P$1&amp;"C"&amp;$A93)="N/A",0,RTD("tos.rtd",,$A$2,"."&amp;P$83&amp;P$1&amp;"C"&amp;$A93))-IF(RTD("tos.rtd",,$A$2,"."&amp;P$83&amp;P$1&amp;"P"&amp;$A93)="N/A",0,RTD("tos.rtd",,$A$2,"."&amp;P$83&amp;P$1&amp;"P"&amp;$A93))</f>
        <v>0</v>
      </c>
      <c r="Q93" s="56">
        <f ca="1">IF(RTD("tos.rtd",,$A$2,"."&amp;Q$83&amp;Q$1&amp;"C"&amp;$A93)="N/A",0,RTD("tos.rtd",,$A$2,"."&amp;Q$83&amp;Q$1&amp;"C"&amp;$A93))-IF(RTD("tos.rtd",,$A$2,"."&amp;Q$83&amp;Q$1&amp;"P"&amp;$A93)="N/A",0,RTD("tos.rtd",,$A$2,"."&amp;Q$83&amp;Q$1&amp;"P"&amp;$A93))</f>
        <v>0</v>
      </c>
      <c r="R93" s="56">
        <f ca="1">IF(RTD("tos.rtd",,$A$2,"."&amp;R$83&amp;R$1&amp;"C"&amp;$A93)="N/A",0,RTD("tos.rtd",,$A$2,"."&amp;R$83&amp;R$1&amp;"C"&amp;$A93))-IF(RTD("tos.rtd",,$A$2,"."&amp;R$83&amp;R$1&amp;"P"&amp;$A93)="N/A",0,RTD("tos.rtd",,$A$2,"."&amp;R$83&amp;R$1&amp;"P"&amp;$A93))</f>
        <v>0</v>
      </c>
      <c r="S93" s="56">
        <f ca="1">IF(RTD("tos.rtd",,$A$2,"."&amp;S$83&amp;S$1&amp;"C"&amp;$A93)="N/A",0,RTD("tos.rtd",,$A$2,"."&amp;S$83&amp;S$1&amp;"C"&amp;$A93))-IF(RTD("tos.rtd",,$A$2,"."&amp;S$83&amp;S$1&amp;"P"&amp;$A93)="N/A",0,RTD("tos.rtd",,$A$2,"."&amp;S$83&amp;S$1&amp;"P"&amp;$A93))</f>
        <v>0</v>
      </c>
      <c r="T93" s="56">
        <f ca="1">IF(RTD("tos.rtd",,$A$2,"."&amp;T$83&amp;T$1&amp;"C"&amp;$A93)="N/A",0,RTD("tos.rtd",,$A$2,"."&amp;T$83&amp;T$1&amp;"C"&amp;$A93))-IF(RTD("tos.rtd",,$A$2,"."&amp;T$83&amp;T$1&amp;"P"&amp;$A93)="N/A",0,RTD("tos.rtd",,$A$2,"."&amp;T$83&amp;T$1&amp;"P"&amp;$A93))</f>
        <v>0</v>
      </c>
      <c r="U93" s="56">
        <f ca="1">IF(RTD("tos.rtd",,$A$2,"."&amp;U$83&amp;U$1&amp;"C"&amp;$A93)="N/A",0,RTD("tos.rtd",,$A$2,"."&amp;U$83&amp;U$1&amp;"C"&amp;$A93))-IF(RTD("tos.rtd",,$A$2,"."&amp;U$83&amp;U$1&amp;"P"&amp;$A93)="N/A",0,RTD("tos.rtd",,$A$2,"."&amp;U$83&amp;U$1&amp;"P"&amp;$A93))</f>
        <v>0</v>
      </c>
      <c r="V93" s="56">
        <f ca="1">IF(RTD("tos.rtd",,$A$2,"."&amp;V$83&amp;V$1&amp;"C"&amp;$A93)="N/A",0,RTD("tos.rtd",,$A$2,"."&amp;V$83&amp;V$1&amp;"C"&amp;$A93))-IF(RTD("tos.rtd",,$A$2,"."&amp;V$83&amp;V$1&amp;"P"&amp;$A93)="N/A",0,RTD("tos.rtd",,$A$2,"."&amp;V$83&amp;V$1&amp;"P"&amp;$A93))</f>
        <v>0</v>
      </c>
      <c r="W93" s="56">
        <f ca="1">IF(RTD("tos.rtd",,$A$2,"."&amp;W$83&amp;W$1&amp;"C"&amp;$A93)="N/A",0,RTD("tos.rtd",,$A$2,"."&amp;W$83&amp;W$1&amp;"C"&amp;$A93))-IF(RTD("tos.rtd",,$A$2,"."&amp;W$83&amp;W$1&amp;"P"&amp;$A93)="N/A",0,RTD("tos.rtd",,$A$2,"."&amp;W$83&amp;W$1&amp;"P"&amp;$A93))</f>
        <v>0</v>
      </c>
      <c r="X93" s="56">
        <f ca="1">IF(RTD("tos.rtd",,$A$2,"."&amp;X$83&amp;X$1&amp;"C"&amp;$A93)="N/A",0,RTD("tos.rtd",,$A$2,"."&amp;X$83&amp;X$1&amp;"C"&amp;$A93))-IF(RTD("tos.rtd",,$A$2,"."&amp;X$83&amp;X$1&amp;"P"&amp;$A93)="N/A",0,RTD("tos.rtd",,$A$2,"."&amp;X$83&amp;X$1&amp;"P"&amp;$A93))</f>
        <v>0</v>
      </c>
      <c r="Y93" s="63">
        <f t="shared" ca="1" si="13"/>
        <v>4705</v>
      </c>
    </row>
    <row r="94" spans="1:25" x14ac:dyDescent="0.25">
      <c r="A94" s="58">
        <f>+Hoja1!A93</f>
        <v>6800</v>
      </c>
      <c r="B94" s="56">
        <f ca="1">IF(RTD("tos.rtd",,$A$2,"."&amp;B$83&amp;B$1&amp;"C"&amp;$A94)="N/A",0,RTD("tos.rtd",,$A$2,"."&amp;B$83&amp;B$1&amp;"C"&amp;$A94))-IF(RTD("tos.rtd",,$A$2,"."&amp;B$83&amp;B$1&amp;"P"&amp;$A94)="N/A",0,RTD("tos.rtd",,$A$2,"."&amp;B$83&amp;B$1&amp;"P"&amp;$A94))</f>
        <v>9945</v>
      </c>
      <c r="C94" s="56">
        <f ca="1">IF(RTD("tos.rtd",,$A$2,"."&amp;C$83&amp;C$1&amp;"C"&amp;$A94)="N/A",0,RTD("tos.rtd",,$A$2,"."&amp;C$83&amp;C$1&amp;"C"&amp;$A94))-IF(RTD("tos.rtd",,$A$2,"."&amp;C$83&amp;C$1&amp;"P"&amp;$A94)="N/A",0,RTD("tos.rtd",,$A$2,"."&amp;C$83&amp;C$1&amp;"P"&amp;$A94))</f>
        <v>2089</v>
      </c>
      <c r="D94" s="56">
        <f ca="1">IF(RTD("tos.rtd",,$A$2,"."&amp;D$83&amp;D$1&amp;"C"&amp;$A94)="N/A",0,RTD("tos.rtd",,$A$2,"."&amp;D$83&amp;D$1&amp;"C"&amp;$A94))-IF(RTD("tos.rtd",,$A$2,"."&amp;D$83&amp;D$1&amp;"P"&amp;$A94)="N/A",0,RTD("tos.rtd",,$A$2,"."&amp;D$83&amp;D$1&amp;"P"&amp;$A94))</f>
        <v>5971</v>
      </c>
      <c r="E94" s="56">
        <f ca="1">IF(RTD("tos.rtd",,$A$2,"."&amp;E$83&amp;E$1&amp;"C"&amp;$A94)="N/A",0,RTD("tos.rtd",,$A$2,"."&amp;E$83&amp;E$1&amp;"C"&amp;$A94))-IF(RTD("tos.rtd",,$A$2,"."&amp;E$83&amp;E$1&amp;"P"&amp;$A94)="N/A",0,RTD("tos.rtd",,$A$2,"."&amp;E$83&amp;E$1&amp;"P"&amp;$A94))</f>
        <v>248</v>
      </c>
      <c r="F94" s="56">
        <f ca="1">IF(RTD("tos.rtd",,$A$2,"."&amp;F$83&amp;F$1&amp;"C"&amp;$A94)="N/A",0,RTD("tos.rtd",,$A$2,"."&amp;F$83&amp;F$1&amp;"C"&amp;$A94))-IF(RTD("tos.rtd",,$A$2,"."&amp;F$83&amp;F$1&amp;"P"&amp;$A94)="N/A",0,RTD("tos.rtd",,$A$2,"."&amp;F$83&amp;F$1&amp;"P"&amp;$A94))</f>
        <v>0</v>
      </c>
      <c r="G94" s="56">
        <f ca="1">IF(RTD("tos.rtd",,$A$2,"."&amp;G$83&amp;G$1&amp;"C"&amp;$A94)="N/A",0,RTD("tos.rtd",,$A$2,"."&amp;G$83&amp;G$1&amp;"C"&amp;$A94))-IF(RTD("tos.rtd",,$A$2,"."&amp;G$83&amp;G$1&amp;"P"&amp;$A94)="N/A",0,RTD("tos.rtd",,$A$2,"."&amp;G$83&amp;G$1&amp;"P"&amp;$A94))</f>
        <v>0</v>
      </c>
      <c r="H94" s="56">
        <f ca="1">IF(RTD("tos.rtd",,$A$2,"."&amp;H$83&amp;H$1&amp;"C"&amp;$A94)="N/A",0,RTD("tos.rtd",,$A$2,"."&amp;H$83&amp;H$1&amp;"C"&amp;$A94))-IF(RTD("tos.rtd",,$A$2,"."&amp;H$83&amp;H$1&amp;"P"&amp;$A94)="N/A",0,RTD("tos.rtd",,$A$2,"."&amp;H$83&amp;H$1&amp;"P"&amp;$A94))</f>
        <v>-828</v>
      </c>
      <c r="I94" s="56">
        <f ca="1">IF(RTD("tos.rtd",,$A$2,"."&amp;I$83&amp;I$1&amp;"C"&amp;$A94)="N/A",0,RTD("tos.rtd",,$A$2,"."&amp;I$83&amp;I$1&amp;"C"&amp;$A94))-IF(RTD("tos.rtd",,$A$2,"."&amp;I$83&amp;I$1&amp;"P"&amp;$A94)="N/A",0,RTD("tos.rtd",,$A$2,"."&amp;I$83&amp;I$1&amp;"P"&amp;$A94))</f>
        <v>128</v>
      </c>
      <c r="J94" s="56">
        <f ca="1">IF(RTD("tos.rtd",,$A$2,"."&amp;J$83&amp;J$1&amp;"C"&amp;$A94)="N/A",0,RTD("tos.rtd",,$A$2,"."&amp;J$83&amp;J$1&amp;"C"&amp;$A94))-IF(RTD("tos.rtd",,$A$2,"."&amp;J$83&amp;J$1&amp;"P"&amp;$A94)="N/A",0,RTD("tos.rtd",,$A$2,"."&amp;J$83&amp;J$1&amp;"P"&amp;$A94))</f>
        <v>53</v>
      </c>
      <c r="K94" s="56">
        <f ca="1">IF(RTD("tos.rtd",,$A$2,"."&amp;K$83&amp;K$1&amp;"C"&amp;$A94)="N/A",0,RTD("tos.rtd",,$A$2,"."&amp;K$83&amp;K$1&amp;"C"&amp;$A94))-IF(RTD("tos.rtd",,$A$2,"."&amp;K$83&amp;K$1&amp;"P"&amp;$A94)="N/A",0,RTD("tos.rtd",,$A$2,"."&amp;K$83&amp;K$1&amp;"P"&amp;$A94))</f>
        <v>38</v>
      </c>
      <c r="L94" s="56">
        <f ca="1">IF(RTD("tos.rtd",,$A$2,"."&amp;L$83&amp;L$1&amp;"C"&amp;$A94)="N/A",0,RTD("tos.rtd",,$A$2,"."&amp;L$83&amp;L$1&amp;"C"&amp;$A94))-IF(RTD("tos.rtd",,$A$2,"."&amp;L$83&amp;L$1&amp;"P"&amp;$A94)="N/A",0,RTD("tos.rtd",,$A$2,"."&amp;L$83&amp;L$1&amp;"P"&amp;$A94))</f>
        <v>0</v>
      </c>
      <c r="M94" s="56">
        <f ca="1">IF(RTD("tos.rtd",,$A$2,"."&amp;M$83&amp;M$1&amp;"C"&amp;$A94)="N/A",0,RTD("tos.rtd",,$A$2,"."&amp;M$83&amp;M$1&amp;"C"&amp;$A94))-IF(RTD("tos.rtd",,$A$2,"."&amp;M$83&amp;M$1&amp;"P"&amp;$A94)="N/A",0,RTD("tos.rtd",,$A$2,"."&amp;M$83&amp;M$1&amp;"P"&amp;$A94))</f>
        <v>0</v>
      </c>
      <c r="N94" s="56">
        <f ca="1">IF(RTD("tos.rtd",,$A$2,"."&amp;N$83&amp;N$1&amp;"C"&amp;$A94)="N/A",0,RTD("tos.rtd",,$A$2,"."&amp;N$83&amp;N$1&amp;"C"&amp;$A94))-IF(RTD("tos.rtd",,$A$2,"."&amp;N$83&amp;N$1&amp;"P"&amp;$A94)="N/A",0,RTD("tos.rtd",,$A$2,"."&amp;N$83&amp;N$1&amp;"P"&amp;$A94))</f>
        <v>0</v>
      </c>
      <c r="O94" s="56">
        <f ca="1">IF(RTD("tos.rtd",,$A$2,"."&amp;O$83&amp;O$1&amp;"C"&amp;$A94)="N/A",0,RTD("tos.rtd",,$A$2,"."&amp;O$83&amp;O$1&amp;"C"&amp;$A94))-IF(RTD("tos.rtd",,$A$2,"."&amp;O$83&amp;O$1&amp;"P"&amp;$A94)="N/A",0,RTD("tos.rtd",,$A$2,"."&amp;O$83&amp;O$1&amp;"P"&amp;$A94))</f>
        <v>0</v>
      </c>
      <c r="P94" s="56">
        <f ca="1">IF(RTD("tos.rtd",,$A$2,"."&amp;P$83&amp;P$1&amp;"C"&amp;$A94)="N/A",0,RTD("tos.rtd",,$A$2,"."&amp;P$83&amp;P$1&amp;"C"&amp;$A94))-IF(RTD("tos.rtd",,$A$2,"."&amp;P$83&amp;P$1&amp;"P"&amp;$A94)="N/A",0,RTD("tos.rtd",,$A$2,"."&amp;P$83&amp;P$1&amp;"P"&amp;$A94))</f>
        <v>5</v>
      </c>
      <c r="Q94" s="56">
        <f ca="1">IF(RTD("tos.rtd",,$A$2,"."&amp;Q$83&amp;Q$1&amp;"C"&amp;$A94)="N/A",0,RTD("tos.rtd",,$A$2,"."&amp;Q$83&amp;Q$1&amp;"C"&amp;$A94))-IF(RTD("tos.rtd",,$A$2,"."&amp;Q$83&amp;Q$1&amp;"P"&amp;$A94)="N/A",0,RTD("tos.rtd",,$A$2,"."&amp;Q$83&amp;Q$1&amp;"P"&amp;$A94))</f>
        <v>0</v>
      </c>
      <c r="R94" s="56">
        <f ca="1">IF(RTD("tos.rtd",,$A$2,"."&amp;R$83&amp;R$1&amp;"C"&amp;$A94)="N/A",0,RTD("tos.rtd",,$A$2,"."&amp;R$83&amp;R$1&amp;"C"&amp;$A94))-IF(RTD("tos.rtd",,$A$2,"."&amp;R$83&amp;R$1&amp;"P"&amp;$A94)="N/A",0,RTD("tos.rtd",,$A$2,"."&amp;R$83&amp;R$1&amp;"P"&amp;$A94))</f>
        <v>0</v>
      </c>
      <c r="S94" s="56">
        <f ca="1">IF(RTD("tos.rtd",,$A$2,"."&amp;S$83&amp;S$1&amp;"C"&amp;$A94)="N/A",0,RTD("tos.rtd",,$A$2,"."&amp;S$83&amp;S$1&amp;"C"&amp;$A94))-IF(RTD("tos.rtd",,$A$2,"."&amp;S$83&amp;S$1&amp;"P"&amp;$A94)="N/A",0,RTD("tos.rtd",,$A$2,"."&amp;S$83&amp;S$1&amp;"P"&amp;$A94))</f>
        <v>0</v>
      </c>
      <c r="T94" s="56">
        <f ca="1">IF(RTD("tos.rtd",,$A$2,"."&amp;T$83&amp;T$1&amp;"C"&amp;$A94)="N/A",0,RTD("tos.rtd",,$A$2,"."&amp;T$83&amp;T$1&amp;"C"&amp;$A94))-IF(RTD("tos.rtd",,$A$2,"."&amp;T$83&amp;T$1&amp;"P"&amp;$A94)="N/A",0,RTD("tos.rtd",,$A$2,"."&amp;T$83&amp;T$1&amp;"P"&amp;$A94))</f>
        <v>0</v>
      </c>
      <c r="U94" s="56">
        <f ca="1">IF(RTD("tos.rtd",,$A$2,"."&amp;U$83&amp;U$1&amp;"C"&amp;$A94)="N/A",0,RTD("tos.rtd",,$A$2,"."&amp;U$83&amp;U$1&amp;"C"&amp;$A94))-IF(RTD("tos.rtd",,$A$2,"."&amp;U$83&amp;U$1&amp;"P"&amp;$A94)="N/A",0,RTD("tos.rtd",,$A$2,"."&amp;U$83&amp;U$1&amp;"P"&amp;$A94))</f>
        <v>0</v>
      </c>
      <c r="V94" s="56">
        <f ca="1">IF(RTD("tos.rtd",,$A$2,"."&amp;V$83&amp;V$1&amp;"C"&amp;$A94)="N/A",0,RTD("tos.rtd",,$A$2,"."&amp;V$83&amp;V$1&amp;"C"&amp;$A94))-IF(RTD("tos.rtd",,$A$2,"."&amp;V$83&amp;V$1&amp;"P"&amp;$A94)="N/A",0,RTD("tos.rtd",,$A$2,"."&amp;V$83&amp;V$1&amp;"P"&amp;$A94))</f>
        <v>0</v>
      </c>
      <c r="W94" s="56">
        <f ca="1">IF(RTD("tos.rtd",,$A$2,"."&amp;W$83&amp;W$1&amp;"C"&amp;$A94)="N/A",0,RTD("tos.rtd",,$A$2,"."&amp;W$83&amp;W$1&amp;"C"&amp;$A94))-IF(RTD("tos.rtd",,$A$2,"."&amp;W$83&amp;W$1&amp;"P"&amp;$A94)="N/A",0,RTD("tos.rtd",,$A$2,"."&amp;W$83&amp;W$1&amp;"P"&amp;$A94))</f>
        <v>0</v>
      </c>
      <c r="X94" s="56">
        <f ca="1">IF(RTD("tos.rtd",,$A$2,"."&amp;X$83&amp;X$1&amp;"C"&amp;$A94)="N/A",0,RTD("tos.rtd",,$A$2,"."&amp;X$83&amp;X$1&amp;"C"&amp;$A94))-IF(RTD("tos.rtd",,$A$2,"."&amp;X$83&amp;X$1&amp;"P"&amp;$A94)="N/A",0,RTD("tos.rtd",,$A$2,"."&amp;X$83&amp;X$1&amp;"P"&amp;$A94))</f>
        <v>0</v>
      </c>
      <c r="Y94" s="63">
        <f t="shared" ca="1" si="13"/>
        <v>17649</v>
      </c>
    </row>
    <row r="95" spans="1:25" x14ac:dyDescent="0.25">
      <c r="A95" s="58">
        <f>+Hoja1!A94</f>
        <v>6795</v>
      </c>
      <c r="B95" s="56">
        <f ca="1">IF(RTD("tos.rtd",,$A$2,"."&amp;B$83&amp;B$1&amp;"C"&amp;$A95)="N/A",0,RTD("tos.rtd",,$A$2,"."&amp;B$83&amp;B$1&amp;"C"&amp;$A95))-IF(RTD("tos.rtd",,$A$2,"."&amp;B$83&amp;B$1&amp;"P"&amp;$A95)="N/A",0,RTD("tos.rtd",,$A$2,"."&amp;B$83&amp;B$1&amp;"P"&amp;$A95))</f>
        <v>1735</v>
      </c>
      <c r="C95" s="56">
        <f ca="1">IF(RTD("tos.rtd",,$A$2,"."&amp;C$83&amp;C$1&amp;"C"&amp;$A95)="N/A",0,RTD("tos.rtd",,$A$2,"."&amp;C$83&amp;C$1&amp;"C"&amp;$A95))-IF(RTD("tos.rtd",,$A$2,"."&amp;C$83&amp;C$1&amp;"P"&amp;$A95)="N/A",0,RTD("tos.rtd",,$A$2,"."&amp;C$83&amp;C$1&amp;"P"&amp;$A95))</f>
        <v>335</v>
      </c>
      <c r="D95" s="56">
        <f ca="1">IF(RTD("tos.rtd",,$A$2,"."&amp;D$83&amp;D$1&amp;"C"&amp;$A95)="N/A",0,RTD("tos.rtd",,$A$2,"."&amp;D$83&amp;D$1&amp;"C"&amp;$A95))-IF(RTD("tos.rtd",,$A$2,"."&amp;D$83&amp;D$1&amp;"P"&amp;$A95)="N/A",0,RTD("tos.rtd",,$A$2,"."&amp;D$83&amp;D$1&amp;"P"&amp;$A95))</f>
        <v>-118</v>
      </c>
      <c r="E95" s="56">
        <f ca="1">IF(RTD("tos.rtd",,$A$2,"."&amp;E$83&amp;E$1&amp;"C"&amp;$A95)="N/A",0,RTD("tos.rtd",,$A$2,"."&amp;E$83&amp;E$1&amp;"C"&amp;$A95))-IF(RTD("tos.rtd",,$A$2,"."&amp;E$83&amp;E$1&amp;"P"&amp;$A95)="N/A",0,RTD("tos.rtd",,$A$2,"."&amp;E$83&amp;E$1&amp;"P"&amp;$A95))</f>
        <v>245</v>
      </c>
      <c r="F95" s="56">
        <f ca="1">IF(RTD("tos.rtd",,$A$2,"."&amp;F$83&amp;F$1&amp;"C"&amp;$A95)="N/A",0,RTD("tos.rtd",,$A$2,"."&amp;F$83&amp;F$1&amp;"C"&amp;$A95))-IF(RTD("tos.rtd",,$A$2,"."&amp;F$83&amp;F$1&amp;"P"&amp;$A95)="N/A",0,RTD("tos.rtd",,$A$2,"."&amp;F$83&amp;F$1&amp;"P"&amp;$A95))</f>
        <v>0</v>
      </c>
      <c r="G95" s="56">
        <f ca="1">IF(RTD("tos.rtd",,$A$2,"."&amp;G$83&amp;G$1&amp;"C"&amp;$A95)="N/A",0,RTD("tos.rtd",,$A$2,"."&amp;G$83&amp;G$1&amp;"C"&amp;$A95))-IF(RTD("tos.rtd",,$A$2,"."&amp;G$83&amp;G$1&amp;"P"&amp;$A95)="N/A",0,RTD("tos.rtd",,$A$2,"."&amp;G$83&amp;G$1&amp;"P"&amp;$A95))</f>
        <v>0</v>
      </c>
      <c r="H95" s="56">
        <f ca="1">IF(RTD("tos.rtd",,$A$2,"."&amp;H$83&amp;H$1&amp;"C"&amp;$A95)="N/A",0,RTD("tos.rtd",,$A$2,"."&amp;H$83&amp;H$1&amp;"C"&amp;$A95))-IF(RTD("tos.rtd",,$A$2,"."&amp;H$83&amp;H$1&amp;"P"&amp;$A95)="N/A",0,RTD("tos.rtd",,$A$2,"."&amp;H$83&amp;H$1&amp;"P"&amp;$A95))</f>
        <v>27</v>
      </c>
      <c r="I95" s="56">
        <f ca="1">IF(RTD("tos.rtd",,$A$2,"."&amp;I$83&amp;I$1&amp;"C"&amp;$A95)="N/A",0,RTD("tos.rtd",,$A$2,"."&amp;I$83&amp;I$1&amp;"C"&amp;$A95))-IF(RTD("tos.rtd",,$A$2,"."&amp;I$83&amp;I$1&amp;"P"&amp;$A95)="N/A",0,RTD("tos.rtd",,$A$2,"."&amp;I$83&amp;I$1&amp;"P"&amp;$A95))</f>
        <v>8</v>
      </c>
      <c r="J95" s="56">
        <f ca="1">IF(RTD("tos.rtd",,$A$2,"."&amp;J$83&amp;J$1&amp;"C"&amp;$A95)="N/A",0,RTD("tos.rtd",,$A$2,"."&amp;J$83&amp;J$1&amp;"C"&amp;$A95))-IF(RTD("tos.rtd",,$A$2,"."&amp;J$83&amp;J$1&amp;"P"&amp;$A95)="N/A",0,RTD("tos.rtd",,$A$2,"."&amp;J$83&amp;J$1&amp;"P"&amp;$A95))</f>
        <v>0</v>
      </c>
      <c r="K95" s="56">
        <f ca="1">IF(RTD("tos.rtd",,$A$2,"."&amp;K$83&amp;K$1&amp;"C"&amp;$A95)="N/A",0,RTD("tos.rtd",,$A$2,"."&amp;K$83&amp;K$1&amp;"C"&amp;$A95))-IF(RTD("tos.rtd",,$A$2,"."&amp;K$83&amp;K$1&amp;"P"&amp;$A95)="N/A",0,RTD("tos.rtd",,$A$2,"."&amp;K$83&amp;K$1&amp;"P"&amp;$A95))</f>
        <v>39</v>
      </c>
      <c r="L95" s="56">
        <f ca="1">IF(RTD("tos.rtd",,$A$2,"."&amp;L$83&amp;L$1&amp;"C"&amp;$A95)="N/A",0,RTD("tos.rtd",,$A$2,"."&amp;L$83&amp;L$1&amp;"C"&amp;$A95))-IF(RTD("tos.rtd",,$A$2,"."&amp;L$83&amp;L$1&amp;"P"&amp;$A95)="N/A",0,RTD("tos.rtd",,$A$2,"."&amp;L$83&amp;L$1&amp;"P"&amp;$A95))</f>
        <v>0</v>
      </c>
      <c r="M95" s="56">
        <f ca="1">IF(RTD("tos.rtd",,$A$2,"."&amp;M$83&amp;M$1&amp;"C"&amp;$A95)="N/A",0,RTD("tos.rtd",,$A$2,"."&amp;M$83&amp;M$1&amp;"C"&amp;$A95))-IF(RTD("tos.rtd",,$A$2,"."&amp;M$83&amp;M$1&amp;"P"&amp;$A95)="N/A",0,RTD("tos.rtd",,$A$2,"."&amp;M$83&amp;M$1&amp;"P"&amp;$A95))</f>
        <v>0</v>
      </c>
      <c r="N95" s="56">
        <f ca="1">IF(RTD("tos.rtd",,$A$2,"."&amp;N$83&amp;N$1&amp;"C"&amp;$A95)="N/A",0,RTD("tos.rtd",,$A$2,"."&amp;N$83&amp;N$1&amp;"C"&amp;$A95))-IF(RTD("tos.rtd",,$A$2,"."&amp;N$83&amp;N$1&amp;"P"&amp;$A95)="N/A",0,RTD("tos.rtd",,$A$2,"."&amp;N$83&amp;N$1&amp;"P"&amp;$A95))</f>
        <v>0</v>
      </c>
      <c r="O95" s="56">
        <f ca="1">IF(RTD("tos.rtd",,$A$2,"."&amp;O$83&amp;O$1&amp;"C"&amp;$A95)="N/A",0,RTD("tos.rtd",,$A$2,"."&amp;O$83&amp;O$1&amp;"C"&amp;$A95))-IF(RTD("tos.rtd",,$A$2,"."&amp;O$83&amp;O$1&amp;"P"&amp;$A95)="N/A",0,RTD("tos.rtd",,$A$2,"."&amp;O$83&amp;O$1&amp;"P"&amp;$A95))</f>
        <v>0</v>
      </c>
      <c r="P95" s="56">
        <f ca="1">IF(RTD("tos.rtd",,$A$2,"."&amp;P$83&amp;P$1&amp;"C"&amp;$A95)="N/A",0,RTD("tos.rtd",,$A$2,"."&amp;P$83&amp;P$1&amp;"C"&amp;$A95))-IF(RTD("tos.rtd",,$A$2,"."&amp;P$83&amp;P$1&amp;"P"&amp;$A95)="N/A",0,RTD("tos.rtd",,$A$2,"."&amp;P$83&amp;P$1&amp;"P"&amp;$A95))</f>
        <v>0</v>
      </c>
      <c r="Q95" s="56">
        <f ca="1">IF(RTD("tos.rtd",,$A$2,"."&amp;Q$83&amp;Q$1&amp;"C"&amp;$A95)="N/A",0,RTD("tos.rtd",,$A$2,"."&amp;Q$83&amp;Q$1&amp;"C"&amp;$A95))-IF(RTD("tos.rtd",,$A$2,"."&amp;Q$83&amp;Q$1&amp;"P"&amp;$A95)="N/A",0,RTD("tos.rtd",,$A$2,"."&amp;Q$83&amp;Q$1&amp;"P"&amp;$A95))</f>
        <v>0</v>
      </c>
      <c r="R95" s="56">
        <f ca="1">IF(RTD("tos.rtd",,$A$2,"."&amp;R$83&amp;R$1&amp;"C"&amp;$A95)="N/A",0,RTD("tos.rtd",,$A$2,"."&amp;R$83&amp;R$1&amp;"C"&amp;$A95))-IF(RTD("tos.rtd",,$A$2,"."&amp;R$83&amp;R$1&amp;"P"&amp;$A95)="N/A",0,RTD("tos.rtd",,$A$2,"."&amp;R$83&amp;R$1&amp;"P"&amp;$A95))</f>
        <v>0</v>
      </c>
      <c r="S95" s="56">
        <f ca="1">IF(RTD("tos.rtd",,$A$2,"."&amp;S$83&amp;S$1&amp;"C"&amp;$A95)="N/A",0,RTD("tos.rtd",,$A$2,"."&amp;S$83&amp;S$1&amp;"C"&amp;$A95))-IF(RTD("tos.rtd",,$A$2,"."&amp;S$83&amp;S$1&amp;"P"&amp;$A95)="N/A",0,RTD("tos.rtd",,$A$2,"."&amp;S$83&amp;S$1&amp;"P"&amp;$A95))</f>
        <v>0</v>
      </c>
      <c r="T95" s="56">
        <f ca="1">IF(RTD("tos.rtd",,$A$2,"."&amp;T$83&amp;T$1&amp;"C"&amp;$A95)="N/A",0,RTD("tos.rtd",,$A$2,"."&amp;T$83&amp;T$1&amp;"C"&amp;$A95))-IF(RTD("tos.rtd",,$A$2,"."&amp;T$83&amp;T$1&amp;"P"&amp;$A95)="N/A",0,RTD("tos.rtd",,$A$2,"."&amp;T$83&amp;T$1&amp;"P"&amp;$A95))</f>
        <v>0</v>
      </c>
      <c r="U95" s="56">
        <f ca="1">IF(RTD("tos.rtd",,$A$2,"."&amp;U$83&amp;U$1&amp;"C"&amp;$A95)="N/A",0,RTD("tos.rtd",,$A$2,"."&amp;U$83&amp;U$1&amp;"C"&amp;$A95))-IF(RTD("tos.rtd",,$A$2,"."&amp;U$83&amp;U$1&amp;"P"&amp;$A95)="N/A",0,RTD("tos.rtd",,$A$2,"."&amp;U$83&amp;U$1&amp;"P"&amp;$A95))</f>
        <v>0</v>
      </c>
      <c r="V95" s="56">
        <f ca="1">IF(RTD("tos.rtd",,$A$2,"."&amp;V$83&amp;V$1&amp;"C"&amp;$A95)="N/A",0,RTD("tos.rtd",,$A$2,"."&amp;V$83&amp;V$1&amp;"C"&amp;$A95))-IF(RTD("tos.rtd",,$A$2,"."&amp;V$83&amp;V$1&amp;"P"&amp;$A95)="N/A",0,RTD("tos.rtd",,$A$2,"."&amp;V$83&amp;V$1&amp;"P"&amp;$A95))</f>
        <v>0</v>
      </c>
      <c r="W95" s="56">
        <f ca="1">IF(RTD("tos.rtd",,$A$2,"."&amp;W$83&amp;W$1&amp;"C"&amp;$A95)="N/A",0,RTD("tos.rtd",,$A$2,"."&amp;W$83&amp;W$1&amp;"C"&amp;$A95))-IF(RTD("tos.rtd",,$A$2,"."&amp;W$83&amp;W$1&amp;"P"&amp;$A95)="N/A",0,RTD("tos.rtd",,$A$2,"."&amp;W$83&amp;W$1&amp;"P"&amp;$A95))</f>
        <v>0</v>
      </c>
      <c r="X95" s="56">
        <f ca="1">IF(RTD("tos.rtd",,$A$2,"."&amp;X$83&amp;X$1&amp;"C"&amp;$A95)="N/A",0,RTD("tos.rtd",,$A$2,"."&amp;X$83&amp;X$1&amp;"C"&amp;$A95))-IF(RTD("tos.rtd",,$A$2,"."&amp;X$83&amp;X$1&amp;"P"&amp;$A95)="N/A",0,RTD("tos.rtd",,$A$2,"."&amp;X$83&amp;X$1&amp;"P"&amp;$A95))</f>
        <v>0</v>
      </c>
      <c r="Y95" s="63">
        <f t="shared" ca="1" si="13"/>
        <v>2271</v>
      </c>
    </row>
    <row r="96" spans="1:25" x14ac:dyDescent="0.25">
      <c r="A96" s="58">
        <f>+Hoja1!A95</f>
        <v>6790</v>
      </c>
      <c r="B96" s="56">
        <f ca="1">IF(RTD("tos.rtd",,$A$2,"."&amp;B$83&amp;B$1&amp;"C"&amp;$A96)="N/A",0,RTD("tos.rtd",,$A$2,"."&amp;B$83&amp;B$1&amp;"C"&amp;$A96))-IF(RTD("tos.rtd",,$A$2,"."&amp;B$83&amp;B$1&amp;"P"&amp;$A96)="N/A",0,RTD("tos.rtd",,$A$2,"."&amp;B$83&amp;B$1&amp;"P"&amp;$A96))</f>
        <v>2310</v>
      </c>
      <c r="C96" s="56">
        <f ca="1">IF(RTD("tos.rtd",,$A$2,"."&amp;C$83&amp;C$1&amp;"C"&amp;$A96)="N/A",0,RTD("tos.rtd",,$A$2,"."&amp;C$83&amp;C$1&amp;"C"&amp;$A96))-IF(RTD("tos.rtd",,$A$2,"."&amp;C$83&amp;C$1&amp;"P"&amp;$A96)="N/A",0,RTD("tos.rtd",,$A$2,"."&amp;C$83&amp;C$1&amp;"P"&amp;$A96))</f>
        <v>382</v>
      </c>
      <c r="D96" s="56">
        <f ca="1">IF(RTD("tos.rtd",,$A$2,"."&amp;D$83&amp;D$1&amp;"C"&amp;$A96)="N/A",0,RTD("tos.rtd",,$A$2,"."&amp;D$83&amp;D$1&amp;"C"&amp;$A96))-IF(RTD("tos.rtd",,$A$2,"."&amp;D$83&amp;D$1&amp;"P"&amp;$A96)="N/A",0,RTD("tos.rtd",,$A$2,"."&amp;D$83&amp;D$1&amp;"P"&amp;$A96))</f>
        <v>330</v>
      </c>
      <c r="E96" s="56">
        <f ca="1">IF(RTD("tos.rtd",,$A$2,"."&amp;E$83&amp;E$1&amp;"C"&amp;$A96)="N/A",0,RTD("tos.rtd",,$A$2,"."&amp;E$83&amp;E$1&amp;"C"&amp;$A96))-IF(RTD("tos.rtd",,$A$2,"."&amp;E$83&amp;E$1&amp;"P"&amp;$A96)="N/A",0,RTD("tos.rtd",,$A$2,"."&amp;E$83&amp;E$1&amp;"P"&amp;$A96))</f>
        <v>130</v>
      </c>
      <c r="F96" s="56">
        <f ca="1">IF(RTD("tos.rtd",,$A$2,"."&amp;F$83&amp;F$1&amp;"C"&amp;$A96)="N/A",0,RTD("tos.rtd",,$A$2,"."&amp;F$83&amp;F$1&amp;"C"&amp;$A96))-IF(RTD("tos.rtd",,$A$2,"."&amp;F$83&amp;F$1&amp;"P"&amp;$A96)="N/A",0,RTD("tos.rtd",,$A$2,"."&amp;F$83&amp;F$1&amp;"P"&amp;$A96))</f>
        <v>0</v>
      </c>
      <c r="G96" s="56">
        <f ca="1">IF(RTD("tos.rtd",,$A$2,"."&amp;G$83&amp;G$1&amp;"C"&amp;$A96)="N/A",0,RTD("tos.rtd",,$A$2,"."&amp;G$83&amp;G$1&amp;"C"&amp;$A96))-IF(RTD("tos.rtd",,$A$2,"."&amp;G$83&amp;G$1&amp;"P"&amp;$A96)="N/A",0,RTD("tos.rtd",,$A$2,"."&amp;G$83&amp;G$1&amp;"P"&amp;$A96))</f>
        <v>0</v>
      </c>
      <c r="H96" s="56">
        <f ca="1">IF(RTD("tos.rtd",,$A$2,"."&amp;H$83&amp;H$1&amp;"C"&amp;$A96)="N/A",0,RTD("tos.rtd",,$A$2,"."&amp;H$83&amp;H$1&amp;"C"&amp;$A96))-IF(RTD("tos.rtd",,$A$2,"."&amp;H$83&amp;H$1&amp;"P"&amp;$A96)="N/A",0,RTD("tos.rtd",,$A$2,"."&amp;H$83&amp;H$1&amp;"P"&amp;$A96))</f>
        <v>52</v>
      </c>
      <c r="I96" s="56">
        <f ca="1">IF(RTD("tos.rtd",,$A$2,"."&amp;I$83&amp;I$1&amp;"C"&amp;$A96)="N/A",0,RTD("tos.rtd",,$A$2,"."&amp;I$83&amp;I$1&amp;"C"&amp;$A96))-IF(RTD("tos.rtd",,$A$2,"."&amp;I$83&amp;I$1&amp;"P"&amp;$A96)="N/A",0,RTD("tos.rtd",,$A$2,"."&amp;I$83&amp;I$1&amp;"P"&amp;$A96))</f>
        <v>584</v>
      </c>
      <c r="J96" s="56">
        <f ca="1">IF(RTD("tos.rtd",,$A$2,"."&amp;J$83&amp;J$1&amp;"C"&amp;$A96)="N/A",0,RTD("tos.rtd",,$A$2,"."&amp;J$83&amp;J$1&amp;"C"&amp;$A96))-IF(RTD("tos.rtd",,$A$2,"."&amp;J$83&amp;J$1&amp;"P"&amp;$A96)="N/A",0,RTD("tos.rtd",,$A$2,"."&amp;J$83&amp;J$1&amp;"P"&amp;$A96))</f>
        <v>5</v>
      </c>
      <c r="K96" s="56">
        <f ca="1">IF(RTD("tos.rtd",,$A$2,"."&amp;K$83&amp;K$1&amp;"C"&amp;$A96)="N/A",0,RTD("tos.rtd",,$A$2,"."&amp;K$83&amp;K$1&amp;"C"&amp;$A96))-IF(RTD("tos.rtd",,$A$2,"."&amp;K$83&amp;K$1&amp;"P"&amp;$A96)="N/A",0,RTD("tos.rtd",,$A$2,"."&amp;K$83&amp;K$1&amp;"P"&amp;$A96))</f>
        <v>32</v>
      </c>
      <c r="L96" s="56">
        <f ca="1">IF(RTD("tos.rtd",,$A$2,"."&amp;L$83&amp;L$1&amp;"C"&amp;$A96)="N/A",0,RTD("tos.rtd",,$A$2,"."&amp;L$83&amp;L$1&amp;"C"&amp;$A96))-IF(RTD("tos.rtd",,$A$2,"."&amp;L$83&amp;L$1&amp;"P"&amp;$A96)="N/A",0,RTD("tos.rtd",,$A$2,"."&amp;L$83&amp;L$1&amp;"P"&amp;$A96))</f>
        <v>0</v>
      </c>
      <c r="M96" s="56">
        <f ca="1">IF(RTD("tos.rtd",,$A$2,"."&amp;M$83&amp;M$1&amp;"C"&amp;$A96)="N/A",0,RTD("tos.rtd",,$A$2,"."&amp;M$83&amp;M$1&amp;"C"&amp;$A96))-IF(RTD("tos.rtd",,$A$2,"."&amp;M$83&amp;M$1&amp;"P"&amp;$A96)="N/A",0,RTD("tos.rtd",,$A$2,"."&amp;M$83&amp;M$1&amp;"P"&amp;$A96))</f>
        <v>0</v>
      </c>
      <c r="N96" s="56">
        <f ca="1">IF(RTD("tos.rtd",,$A$2,"."&amp;N$83&amp;N$1&amp;"C"&amp;$A96)="N/A",0,RTD("tos.rtd",,$A$2,"."&amp;N$83&amp;N$1&amp;"C"&amp;$A96))-IF(RTD("tos.rtd",,$A$2,"."&amp;N$83&amp;N$1&amp;"P"&amp;$A96)="N/A",0,RTD("tos.rtd",,$A$2,"."&amp;N$83&amp;N$1&amp;"P"&amp;$A96))</f>
        <v>0</v>
      </c>
      <c r="O96" s="56">
        <f ca="1">IF(RTD("tos.rtd",,$A$2,"."&amp;O$83&amp;O$1&amp;"C"&amp;$A96)="N/A",0,RTD("tos.rtd",,$A$2,"."&amp;O$83&amp;O$1&amp;"C"&amp;$A96))-IF(RTD("tos.rtd",,$A$2,"."&amp;O$83&amp;O$1&amp;"P"&amp;$A96)="N/A",0,RTD("tos.rtd",,$A$2,"."&amp;O$83&amp;O$1&amp;"P"&amp;$A96))</f>
        <v>0</v>
      </c>
      <c r="P96" s="56">
        <f ca="1">IF(RTD("tos.rtd",,$A$2,"."&amp;P$83&amp;P$1&amp;"C"&amp;$A96)="N/A",0,RTD("tos.rtd",,$A$2,"."&amp;P$83&amp;P$1&amp;"C"&amp;$A96))-IF(RTD("tos.rtd",,$A$2,"."&amp;P$83&amp;P$1&amp;"P"&amp;$A96)="N/A",0,RTD("tos.rtd",,$A$2,"."&amp;P$83&amp;P$1&amp;"P"&amp;$A96))</f>
        <v>0</v>
      </c>
      <c r="Q96" s="56">
        <f ca="1">IF(RTD("tos.rtd",,$A$2,"."&amp;Q$83&amp;Q$1&amp;"C"&amp;$A96)="N/A",0,RTD("tos.rtd",,$A$2,"."&amp;Q$83&amp;Q$1&amp;"C"&amp;$A96))-IF(RTD("tos.rtd",,$A$2,"."&amp;Q$83&amp;Q$1&amp;"P"&amp;$A96)="N/A",0,RTD("tos.rtd",,$A$2,"."&amp;Q$83&amp;Q$1&amp;"P"&amp;$A96))</f>
        <v>0</v>
      </c>
      <c r="R96" s="56">
        <f ca="1">IF(RTD("tos.rtd",,$A$2,"."&amp;R$83&amp;R$1&amp;"C"&amp;$A96)="N/A",0,RTD("tos.rtd",,$A$2,"."&amp;R$83&amp;R$1&amp;"C"&amp;$A96))-IF(RTD("tos.rtd",,$A$2,"."&amp;R$83&amp;R$1&amp;"P"&amp;$A96)="N/A",0,RTD("tos.rtd",,$A$2,"."&amp;R$83&amp;R$1&amp;"P"&amp;$A96))</f>
        <v>0</v>
      </c>
      <c r="S96" s="56">
        <f ca="1">IF(RTD("tos.rtd",,$A$2,"."&amp;S$83&amp;S$1&amp;"C"&amp;$A96)="N/A",0,RTD("tos.rtd",,$A$2,"."&amp;S$83&amp;S$1&amp;"C"&amp;$A96))-IF(RTD("tos.rtd",,$A$2,"."&amp;S$83&amp;S$1&amp;"P"&amp;$A96)="N/A",0,RTD("tos.rtd",,$A$2,"."&amp;S$83&amp;S$1&amp;"P"&amp;$A96))</f>
        <v>0</v>
      </c>
      <c r="T96" s="56">
        <f ca="1">IF(RTD("tos.rtd",,$A$2,"."&amp;T$83&amp;T$1&amp;"C"&amp;$A96)="N/A",0,RTD("tos.rtd",,$A$2,"."&amp;T$83&amp;T$1&amp;"C"&amp;$A96))-IF(RTD("tos.rtd",,$A$2,"."&amp;T$83&amp;T$1&amp;"P"&amp;$A96)="N/A",0,RTD("tos.rtd",,$A$2,"."&amp;T$83&amp;T$1&amp;"P"&amp;$A96))</f>
        <v>0</v>
      </c>
      <c r="U96" s="56">
        <f ca="1">IF(RTD("tos.rtd",,$A$2,"."&amp;U$83&amp;U$1&amp;"C"&amp;$A96)="N/A",0,RTD("tos.rtd",,$A$2,"."&amp;U$83&amp;U$1&amp;"C"&amp;$A96))-IF(RTD("tos.rtd",,$A$2,"."&amp;U$83&amp;U$1&amp;"P"&amp;$A96)="N/A",0,RTD("tos.rtd",,$A$2,"."&amp;U$83&amp;U$1&amp;"P"&amp;$A96))</f>
        <v>0</v>
      </c>
      <c r="V96" s="56">
        <f ca="1">IF(RTD("tos.rtd",,$A$2,"."&amp;V$83&amp;V$1&amp;"C"&amp;$A96)="N/A",0,RTD("tos.rtd",,$A$2,"."&amp;V$83&amp;V$1&amp;"C"&amp;$A96))-IF(RTD("tos.rtd",,$A$2,"."&amp;V$83&amp;V$1&amp;"P"&amp;$A96)="N/A",0,RTD("tos.rtd",,$A$2,"."&amp;V$83&amp;V$1&amp;"P"&amp;$A96))</f>
        <v>0</v>
      </c>
      <c r="W96" s="56">
        <f ca="1">IF(RTD("tos.rtd",,$A$2,"."&amp;W$83&amp;W$1&amp;"C"&amp;$A96)="N/A",0,RTD("tos.rtd",,$A$2,"."&amp;W$83&amp;W$1&amp;"C"&amp;$A96))-IF(RTD("tos.rtd",,$A$2,"."&amp;W$83&amp;W$1&amp;"P"&amp;$A96)="N/A",0,RTD("tos.rtd",,$A$2,"."&amp;W$83&amp;W$1&amp;"P"&amp;$A96))</f>
        <v>0</v>
      </c>
      <c r="X96" s="56">
        <f ca="1">IF(RTD("tos.rtd",,$A$2,"."&amp;X$83&amp;X$1&amp;"C"&amp;$A96)="N/A",0,RTD("tos.rtd",,$A$2,"."&amp;X$83&amp;X$1&amp;"C"&amp;$A96))-IF(RTD("tos.rtd",,$A$2,"."&amp;X$83&amp;X$1&amp;"P"&amp;$A96)="N/A",0,RTD("tos.rtd",,$A$2,"."&amp;X$83&amp;X$1&amp;"P"&amp;$A96))</f>
        <v>0</v>
      </c>
      <c r="Y96" s="63">
        <f t="shared" ca="1" si="13"/>
        <v>3825</v>
      </c>
    </row>
    <row r="97" spans="1:25" x14ac:dyDescent="0.25">
      <c r="A97" s="58">
        <f>+Hoja1!A96</f>
        <v>6785</v>
      </c>
      <c r="B97" s="56">
        <f ca="1">IF(RTD("tos.rtd",,$A$2,"."&amp;B$83&amp;B$1&amp;"C"&amp;$A97)="N/A",0,RTD("tos.rtd",,$A$2,"."&amp;B$83&amp;B$1&amp;"C"&amp;$A97))-IF(RTD("tos.rtd",,$A$2,"."&amp;B$83&amp;B$1&amp;"P"&amp;$A97)="N/A",0,RTD("tos.rtd",,$A$2,"."&amp;B$83&amp;B$1&amp;"P"&amp;$A97))</f>
        <v>1918</v>
      </c>
      <c r="C97" s="56">
        <f ca="1">IF(RTD("tos.rtd",,$A$2,"."&amp;C$83&amp;C$1&amp;"C"&amp;$A97)="N/A",0,RTD("tos.rtd",,$A$2,"."&amp;C$83&amp;C$1&amp;"C"&amp;$A97))-IF(RTD("tos.rtd",,$A$2,"."&amp;C$83&amp;C$1&amp;"P"&amp;$A97)="N/A",0,RTD("tos.rtd",,$A$2,"."&amp;C$83&amp;C$1&amp;"P"&amp;$A97))</f>
        <v>537</v>
      </c>
      <c r="D97" s="56">
        <f ca="1">IF(RTD("tos.rtd",,$A$2,"."&amp;D$83&amp;D$1&amp;"C"&amp;$A97)="N/A",0,RTD("tos.rtd",,$A$2,"."&amp;D$83&amp;D$1&amp;"C"&amp;$A97))-IF(RTD("tos.rtd",,$A$2,"."&amp;D$83&amp;D$1&amp;"P"&amp;$A97)="N/A",0,RTD("tos.rtd",,$A$2,"."&amp;D$83&amp;D$1&amp;"P"&amp;$A97))</f>
        <v>151</v>
      </c>
      <c r="E97" s="56">
        <f ca="1">IF(RTD("tos.rtd",,$A$2,"."&amp;E$83&amp;E$1&amp;"C"&amp;$A97)="N/A",0,RTD("tos.rtd",,$A$2,"."&amp;E$83&amp;E$1&amp;"C"&amp;$A97))-IF(RTD("tos.rtd",,$A$2,"."&amp;E$83&amp;E$1&amp;"P"&amp;$A97)="N/A",0,RTD("tos.rtd",,$A$2,"."&amp;E$83&amp;E$1&amp;"P"&amp;$A97))</f>
        <v>233</v>
      </c>
      <c r="F97" s="56">
        <f ca="1">IF(RTD("tos.rtd",,$A$2,"."&amp;F$83&amp;F$1&amp;"C"&amp;$A97)="N/A",0,RTD("tos.rtd",,$A$2,"."&amp;F$83&amp;F$1&amp;"C"&amp;$A97))-IF(RTD("tos.rtd",,$A$2,"."&amp;F$83&amp;F$1&amp;"P"&amp;$A97)="N/A",0,RTD("tos.rtd",,$A$2,"."&amp;F$83&amp;F$1&amp;"P"&amp;$A97))</f>
        <v>0</v>
      </c>
      <c r="G97" s="56">
        <f ca="1">IF(RTD("tos.rtd",,$A$2,"."&amp;G$83&amp;G$1&amp;"C"&amp;$A97)="N/A",0,RTD("tos.rtd",,$A$2,"."&amp;G$83&amp;G$1&amp;"C"&amp;$A97))-IF(RTD("tos.rtd",,$A$2,"."&amp;G$83&amp;G$1&amp;"P"&amp;$A97)="N/A",0,RTD("tos.rtd",,$A$2,"."&amp;G$83&amp;G$1&amp;"P"&amp;$A97))</f>
        <v>0</v>
      </c>
      <c r="H97" s="56">
        <f ca="1">IF(RTD("tos.rtd",,$A$2,"."&amp;H$83&amp;H$1&amp;"C"&amp;$A97)="N/A",0,RTD("tos.rtd",,$A$2,"."&amp;H$83&amp;H$1&amp;"C"&amp;$A97))-IF(RTD("tos.rtd",,$A$2,"."&amp;H$83&amp;H$1&amp;"P"&amp;$A97)="N/A",0,RTD("tos.rtd",,$A$2,"."&amp;H$83&amp;H$1&amp;"P"&amp;$A97))</f>
        <v>-136</v>
      </c>
      <c r="I97" s="56">
        <f ca="1">IF(RTD("tos.rtd",,$A$2,"."&amp;I$83&amp;I$1&amp;"C"&amp;$A97)="N/A",0,RTD("tos.rtd",,$A$2,"."&amp;I$83&amp;I$1&amp;"C"&amp;$A97))-IF(RTD("tos.rtd",,$A$2,"."&amp;I$83&amp;I$1&amp;"P"&amp;$A97)="N/A",0,RTD("tos.rtd",,$A$2,"."&amp;I$83&amp;I$1&amp;"P"&amp;$A97))</f>
        <v>1</v>
      </c>
      <c r="J97" s="56">
        <f ca="1">IF(RTD("tos.rtd",,$A$2,"."&amp;J$83&amp;J$1&amp;"C"&amp;$A97)="N/A",0,RTD("tos.rtd",,$A$2,"."&amp;J$83&amp;J$1&amp;"C"&amp;$A97))-IF(RTD("tos.rtd",,$A$2,"."&amp;J$83&amp;J$1&amp;"P"&amp;$A97)="N/A",0,RTD("tos.rtd",,$A$2,"."&amp;J$83&amp;J$1&amp;"P"&amp;$A97))</f>
        <v>0</v>
      </c>
      <c r="K97" s="56">
        <f ca="1">IF(RTD("tos.rtd",,$A$2,"."&amp;K$83&amp;K$1&amp;"C"&amp;$A97)="N/A",0,RTD("tos.rtd",,$A$2,"."&amp;K$83&amp;K$1&amp;"C"&amp;$A97))-IF(RTD("tos.rtd",,$A$2,"."&amp;K$83&amp;K$1&amp;"P"&amp;$A97)="N/A",0,RTD("tos.rtd",,$A$2,"."&amp;K$83&amp;K$1&amp;"P"&amp;$A97))</f>
        <v>13</v>
      </c>
      <c r="L97" s="56">
        <f ca="1">IF(RTD("tos.rtd",,$A$2,"."&amp;L$83&amp;L$1&amp;"C"&amp;$A97)="N/A",0,RTD("tos.rtd",,$A$2,"."&amp;L$83&amp;L$1&amp;"C"&amp;$A97))-IF(RTD("tos.rtd",,$A$2,"."&amp;L$83&amp;L$1&amp;"P"&amp;$A97)="N/A",0,RTD("tos.rtd",,$A$2,"."&amp;L$83&amp;L$1&amp;"P"&amp;$A97))</f>
        <v>0</v>
      </c>
      <c r="M97" s="56">
        <f ca="1">IF(RTD("tos.rtd",,$A$2,"."&amp;M$83&amp;M$1&amp;"C"&amp;$A97)="N/A",0,RTD("tos.rtd",,$A$2,"."&amp;M$83&amp;M$1&amp;"C"&amp;$A97))-IF(RTD("tos.rtd",,$A$2,"."&amp;M$83&amp;M$1&amp;"P"&amp;$A97)="N/A",0,RTD("tos.rtd",,$A$2,"."&amp;M$83&amp;M$1&amp;"P"&amp;$A97))</f>
        <v>0</v>
      </c>
      <c r="N97" s="56">
        <f ca="1">IF(RTD("tos.rtd",,$A$2,"."&amp;N$83&amp;N$1&amp;"C"&amp;$A97)="N/A",0,RTD("tos.rtd",,$A$2,"."&amp;N$83&amp;N$1&amp;"C"&amp;$A97))-IF(RTD("tos.rtd",,$A$2,"."&amp;N$83&amp;N$1&amp;"P"&amp;$A97)="N/A",0,RTD("tos.rtd",,$A$2,"."&amp;N$83&amp;N$1&amp;"P"&amp;$A97))</f>
        <v>0</v>
      </c>
      <c r="O97" s="56">
        <f ca="1">IF(RTD("tos.rtd",,$A$2,"."&amp;O$83&amp;O$1&amp;"C"&amp;$A97)="N/A",0,RTD("tos.rtd",,$A$2,"."&amp;O$83&amp;O$1&amp;"C"&amp;$A97))-IF(RTD("tos.rtd",,$A$2,"."&amp;O$83&amp;O$1&amp;"P"&amp;$A97)="N/A",0,RTD("tos.rtd",,$A$2,"."&amp;O$83&amp;O$1&amp;"P"&amp;$A97))</f>
        <v>0</v>
      </c>
      <c r="P97" s="56">
        <f ca="1">IF(RTD("tos.rtd",,$A$2,"."&amp;P$83&amp;P$1&amp;"C"&amp;$A97)="N/A",0,RTD("tos.rtd",,$A$2,"."&amp;P$83&amp;P$1&amp;"C"&amp;$A97))-IF(RTD("tos.rtd",,$A$2,"."&amp;P$83&amp;P$1&amp;"P"&amp;$A97)="N/A",0,RTD("tos.rtd",,$A$2,"."&amp;P$83&amp;P$1&amp;"P"&amp;$A97))</f>
        <v>0</v>
      </c>
      <c r="Q97" s="56">
        <f ca="1">IF(RTD("tos.rtd",,$A$2,"."&amp;Q$83&amp;Q$1&amp;"C"&amp;$A97)="N/A",0,RTD("tos.rtd",,$A$2,"."&amp;Q$83&amp;Q$1&amp;"C"&amp;$A97))-IF(RTD("tos.rtd",,$A$2,"."&amp;Q$83&amp;Q$1&amp;"P"&amp;$A97)="N/A",0,RTD("tos.rtd",,$A$2,"."&amp;Q$83&amp;Q$1&amp;"P"&amp;$A97))</f>
        <v>0</v>
      </c>
      <c r="R97" s="56">
        <f ca="1">IF(RTD("tos.rtd",,$A$2,"."&amp;R$83&amp;R$1&amp;"C"&amp;$A97)="N/A",0,RTD("tos.rtd",,$A$2,"."&amp;R$83&amp;R$1&amp;"C"&amp;$A97))-IF(RTD("tos.rtd",,$A$2,"."&amp;R$83&amp;R$1&amp;"P"&amp;$A97)="N/A",0,RTD("tos.rtd",,$A$2,"."&amp;R$83&amp;R$1&amp;"P"&amp;$A97))</f>
        <v>0</v>
      </c>
      <c r="S97" s="56">
        <f ca="1">IF(RTD("tos.rtd",,$A$2,"."&amp;S$83&amp;S$1&amp;"C"&amp;$A97)="N/A",0,RTD("tos.rtd",,$A$2,"."&amp;S$83&amp;S$1&amp;"C"&amp;$A97))-IF(RTD("tos.rtd",,$A$2,"."&amp;S$83&amp;S$1&amp;"P"&amp;$A97)="N/A",0,RTD("tos.rtd",,$A$2,"."&amp;S$83&amp;S$1&amp;"P"&amp;$A97))</f>
        <v>0</v>
      </c>
      <c r="T97" s="56">
        <f ca="1">IF(RTD("tos.rtd",,$A$2,"."&amp;T$83&amp;T$1&amp;"C"&amp;$A97)="N/A",0,RTD("tos.rtd",,$A$2,"."&amp;T$83&amp;T$1&amp;"C"&amp;$A97))-IF(RTD("tos.rtd",,$A$2,"."&amp;T$83&amp;T$1&amp;"P"&amp;$A97)="N/A",0,RTD("tos.rtd",,$A$2,"."&amp;T$83&amp;T$1&amp;"P"&amp;$A97))</f>
        <v>0</v>
      </c>
      <c r="U97" s="56">
        <f ca="1">IF(RTD("tos.rtd",,$A$2,"."&amp;U$83&amp;U$1&amp;"C"&amp;$A97)="N/A",0,RTD("tos.rtd",,$A$2,"."&amp;U$83&amp;U$1&amp;"C"&amp;$A97))-IF(RTD("tos.rtd",,$A$2,"."&amp;U$83&amp;U$1&amp;"P"&amp;$A97)="N/A",0,RTD("tos.rtd",,$A$2,"."&amp;U$83&amp;U$1&amp;"P"&amp;$A97))</f>
        <v>0</v>
      </c>
      <c r="V97" s="56">
        <f ca="1">IF(RTD("tos.rtd",,$A$2,"."&amp;V$83&amp;V$1&amp;"C"&amp;$A97)="N/A",0,RTD("tos.rtd",,$A$2,"."&amp;V$83&amp;V$1&amp;"C"&amp;$A97))-IF(RTD("tos.rtd",,$A$2,"."&amp;V$83&amp;V$1&amp;"P"&amp;$A97)="N/A",0,RTD("tos.rtd",,$A$2,"."&amp;V$83&amp;V$1&amp;"P"&amp;$A97))</f>
        <v>0</v>
      </c>
      <c r="W97" s="56">
        <f ca="1">IF(RTD("tos.rtd",,$A$2,"."&amp;W$83&amp;W$1&amp;"C"&amp;$A97)="N/A",0,RTD("tos.rtd",,$A$2,"."&amp;W$83&amp;W$1&amp;"C"&amp;$A97))-IF(RTD("tos.rtd",,$A$2,"."&amp;W$83&amp;W$1&amp;"P"&amp;$A97)="N/A",0,RTD("tos.rtd",,$A$2,"."&amp;W$83&amp;W$1&amp;"P"&amp;$A97))</f>
        <v>0</v>
      </c>
      <c r="X97" s="56">
        <f ca="1">IF(RTD("tos.rtd",,$A$2,"."&amp;X$83&amp;X$1&amp;"C"&amp;$A97)="N/A",0,RTD("tos.rtd",,$A$2,"."&amp;X$83&amp;X$1&amp;"C"&amp;$A97))-IF(RTD("tos.rtd",,$A$2,"."&amp;X$83&amp;X$1&amp;"P"&amp;$A97)="N/A",0,RTD("tos.rtd",,$A$2,"."&amp;X$83&amp;X$1&amp;"P"&amp;$A97))</f>
        <v>0</v>
      </c>
      <c r="Y97" s="63">
        <f t="shared" ca="1" si="13"/>
        <v>2717</v>
      </c>
    </row>
    <row r="98" spans="1:25" x14ac:dyDescent="0.25">
      <c r="A98" s="58">
        <f>+Hoja1!A97</f>
        <v>6780</v>
      </c>
      <c r="B98" s="56">
        <f ca="1">IF(RTD("tos.rtd",,$A$2,"."&amp;B$83&amp;B$1&amp;"C"&amp;$A98)="N/A",0,RTD("tos.rtd",,$A$2,"."&amp;B$83&amp;B$1&amp;"C"&amp;$A98))-IF(RTD("tos.rtd",,$A$2,"."&amp;B$83&amp;B$1&amp;"P"&amp;$A98)="N/A",0,RTD("tos.rtd",,$A$2,"."&amp;B$83&amp;B$1&amp;"P"&amp;$A98))</f>
        <v>3672</v>
      </c>
      <c r="C98" s="56">
        <f ca="1">IF(RTD("tos.rtd",,$A$2,"."&amp;C$83&amp;C$1&amp;"C"&amp;$A98)="N/A",0,RTD("tos.rtd",,$A$2,"."&amp;C$83&amp;C$1&amp;"C"&amp;$A98))-IF(RTD("tos.rtd",,$A$2,"."&amp;C$83&amp;C$1&amp;"P"&amp;$A98)="N/A",0,RTD("tos.rtd",,$A$2,"."&amp;C$83&amp;C$1&amp;"P"&amp;$A98))</f>
        <v>367</v>
      </c>
      <c r="D98" s="56">
        <f ca="1">IF(RTD("tos.rtd",,$A$2,"."&amp;D$83&amp;D$1&amp;"C"&amp;$A98)="N/A",0,RTD("tos.rtd",,$A$2,"."&amp;D$83&amp;D$1&amp;"C"&amp;$A98))-IF(RTD("tos.rtd",,$A$2,"."&amp;D$83&amp;D$1&amp;"P"&amp;$A98)="N/A",0,RTD("tos.rtd",,$A$2,"."&amp;D$83&amp;D$1&amp;"P"&amp;$A98))</f>
        <v>516</v>
      </c>
      <c r="E98" s="56">
        <f ca="1">IF(RTD("tos.rtd",,$A$2,"."&amp;E$83&amp;E$1&amp;"C"&amp;$A98)="N/A",0,RTD("tos.rtd",,$A$2,"."&amp;E$83&amp;E$1&amp;"C"&amp;$A98))-IF(RTD("tos.rtd",,$A$2,"."&amp;E$83&amp;E$1&amp;"P"&amp;$A98)="N/A",0,RTD("tos.rtd",,$A$2,"."&amp;E$83&amp;E$1&amp;"P"&amp;$A98))</f>
        <v>269</v>
      </c>
      <c r="F98" s="56">
        <f ca="1">IF(RTD("tos.rtd",,$A$2,"."&amp;F$83&amp;F$1&amp;"C"&amp;$A98)="N/A",0,RTD("tos.rtd",,$A$2,"."&amp;F$83&amp;F$1&amp;"C"&amp;$A98))-IF(RTD("tos.rtd",,$A$2,"."&amp;F$83&amp;F$1&amp;"P"&amp;$A98)="N/A",0,RTD("tos.rtd",,$A$2,"."&amp;F$83&amp;F$1&amp;"P"&amp;$A98))</f>
        <v>0</v>
      </c>
      <c r="G98" s="56">
        <f ca="1">IF(RTD("tos.rtd",,$A$2,"."&amp;G$83&amp;G$1&amp;"C"&amp;$A98)="N/A",0,RTD("tos.rtd",,$A$2,"."&amp;G$83&amp;G$1&amp;"C"&amp;$A98))-IF(RTD("tos.rtd",,$A$2,"."&amp;G$83&amp;G$1&amp;"P"&amp;$A98)="N/A",0,RTD("tos.rtd",,$A$2,"."&amp;G$83&amp;G$1&amp;"P"&amp;$A98))</f>
        <v>0</v>
      </c>
      <c r="H98" s="56">
        <f ca="1">IF(RTD("tos.rtd",,$A$2,"."&amp;H$83&amp;H$1&amp;"C"&amp;$A98)="N/A",0,RTD("tos.rtd",,$A$2,"."&amp;H$83&amp;H$1&amp;"C"&amp;$A98))-IF(RTD("tos.rtd",,$A$2,"."&amp;H$83&amp;H$1&amp;"P"&amp;$A98)="N/A",0,RTD("tos.rtd",,$A$2,"."&amp;H$83&amp;H$1&amp;"P"&amp;$A98))</f>
        <v>54</v>
      </c>
      <c r="I98" s="56">
        <f ca="1">IF(RTD("tos.rtd",,$A$2,"."&amp;I$83&amp;I$1&amp;"C"&amp;$A98)="N/A",0,RTD("tos.rtd",,$A$2,"."&amp;I$83&amp;I$1&amp;"C"&amp;$A98))-IF(RTD("tos.rtd",,$A$2,"."&amp;I$83&amp;I$1&amp;"P"&amp;$A98)="N/A",0,RTD("tos.rtd",,$A$2,"."&amp;I$83&amp;I$1&amp;"P"&amp;$A98))</f>
        <v>1163</v>
      </c>
      <c r="J98" s="56">
        <f ca="1">IF(RTD("tos.rtd",,$A$2,"."&amp;J$83&amp;J$1&amp;"C"&amp;$A98)="N/A",0,RTD("tos.rtd",,$A$2,"."&amp;J$83&amp;J$1&amp;"C"&amp;$A98))-IF(RTD("tos.rtd",,$A$2,"."&amp;J$83&amp;J$1&amp;"P"&amp;$A98)="N/A",0,RTD("tos.rtd",,$A$2,"."&amp;J$83&amp;J$1&amp;"P"&amp;$A98))</f>
        <v>30</v>
      </c>
      <c r="K98" s="56">
        <f ca="1">IF(RTD("tos.rtd",,$A$2,"."&amp;K$83&amp;K$1&amp;"C"&amp;$A98)="N/A",0,RTD("tos.rtd",,$A$2,"."&amp;K$83&amp;K$1&amp;"C"&amp;$A98))-IF(RTD("tos.rtd",,$A$2,"."&amp;K$83&amp;K$1&amp;"P"&amp;$A98)="N/A",0,RTD("tos.rtd",,$A$2,"."&amp;K$83&amp;K$1&amp;"P"&amp;$A98))</f>
        <v>31</v>
      </c>
      <c r="L98" s="56">
        <f ca="1">IF(RTD("tos.rtd",,$A$2,"."&amp;L$83&amp;L$1&amp;"C"&amp;$A98)="N/A",0,RTD("tos.rtd",,$A$2,"."&amp;L$83&amp;L$1&amp;"C"&amp;$A98))-IF(RTD("tos.rtd",,$A$2,"."&amp;L$83&amp;L$1&amp;"P"&amp;$A98)="N/A",0,RTD("tos.rtd",,$A$2,"."&amp;L$83&amp;L$1&amp;"P"&amp;$A98))</f>
        <v>0</v>
      </c>
      <c r="M98" s="56">
        <f ca="1">IF(RTD("tos.rtd",,$A$2,"."&amp;M$83&amp;M$1&amp;"C"&amp;$A98)="N/A",0,RTD("tos.rtd",,$A$2,"."&amp;M$83&amp;M$1&amp;"C"&amp;$A98))-IF(RTD("tos.rtd",,$A$2,"."&amp;M$83&amp;M$1&amp;"P"&amp;$A98)="N/A",0,RTD("tos.rtd",,$A$2,"."&amp;M$83&amp;M$1&amp;"P"&amp;$A98))</f>
        <v>0</v>
      </c>
      <c r="N98" s="56">
        <f ca="1">IF(RTD("tos.rtd",,$A$2,"."&amp;N$83&amp;N$1&amp;"C"&amp;$A98)="N/A",0,RTD("tos.rtd",,$A$2,"."&amp;N$83&amp;N$1&amp;"C"&amp;$A98))-IF(RTD("tos.rtd",,$A$2,"."&amp;N$83&amp;N$1&amp;"P"&amp;$A98)="N/A",0,RTD("tos.rtd",,$A$2,"."&amp;N$83&amp;N$1&amp;"P"&amp;$A98))</f>
        <v>0</v>
      </c>
      <c r="O98" s="56">
        <f ca="1">IF(RTD("tos.rtd",,$A$2,"."&amp;O$83&amp;O$1&amp;"C"&amp;$A98)="N/A",0,RTD("tos.rtd",,$A$2,"."&amp;O$83&amp;O$1&amp;"C"&amp;$A98))-IF(RTD("tos.rtd",,$A$2,"."&amp;O$83&amp;O$1&amp;"P"&amp;$A98)="N/A",0,RTD("tos.rtd",,$A$2,"."&amp;O$83&amp;O$1&amp;"P"&amp;$A98))</f>
        <v>0</v>
      </c>
      <c r="P98" s="56">
        <f ca="1">IF(RTD("tos.rtd",,$A$2,"."&amp;P$83&amp;P$1&amp;"C"&amp;$A98)="N/A",0,RTD("tos.rtd",,$A$2,"."&amp;P$83&amp;P$1&amp;"C"&amp;$A98))-IF(RTD("tos.rtd",,$A$2,"."&amp;P$83&amp;P$1&amp;"P"&amp;$A98)="N/A",0,RTD("tos.rtd",,$A$2,"."&amp;P$83&amp;P$1&amp;"P"&amp;$A98))</f>
        <v>-1</v>
      </c>
      <c r="Q98" s="56">
        <f ca="1">IF(RTD("tos.rtd",,$A$2,"."&amp;Q$83&amp;Q$1&amp;"C"&amp;$A98)="N/A",0,RTD("tos.rtd",,$A$2,"."&amp;Q$83&amp;Q$1&amp;"C"&amp;$A98))-IF(RTD("tos.rtd",,$A$2,"."&amp;Q$83&amp;Q$1&amp;"P"&amp;$A98)="N/A",0,RTD("tos.rtd",,$A$2,"."&amp;Q$83&amp;Q$1&amp;"P"&amp;$A98))</f>
        <v>0</v>
      </c>
      <c r="R98" s="56">
        <f ca="1">IF(RTD("tos.rtd",,$A$2,"."&amp;R$83&amp;R$1&amp;"C"&amp;$A98)="N/A",0,RTD("tos.rtd",,$A$2,"."&amp;R$83&amp;R$1&amp;"C"&amp;$A98))-IF(RTD("tos.rtd",,$A$2,"."&amp;R$83&amp;R$1&amp;"P"&amp;$A98)="N/A",0,RTD("tos.rtd",,$A$2,"."&amp;R$83&amp;R$1&amp;"P"&amp;$A98))</f>
        <v>0</v>
      </c>
      <c r="S98" s="56">
        <f ca="1">IF(RTD("tos.rtd",,$A$2,"."&amp;S$83&amp;S$1&amp;"C"&amp;$A98)="N/A",0,RTD("tos.rtd",,$A$2,"."&amp;S$83&amp;S$1&amp;"C"&amp;$A98))-IF(RTD("tos.rtd",,$A$2,"."&amp;S$83&amp;S$1&amp;"P"&amp;$A98)="N/A",0,RTD("tos.rtd",,$A$2,"."&amp;S$83&amp;S$1&amp;"P"&amp;$A98))</f>
        <v>0</v>
      </c>
      <c r="T98" s="56">
        <f ca="1">IF(RTD("tos.rtd",,$A$2,"."&amp;T$83&amp;T$1&amp;"C"&amp;$A98)="N/A",0,RTD("tos.rtd",,$A$2,"."&amp;T$83&amp;T$1&amp;"C"&amp;$A98))-IF(RTD("tos.rtd",,$A$2,"."&amp;T$83&amp;T$1&amp;"P"&amp;$A98)="N/A",0,RTD("tos.rtd",,$A$2,"."&amp;T$83&amp;T$1&amp;"P"&amp;$A98))</f>
        <v>0</v>
      </c>
      <c r="U98" s="56">
        <f ca="1">IF(RTD("tos.rtd",,$A$2,"."&amp;U$83&amp;U$1&amp;"C"&amp;$A98)="N/A",0,RTD("tos.rtd",,$A$2,"."&amp;U$83&amp;U$1&amp;"C"&amp;$A98))-IF(RTD("tos.rtd",,$A$2,"."&amp;U$83&amp;U$1&amp;"P"&amp;$A98)="N/A",0,RTD("tos.rtd",,$A$2,"."&amp;U$83&amp;U$1&amp;"P"&amp;$A98))</f>
        <v>0</v>
      </c>
      <c r="V98" s="56">
        <f ca="1">IF(RTD("tos.rtd",,$A$2,"."&amp;V$83&amp;V$1&amp;"C"&amp;$A98)="N/A",0,RTD("tos.rtd",,$A$2,"."&amp;V$83&amp;V$1&amp;"C"&amp;$A98))-IF(RTD("tos.rtd",,$A$2,"."&amp;V$83&amp;V$1&amp;"P"&amp;$A98)="N/A",0,RTD("tos.rtd",,$A$2,"."&amp;V$83&amp;V$1&amp;"P"&amp;$A98))</f>
        <v>0</v>
      </c>
      <c r="W98" s="56">
        <f ca="1">IF(RTD("tos.rtd",,$A$2,"."&amp;W$83&amp;W$1&amp;"C"&amp;$A98)="N/A",0,RTD("tos.rtd",,$A$2,"."&amp;W$83&amp;W$1&amp;"C"&amp;$A98))-IF(RTD("tos.rtd",,$A$2,"."&amp;W$83&amp;W$1&amp;"P"&amp;$A98)="N/A",0,RTD("tos.rtd",,$A$2,"."&amp;W$83&amp;W$1&amp;"P"&amp;$A98))</f>
        <v>0</v>
      </c>
      <c r="X98" s="56">
        <f ca="1">IF(RTD("tos.rtd",,$A$2,"."&amp;X$83&amp;X$1&amp;"C"&amp;$A98)="N/A",0,RTD("tos.rtd",,$A$2,"."&amp;X$83&amp;X$1&amp;"C"&amp;$A98))-IF(RTD("tos.rtd",,$A$2,"."&amp;X$83&amp;X$1&amp;"P"&amp;$A98)="N/A",0,RTD("tos.rtd",,$A$2,"."&amp;X$83&amp;X$1&amp;"P"&amp;$A98))</f>
        <v>0</v>
      </c>
      <c r="Y98" s="63">
        <f t="shared" ca="1" si="13"/>
        <v>6101</v>
      </c>
    </row>
    <row r="99" spans="1:25" x14ac:dyDescent="0.25">
      <c r="A99" s="58">
        <f>+Hoja1!A98</f>
        <v>6775</v>
      </c>
      <c r="B99" s="56">
        <f ca="1">IF(RTD("tos.rtd",,$A$2,"."&amp;B$83&amp;B$1&amp;"C"&amp;$A99)="N/A",0,RTD("tos.rtd",,$A$2,"."&amp;B$83&amp;B$1&amp;"C"&amp;$A99))-IF(RTD("tos.rtd",,$A$2,"."&amp;B$83&amp;B$1&amp;"P"&amp;$A99)="N/A",0,RTD("tos.rtd",,$A$2,"."&amp;B$83&amp;B$1&amp;"P"&amp;$A99))</f>
        <v>3416</v>
      </c>
      <c r="C99" s="56">
        <f ca="1">IF(RTD("tos.rtd",,$A$2,"."&amp;C$83&amp;C$1&amp;"C"&amp;$A99)="N/A",0,RTD("tos.rtd",,$A$2,"."&amp;C$83&amp;C$1&amp;"C"&amp;$A99))-IF(RTD("tos.rtd",,$A$2,"."&amp;C$83&amp;C$1&amp;"P"&amp;$A99)="N/A",0,RTD("tos.rtd",,$A$2,"."&amp;C$83&amp;C$1&amp;"P"&amp;$A99))</f>
        <v>438</v>
      </c>
      <c r="D99" s="56">
        <f ca="1">IF(RTD("tos.rtd",,$A$2,"."&amp;D$83&amp;D$1&amp;"C"&amp;$A99)="N/A",0,RTD("tos.rtd",,$A$2,"."&amp;D$83&amp;D$1&amp;"C"&amp;$A99))-IF(RTD("tos.rtd",,$A$2,"."&amp;D$83&amp;D$1&amp;"P"&amp;$A99)="N/A",0,RTD("tos.rtd",,$A$2,"."&amp;D$83&amp;D$1&amp;"P"&amp;$A99))</f>
        <v>606</v>
      </c>
      <c r="E99" s="56">
        <f ca="1">IF(RTD("tos.rtd",,$A$2,"."&amp;E$83&amp;E$1&amp;"C"&amp;$A99)="N/A",0,RTD("tos.rtd",,$A$2,"."&amp;E$83&amp;E$1&amp;"C"&amp;$A99))-IF(RTD("tos.rtd",,$A$2,"."&amp;E$83&amp;E$1&amp;"P"&amp;$A99)="N/A",0,RTD("tos.rtd",,$A$2,"."&amp;E$83&amp;E$1&amp;"P"&amp;$A99))</f>
        <v>-482</v>
      </c>
      <c r="F99" s="56">
        <f ca="1">IF(RTD("tos.rtd",,$A$2,"."&amp;F$83&amp;F$1&amp;"C"&amp;$A99)="N/A",0,RTD("tos.rtd",,$A$2,"."&amp;F$83&amp;F$1&amp;"C"&amp;$A99))-IF(RTD("tos.rtd",,$A$2,"."&amp;F$83&amp;F$1&amp;"P"&amp;$A99)="N/A",0,RTD("tos.rtd",,$A$2,"."&amp;F$83&amp;F$1&amp;"P"&amp;$A99))</f>
        <v>0</v>
      </c>
      <c r="G99" s="56">
        <f ca="1">IF(RTD("tos.rtd",,$A$2,"."&amp;G$83&amp;G$1&amp;"C"&amp;$A99)="N/A",0,RTD("tos.rtd",,$A$2,"."&amp;G$83&amp;G$1&amp;"C"&amp;$A99))-IF(RTD("tos.rtd",,$A$2,"."&amp;G$83&amp;G$1&amp;"P"&amp;$A99)="N/A",0,RTD("tos.rtd",,$A$2,"."&amp;G$83&amp;G$1&amp;"P"&amp;$A99))</f>
        <v>0</v>
      </c>
      <c r="H99" s="56">
        <f ca="1">IF(RTD("tos.rtd",,$A$2,"."&amp;H$83&amp;H$1&amp;"C"&amp;$A99)="N/A",0,RTD("tos.rtd",,$A$2,"."&amp;H$83&amp;H$1&amp;"C"&amp;$A99))-IF(RTD("tos.rtd",,$A$2,"."&amp;H$83&amp;H$1&amp;"P"&amp;$A99)="N/A",0,RTD("tos.rtd",,$A$2,"."&amp;H$83&amp;H$1&amp;"P"&amp;$A99))</f>
        <v>75</v>
      </c>
      <c r="I99" s="56">
        <f ca="1">IF(RTD("tos.rtd",,$A$2,"."&amp;I$83&amp;I$1&amp;"C"&amp;$A99)="N/A",0,RTD("tos.rtd",,$A$2,"."&amp;I$83&amp;I$1&amp;"C"&amp;$A99))-IF(RTD("tos.rtd",,$A$2,"."&amp;I$83&amp;I$1&amp;"P"&amp;$A99)="N/A",0,RTD("tos.rtd",,$A$2,"."&amp;I$83&amp;I$1&amp;"P"&amp;$A99))</f>
        <v>26</v>
      </c>
      <c r="J99" s="56">
        <f ca="1">IF(RTD("tos.rtd",,$A$2,"."&amp;J$83&amp;J$1&amp;"C"&amp;$A99)="N/A",0,RTD("tos.rtd",,$A$2,"."&amp;J$83&amp;J$1&amp;"C"&amp;$A99))-IF(RTD("tos.rtd",,$A$2,"."&amp;J$83&amp;J$1&amp;"P"&amp;$A99)="N/A",0,RTD("tos.rtd",,$A$2,"."&amp;J$83&amp;J$1&amp;"P"&amp;$A99))</f>
        <v>12</v>
      </c>
      <c r="K99" s="56">
        <f ca="1">IF(RTD("tos.rtd",,$A$2,"."&amp;K$83&amp;K$1&amp;"C"&amp;$A99)="N/A",0,RTD("tos.rtd",,$A$2,"."&amp;K$83&amp;K$1&amp;"C"&amp;$A99))-IF(RTD("tos.rtd",,$A$2,"."&amp;K$83&amp;K$1&amp;"P"&amp;$A99)="N/A",0,RTD("tos.rtd",,$A$2,"."&amp;K$83&amp;K$1&amp;"P"&amp;$A99))</f>
        <v>14</v>
      </c>
      <c r="L99" s="56">
        <f ca="1">IF(RTD("tos.rtd",,$A$2,"."&amp;L$83&amp;L$1&amp;"C"&amp;$A99)="N/A",0,RTD("tos.rtd",,$A$2,"."&amp;L$83&amp;L$1&amp;"C"&amp;$A99))-IF(RTD("tos.rtd",,$A$2,"."&amp;L$83&amp;L$1&amp;"P"&amp;$A99)="N/A",0,RTD("tos.rtd",,$A$2,"."&amp;L$83&amp;L$1&amp;"P"&amp;$A99))</f>
        <v>0</v>
      </c>
      <c r="M99" s="56">
        <f ca="1">IF(RTD("tos.rtd",,$A$2,"."&amp;M$83&amp;M$1&amp;"C"&amp;$A99)="N/A",0,RTD("tos.rtd",,$A$2,"."&amp;M$83&amp;M$1&amp;"C"&amp;$A99))-IF(RTD("tos.rtd",,$A$2,"."&amp;M$83&amp;M$1&amp;"P"&amp;$A99)="N/A",0,RTD("tos.rtd",,$A$2,"."&amp;M$83&amp;M$1&amp;"P"&amp;$A99))</f>
        <v>0</v>
      </c>
      <c r="N99" s="56">
        <f ca="1">IF(RTD("tos.rtd",,$A$2,"."&amp;N$83&amp;N$1&amp;"C"&amp;$A99)="N/A",0,RTD("tos.rtd",,$A$2,"."&amp;N$83&amp;N$1&amp;"C"&amp;$A99))-IF(RTD("tos.rtd",,$A$2,"."&amp;N$83&amp;N$1&amp;"P"&amp;$A99)="N/A",0,RTD("tos.rtd",,$A$2,"."&amp;N$83&amp;N$1&amp;"P"&amp;$A99))</f>
        <v>0</v>
      </c>
      <c r="O99" s="56">
        <f ca="1">IF(RTD("tos.rtd",,$A$2,"."&amp;O$83&amp;O$1&amp;"C"&amp;$A99)="N/A",0,RTD("tos.rtd",,$A$2,"."&amp;O$83&amp;O$1&amp;"C"&amp;$A99))-IF(RTD("tos.rtd",,$A$2,"."&amp;O$83&amp;O$1&amp;"P"&amp;$A99)="N/A",0,RTD("tos.rtd",,$A$2,"."&amp;O$83&amp;O$1&amp;"P"&amp;$A99))</f>
        <v>0</v>
      </c>
      <c r="P99" s="56">
        <f ca="1">IF(RTD("tos.rtd",,$A$2,"."&amp;P$83&amp;P$1&amp;"C"&amp;$A99)="N/A",0,RTD("tos.rtd",,$A$2,"."&amp;P$83&amp;P$1&amp;"C"&amp;$A99))-IF(RTD("tos.rtd",,$A$2,"."&amp;P$83&amp;P$1&amp;"P"&amp;$A99)="N/A",0,RTD("tos.rtd",,$A$2,"."&amp;P$83&amp;P$1&amp;"P"&amp;$A99))</f>
        <v>-54</v>
      </c>
      <c r="Q99" s="56">
        <f ca="1">IF(RTD("tos.rtd",,$A$2,"."&amp;Q$83&amp;Q$1&amp;"C"&amp;$A99)="N/A",0,RTD("tos.rtd",,$A$2,"."&amp;Q$83&amp;Q$1&amp;"C"&amp;$A99))-IF(RTD("tos.rtd",,$A$2,"."&amp;Q$83&amp;Q$1&amp;"P"&amp;$A99)="N/A",0,RTD("tos.rtd",,$A$2,"."&amp;Q$83&amp;Q$1&amp;"P"&amp;$A99))</f>
        <v>0</v>
      </c>
      <c r="R99" s="56">
        <f ca="1">IF(RTD("tos.rtd",,$A$2,"."&amp;R$83&amp;R$1&amp;"C"&amp;$A99)="N/A",0,RTD("tos.rtd",,$A$2,"."&amp;R$83&amp;R$1&amp;"C"&amp;$A99))-IF(RTD("tos.rtd",,$A$2,"."&amp;R$83&amp;R$1&amp;"P"&amp;$A99)="N/A",0,RTD("tos.rtd",,$A$2,"."&amp;R$83&amp;R$1&amp;"P"&amp;$A99))</f>
        <v>0</v>
      </c>
      <c r="S99" s="56">
        <f ca="1">IF(RTD("tos.rtd",,$A$2,"."&amp;S$83&amp;S$1&amp;"C"&amp;$A99)="N/A",0,RTD("tos.rtd",,$A$2,"."&amp;S$83&amp;S$1&amp;"C"&amp;$A99))-IF(RTD("tos.rtd",,$A$2,"."&amp;S$83&amp;S$1&amp;"P"&amp;$A99)="N/A",0,RTD("tos.rtd",,$A$2,"."&amp;S$83&amp;S$1&amp;"P"&amp;$A99))</f>
        <v>0</v>
      </c>
      <c r="T99" s="56">
        <f ca="1">IF(RTD("tos.rtd",,$A$2,"."&amp;T$83&amp;T$1&amp;"C"&amp;$A99)="N/A",0,RTD("tos.rtd",,$A$2,"."&amp;T$83&amp;T$1&amp;"C"&amp;$A99))-IF(RTD("tos.rtd",,$A$2,"."&amp;T$83&amp;T$1&amp;"P"&amp;$A99)="N/A",0,RTD("tos.rtd",,$A$2,"."&amp;T$83&amp;T$1&amp;"P"&amp;$A99))</f>
        <v>0</v>
      </c>
      <c r="U99" s="56">
        <f ca="1">IF(RTD("tos.rtd",,$A$2,"."&amp;U$83&amp;U$1&amp;"C"&amp;$A99)="N/A",0,RTD("tos.rtd",,$A$2,"."&amp;U$83&amp;U$1&amp;"C"&amp;$A99))-IF(RTD("tos.rtd",,$A$2,"."&amp;U$83&amp;U$1&amp;"P"&amp;$A99)="N/A",0,RTD("tos.rtd",,$A$2,"."&amp;U$83&amp;U$1&amp;"P"&amp;$A99))</f>
        <v>0</v>
      </c>
      <c r="V99" s="56">
        <f ca="1">IF(RTD("tos.rtd",,$A$2,"."&amp;V$83&amp;V$1&amp;"C"&amp;$A99)="N/A",0,RTD("tos.rtd",,$A$2,"."&amp;V$83&amp;V$1&amp;"C"&amp;$A99))-IF(RTD("tos.rtd",,$A$2,"."&amp;V$83&amp;V$1&amp;"P"&amp;$A99)="N/A",0,RTD("tos.rtd",,$A$2,"."&amp;V$83&amp;V$1&amp;"P"&amp;$A99))</f>
        <v>0</v>
      </c>
      <c r="W99" s="56">
        <f ca="1">IF(RTD("tos.rtd",,$A$2,"."&amp;W$83&amp;W$1&amp;"C"&amp;$A99)="N/A",0,RTD("tos.rtd",,$A$2,"."&amp;W$83&amp;W$1&amp;"C"&amp;$A99))-IF(RTD("tos.rtd",,$A$2,"."&amp;W$83&amp;W$1&amp;"P"&amp;$A99)="N/A",0,RTD("tos.rtd",,$A$2,"."&amp;W$83&amp;W$1&amp;"P"&amp;$A99))</f>
        <v>0</v>
      </c>
      <c r="X99" s="56">
        <f ca="1">IF(RTD("tos.rtd",,$A$2,"."&amp;X$83&amp;X$1&amp;"C"&amp;$A99)="N/A",0,RTD("tos.rtd",,$A$2,"."&amp;X$83&amp;X$1&amp;"C"&amp;$A99))-IF(RTD("tos.rtd",,$A$2,"."&amp;X$83&amp;X$1&amp;"P"&amp;$A99)="N/A",0,RTD("tos.rtd",,$A$2,"."&amp;X$83&amp;X$1&amp;"P"&amp;$A99))</f>
        <v>0</v>
      </c>
      <c r="Y99" s="63">
        <f t="shared" ca="1" si="13"/>
        <v>4051</v>
      </c>
    </row>
    <row r="100" spans="1:25" x14ac:dyDescent="0.25">
      <c r="A100" s="58">
        <f>+Hoja1!A99</f>
        <v>6770</v>
      </c>
      <c r="B100" s="56">
        <f ca="1">IF(RTD("tos.rtd",,$A$2,"."&amp;B$83&amp;B$1&amp;"C"&amp;$A100)="N/A",0,RTD("tos.rtd",,$A$2,"."&amp;B$83&amp;B$1&amp;"C"&amp;$A100))-IF(RTD("tos.rtd",,$A$2,"."&amp;B$83&amp;B$1&amp;"P"&amp;$A100)="N/A",0,RTD("tos.rtd",,$A$2,"."&amp;B$83&amp;B$1&amp;"P"&amp;$A100))</f>
        <v>2645</v>
      </c>
      <c r="C100" s="56">
        <f ca="1">IF(RTD("tos.rtd",,$A$2,"."&amp;C$83&amp;C$1&amp;"C"&amp;$A100)="N/A",0,RTD("tos.rtd",,$A$2,"."&amp;C$83&amp;C$1&amp;"C"&amp;$A100))-IF(RTD("tos.rtd",,$A$2,"."&amp;C$83&amp;C$1&amp;"P"&amp;$A100)="N/A",0,RTD("tos.rtd",,$A$2,"."&amp;C$83&amp;C$1&amp;"P"&amp;$A100))</f>
        <v>346</v>
      </c>
      <c r="D100" s="56">
        <f ca="1">IF(RTD("tos.rtd",,$A$2,"."&amp;D$83&amp;D$1&amp;"C"&amp;$A100)="N/A",0,RTD("tos.rtd",,$A$2,"."&amp;D$83&amp;D$1&amp;"C"&amp;$A100))-IF(RTD("tos.rtd",,$A$2,"."&amp;D$83&amp;D$1&amp;"P"&amp;$A100)="N/A",0,RTD("tos.rtd",,$A$2,"."&amp;D$83&amp;D$1&amp;"P"&amp;$A100))</f>
        <v>-27</v>
      </c>
      <c r="E100" s="56">
        <f ca="1">IF(RTD("tos.rtd",,$A$2,"."&amp;E$83&amp;E$1&amp;"C"&amp;$A100)="N/A",0,RTD("tos.rtd",,$A$2,"."&amp;E$83&amp;E$1&amp;"C"&amp;$A100))-IF(RTD("tos.rtd",,$A$2,"."&amp;E$83&amp;E$1&amp;"P"&amp;$A100)="N/A",0,RTD("tos.rtd",,$A$2,"."&amp;E$83&amp;E$1&amp;"P"&amp;$A100))</f>
        <v>334</v>
      </c>
      <c r="F100" s="56">
        <f ca="1">IF(RTD("tos.rtd",,$A$2,"."&amp;F$83&amp;F$1&amp;"C"&amp;$A100)="N/A",0,RTD("tos.rtd",,$A$2,"."&amp;F$83&amp;F$1&amp;"C"&amp;$A100))-IF(RTD("tos.rtd",,$A$2,"."&amp;F$83&amp;F$1&amp;"P"&amp;$A100)="N/A",0,RTD("tos.rtd",,$A$2,"."&amp;F$83&amp;F$1&amp;"P"&amp;$A100))</f>
        <v>0</v>
      </c>
      <c r="G100" s="56">
        <f ca="1">IF(RTD("tos.rtd",,$A$2,"."&amp;G$83&amp;G$1&amp;"C"&amp;$A100)="N/A",0,RTD("tos.rtd",,$A$2,"."&amp;G$83&amp;G$1&amp;"C"&amp;$A100))-IF(RTD("tos.rtd",,$A$2,"."&amp;G$83&amp;G$1&amp;"P"&amp;$A100)="N/A",0,RTD("tos.rtd",,$A$2,"."&amp;G$83&amp;G$1&amp;"P"&amp;$A100))</f>
        <v>0</v>
      </c>
      <c r="H100" s="56">
        <f ca="1">IF(RTD("tos.rtd",,$A$2,"."&amp;H$83&amp;H$1&amp;"C"&amp;$A100)="N/A",0,RTD("tos.rtd",,$A$2,"."&amp;H$83&amp;H$1&amp;"C"&amp;$A100))-IF(RTD("tos.rtd",,$A$2,"."&amp;H$83&amp;H$1&amp;"P"&amp;$A100)="N/A",0,RTD("tos.rtd",,$A$2,"."&amp;H$83&amp;H$1&amp;"P"&amp;$A100))</f>
        <v>-6</v>
      </c>
      <c r="I100" s="56">
        <f ca="1">IF(RTD("tos.rtd",,$A$2,"."&amp;I$83&amp;I$1&amp;"C"&amp;$A100)="N/A",0,RTD("tos.rtd",,$A$2,"."&amp;I$83&amp;I$1&amp;"C"&amp;$A100))-IF(RTD("tos.rtd",,$A$2,"."&amp;I$83&amp;I$1&amp;"P"&amp;$A100)="N/A",0,RTD("tos.rtd",,$A$2,"."&amp;I$83&amp;I$1&amp;"P"&amp;$A100))</f>
        <v>3</v>
      </c>
      <c r="J100" s="56">
        <f ca="1">IF(RTD("tos.rtd",,$A$2,"."&amp;J$83&amp;J$1&amp;"C"&amp;$A100)="N/A",0,RTD("tos.rtd",,$A$2,"."&amp;J$83&amp;J$1&amp;"C"&amp;$A100))-IF(RTD("tos.rtd",,$A$2,"."&amp;J$83&amp;J$1&amp;"P"&amp;$A100)="N/A",0,RTD("tos.rtd",,$A$2,"."&amp;J$83&amp;J$1&amp;"P"&amp;$A100))</f>
        <v>-18</v>
      </c>
      <c r="K100" s="56">
        <f ca="1">IF(RTD("tos.rtd",,$A$2,"."&amp;K$83&amp;K$1&amp;"C"&amp;$A100)="N/A",0,RTD("tos.rtd",,$A$2,"."&amp;K$83&amp;K$1&amp;"C"&amp;$A100))-IF(RTD("tos.rtd",,$A$2,"."&amp;K$83&amp;K$1&amp;"P"&amp;$A100)="N/A",0,RTD("tos.rtd",,$A$2,"."&amp;K$83&amp;K$1&amp;"P"&amp;$A100))</f>
        <v>2</v>
      </c>
      <c r="L100" s="56">
        <f ca="1">IF(RTD("tos.rtd",,$A$2,"."&amp;L$83&amp;L$1&amp;"C"&amp;$A100)="N/A",0,RTD("tos.rtd",,$A$2,"."&amp;L$83&amp;L$1&amp;"C"&amp;$A100))-IF(RTD("tos.rtd",,$A$2,"."&amp;L$83&amp;L$1&amp;"P"&amp;$A100)="N/A",0,RTD("tos.rtd",,$A$2,"."&amp;L$83&amp;L$1&amp;"P"&amp;$A100))</f>
        <v>0</v>
      </c>
      <c r="M100" s="56">
        <f ca="1">IF(RTD("tos.rtd",,$A$2,"."&amp;M$83&amp;M$1&amp;"C"&amp;$A100)="N/A",0,RTD("tos.rtd",,$A$2,"."&amp;M$83&amp;M$1&amp;"C"&amp;$A100))-IF(RTD("tos.rtd",,$A$2,"."&amp;M$83&amp;M$1&amp;"P"&amp;$A100)="N/A",0,RTD("tos.rtd",,$A$2,"."&amp;M$83&amp;M$1&amp;"P"&amp;$A100))</f>
        <v>0</v>
      </c>
      <c r="N100" s="56">
        <f ca="1">IF(RTD("tos.rtd",,$A$2,"."&amp;N$83&amp;N$1&amp;"C"&amp;$A100)="N/A",0,RTD("tos.rtd",,$A$2,"."&amp;N$83&amp;N$1&amp;"C"&amp;$A100))-IF(RTD("tos.rtd",,$A$2,"."&amp;N$83&amp;N$1&amp;"P"&amp;$A100)="N/A",0,RTD("tos.rtd",,$A$2,"."&amp;N$83&amp;N$1&amp;"P"&amp;$A100))</f>
        <v>0</v>
      </c>
      <c r="O100" s="56">
        <f ca="1">IF(RTD("tos.rtd",,$A$2,"."&amp;O$83&amp;O$1&amp;"C"&amp;$A100)="N/A",0,RTD("tos.rtd",,$A$2,"."&amp;O$83&amp;O$1&amp;"C"&amp;$A100))-IF(RTD("tos.rtd",,$A$2,"."&amp;O$83&amp;O$1&amp;"P"&amp;$A100)="N/A",0,RTD("tos.rtd",,$A$2,"."&amp;O$83&amp;O$1&amp;"P"&amp;$A100))</f>
        <v>0</v>
      </c>
      <c r="P100" s="56">
        <f ca="1">IF(RTD("tos.rtd",,$A$2,"."&amp;P$83&amp;P$1&amp;"C"&amp;$A100)="N/A",0,RTD("tos.rtd",,$A$2,"."&amp;P$83&amp;P$1&amp;"C"&amp;$A100))-IF(RTD("tos.rtd",,$A$2,"."&amp;P$83&amp;P$1&amp;"P"&amp;$A100)="N/A",0,RTD("tos.rtd",,$A$2,"."&amp;P$83&amp;P$1&amp;"P"&amp;$A100))</f>
        <v>-7</v>
      </c>
      <c r="Q100" s="56">
        <f ca="1">IF(RTD("tos.rtd",,$A$2,"."&amp;Q$83&amp;Q$1&amp;"C"&amp;$A100)="N/A",0,RTD("tos.rtd",,$A$2,"."&amp;Q$83&amp;Q$1&amp;"C"&amp;$A100))-IF(RTD("tos.rtd",,$A$2,"."&amp;Q$83&amp;Q$1&amp;"P"&amp;$A100)="N/A",0,RTD("tos.rtd",,$A$2,"."&amp;Q$83&amp;Q$1&amp;"P"&amp;$A100))</f>
        <v>0</v>
      </c>
      <c r="R100" s="56">
        <f ca="1">IF(RTD("tos.rtd",,$A$2,"."&amp;R$83&amp;R$1&amp;"C"&amp;$A100)="N/A",0,RTD("tos.rtd",,$A$2,"."&amp;R$83&amp;R$1&amp;"C"&amp;$A100))-IF(RTD("tos.rtd",,$A$2,"."&amp;R$83&amp;R$1&amp;"P"&amp;$A100)="N/A",0,RTD("tos.rtd",,$A$2,"."&amp;R$83&amp;R$1&amp;"P"&amp;$A100))</f>
        <v>0</v>
      </c>
      <c r="S100" s="56">
        <f ca="1">IF(RTD("tos.rtd",,$A$2,"."&amp;S$83&amp;S$1&amp;"C"&amp;$A100)="N/A",0,RTD("tos.rtd",,$A$2,"."&amp;S$83&amp;S$1&amp;"C"&amp;$A100))-IF(RTD("tos.rtd",,$A$2,"."&amp;S$83&amp;S$1&amp;"P"&amp;$A100)="N/A",0,RTD("tos.rtd",,$A$2,"."&amp;S$83&amp;S$1&amp;"P"&amp;$A100))</f>
        <v>0</v>
      </c>
      <c r="T100" s="56">
        <f ca="1">IF(RTD("tos.rtd",,$A$2,"."&amp;T$83&amp;T$1&amp;"C"&amp;$A100)="N/A",0,RTD("tos.rtd",,$A$2,"."&amp;T$83&amp;T$1&amp;"C"&amp;$A100))-IF(RTD("tos.rtd",,$A$2,"."&amp;T$83&amp;T$1&amp;"P"&amp;$A100)="N/A",0,RTD("tos.rtd",,$A$2,"."&amp;T$83&amp;T$1&amp;"P"&amp;$A100))</f>
        <v>0</v>
      </c>
      <c r="U100" s="56">
        <f ca="1">IF(RTD("tos.rtd",,$A$2,"."&amp;U$83&amp;U$1&amp;"C"&amp;$A100)="N/A",0,RTD("tos.rtd",,$A$2,"."&amp;U$83&amp;U$1&amp;"C"&amp;$A100))-IF(RTD("tos.rtd",,$A$2,"."&amp;U$83&amp;U$1&amp;"P"&amp;$A100)="N/A",0,RTD("tos.rtd",,$A$2,"."&amp;U$83&amp;U$1&amp;"P"&amp;$A100))</f>
        <v>0</v>
      </c>
      <c r="V100" s="56">
        <f ca="1">IF(RTD("tos.rtd",,$A$2,"."&amp;V$83&amp;V$1&amp;"C"&amp;$A100)="N/A",0,RTD("tos.rtd",,$A$2,"."&amp;V$83&amp;V$1&amp;"C"&amp;$A100))-IF(RTD("tos.rtd",,$A$2,"."&amp;V$83&amp;V$1&amp;"P"&amp;$A100)="N/A",0,RTD("tos.rtd",,$A$2,"."&amp;V$83&amp;V$1&amp;"P"&amp;$A100))</f>
        <v>0</v>
      </c>
      <c r="W100" s="56">
        <f ca="1">IF(RTD("tos.rtd",,$A$2,"."&amp;W$83&amp;W$1&amp;"C"&amp;$A100)="N/A",0,RTD("tos.rtd",,$A$2,"."&amp;W$83&amp;W$1&amp;"C"&amp;$A100))-IF(RTD("tos.rtd",,$A$2,"."&amp;W$83&amp;W$1&amp;"P"&amp;$A100)="N/A",0,RTD("tos.rtd",,$A$2,"."&amp;W$83&amp;W$1&amp;"P"&amp;$A100))</f>
        <v>0</v>
      </c>
      <c r="X100" s="56">
        <f ca="1">IF(RTD("tos.rtd",,$A$2,"."&amp;X$83&amp;X$1&amp;"C"&amp;$A100)="N/A",0,RTD("tos.rtd",,$A$2,"."&amp;X$83&amp;X$1&amp;"C"&amp;$A100))-IF(RTD("tos.rtd",,$A$2,"."&amp;X$83&amp;X$1&amp;"P"&amp;$A100)="N/A",0,RTD("tos.rtd",,$A$2,"."&amp;X$83&amp;X$1&amp;"P"&amp;$A100))</f>
        <v>0</v>
      </c>
      <c r="Y100" s="63">
        <f t="shared" ca="1" si="13"/>
        <v>3272</v>
      </c>
    </row>
    <row r="101" spans="1:25" x14ac:dyDescent="0.25">
      <c r="A101" s="58">
        <f>+Hoja1!A100</f>
        <v>6765</v>
      </c>
      <c r="B101" s="56">
        <f ca="1">IF(RTD("tos.rtd",,$A$2,"."&amp;B$83&amp;B$1&amp;"C"&amp;$A101)="N/A",0,RTD("tos.rtd",,$A$2,"."&amp;B$83&amp;B$1&amp;"C"&amp;$A101))-IF(RTD("tos.rtd",,$A$2,"."&amp;B$83&amp;B$1&amp;"P"&amp;$A101)="N/A",0,RTD("tos.rtd",,$A$2,"."&amp;B$83&amp;B$1&amp;"P"&amp;$A101))</f>
        <v>3286</v>
      </c>
      <c r="C101" s="56">
        <f ca="1">IF(RTD("tos.rtd",,$A$2,"."&amp;C$83&amp;C$1&amp;"C"&amp;$A101)="N/A",0,RTD("tos.rtd",,$A$2,"."&amp;C$83&amp;C$1&amp;"C"&amp;$A101))-IF(RTD("tos.rtd",,$A$2,"."&amp;C$83&amp;C$1&amp;"P"&amp;$A101)="N/A",0,RTD("tos.rtd",,$A$2,"."&amp;C$83&amp;C$1&amp;"P"&amp;$A101))</f>
        <v>320</v>
      </c>
      <c r="D101" s="56">
        <f ca="1">IF(RTD("tos.rtd",,$A$2,"."&amp;D$83&amp;D$1&amp;"C"&amp;$A101)="N/A",0,RTD("tos.rtd",,$A$2,"."&amp;D$83&amp;D$1&amp;"C"&amp;$A101))-IF(RTD("tos.rtd",,$A$2,"."&amp;D$83&amp;D$1&amp;"P"&amp;$A101)="N/A",0,RTD("tos.rtd",,$A$2,"."&amp;D$83&amp;D$1&amp;"P"&amp;$A101))</f>
        <v>281</v>
      </c>
      <c r="E101" s="56">
        <f ca="1">IF(RTD("tos.rtd",,$A$2,"."&amp;E$83&amp;E$1&amp;"C"&amp;$A101)="N/A",0,RTD("tos.rtd",,$A$2,"."&amp;E$83&amp;E$1&amp;"C"&amp;$A101))-IF(RTD("tos.rtd",,$A$2,"."&amp;E$83&amp;E$1&amp;"P"&amp;$A101)="N/A",0,RTD("tos.rtd",,$A$2,"."&amp;E$83&amp;E$1&amp;"P"&amp;$A101))</f>
        <v>219</v>
      </c>
      <c r="F101" s="56">
        <f ca="1">IF(RTD("tos.rtd",,$A$2,"."&amp;F$83&amp;F$1&amp;"C"&amp;$A101)="N/A",0,RTD("tos.rtd",,$A$2,"."&amp;F$83&amp;F$1&amp;"C"&amp;$A101))-IF(RTD("tos.rtd",,$A$2,"."&amp;F$83&amp;F$1&amp;"P"&amp;$A101)="N/A",0,RTD("tos.rtd",,$A$2,"."&amp;F$83&amp;F$1&amp;"P"&amp;$A101))</f>
        <v>0</v>
      </c>
      <c r="G101" s="56">
        <f ca="1">IF(RTD("tos.rtd",,$A$2,"."&amp;G$83&amp;G$1&amp;"C"&amp;$A101)="N/A",0,RTD("tos.rtd",,$A$2,"."&amp;G$83&amp;G$1&amp;"C"&amp;$A101))-IF(RTD("tos.rtd",,$A$2,"."&amp;G$83&amp;G$1&amp;"P"&amp;$A101)="N/A",0,RTD("tos.rtd",,$A$2,"."&amp;G$83&amp;G$1&amp;"P"&amp;$A101))</f>
        <v>0</v>
      </c>
      <c r="H101" s="56">
        <f ca="1">IF(RTD("tos.rtd",,$A$2,"."&amp;H$83&amp;H$1&amp;"C"&amp;$A101)="N/A",0,RTD("tos.rtd",,$A$2,"."&amp;H$83&amp;H$1&amp;"C"&amp;$A101))-IF(RTD("tos.rtd",,$A$2,"."&amp;H$83&amp;H$1&amp;"P"&amp;$A101)="N/A",0,RTD("tos.rtd",,$A$2,"."&amp;H$83&amp;H$1&amp;"P"&amp;$A101))</f>
        <v>22</v>
      </c>
      <c r="I101" s="56">
        <f ca="1">IF(RTD("tos.rtd",,$A$2,"."&amp;I$83&amp;I$1&amp;"C"&amp;$A101)="N/A",0,RTD("tos.rtd",,$A$2,"."&amp;I$83&amp;I$1&amp;"C"&amp;$A101))-IF(RTD("tos.rtd",,$A$2,"."&amp;I$83&amp;I$1&amp;"P"&amp;$A101)="N/A",0,RTD("tos.rtd",,$A$2,"."&amp;I$83&amp;I$1&amp;"P"&amp;$A101))</f>
        <v>4</v>
      </c>
      <c r="J101" s="56">
        <f ca="1">IF(RTD("tos.rtd",,$A$2,"."&amp;J$83&amp;J$1&amp;"C"&amp;$A101)="N/A",0,RTD("tos.rtd",,$A$2,"."&amp;J$83&amp;J$1&amp;"C"&amp;$A101))-IF(RTD("tos.rtd",,$A$2,"."&amp;J$83&amp;J$1&amp;"P"&amp;$A101)="N/A",0,RTD("tos.rtd",,$A$2,"."&amp;J$83&amp;J$1&amp;"P"&amp;$A101))</f>
        <v>0</v>
      </c>
      <c r="K101" s="56">
        <f ca="1">IF(RTD("tos.rtd",,$A$2,"."&amp;K$83&amp;K$1&amp;"C"&amp;$A101)="N/A",0,RTD("tos.rtd",,$A$2,"."&amp;K$83&amp;K$1&amp;"C"&amp;$A101))-IF(RTD("tos.rtd",,$A$2,"."&amp;K$83&amp;K$1&amp;"P"&amp;$A101)="N/A",0,RTD("tos.rtd",,$A$2,"."&amp;K$83&amp;K$1&amp;"P"&amp;$A101))</f>
        <v>33</v>
      </c>
      <c r="L101" s="56">
        <f ca="1">IF(RTD("tos.rtd",,$A$2,"."&amp;L$83&amp;L$1&amp;"C"&amp;$A101)="N/A",0,RTD("tos.rtd",,$A$2,"."&amp;L$83&amp;L$1&amp;"C"&amp;$A101))-IF(RTD("tos.rtd",,$A$2,"."&amp;L$83&amp;L$1&amp;"P"&amp;$A101)="N/A",0,RTD("tos.rtd",,$A$2,"."&amp;L$83&amp;L$1&amp;"P"&amp;$A101))</f>
        <v>0</v>
      </c>
      <c r="M101" s="56">
        <f ca="1">IF(RTD("tos.rtd",,$A$2,"."&amp;M$83&amp;M$1&amp;"C"&amp;$A101)="N/A",0,RTD("tos.rtd",,$A$2,"."&amp;M$83&amp;M$1&amp;"C"&amp;$A101))-IF(RTD("tos.rtd",,$A$2,"."&amp;M$83&amp;M$1&amp;"P"&amp;$A101)="N/A",0,RTD("tos.rtd",,$A$2,"."&amp;M$83&amp;M$1&amp;"P"&amp;$A101))</f>
        <v>0</v>
      </c>
      <c r="N101" s="56">
        <f ca="1">IF(RTD("tos.rtd",,$A$2,"."&amp;N$83&amp;N$1&amp;"C"&amp;$A101)="N/A",0,RTD("tos.rtd",,$A$2,"."&amp;N$83&amp;N$1&amp;"C"&amp;$A101))-IF(RTD("tos.rtd",,$A$2,"."&amp;N$83&amp;N$1&amp;"P"&amp;$A101)="N/A",0,RTD("tos.rtd",,$A$2,"."&amp;N$83&amp;N$1&amp;"P"&amp;$A101))</f>
        <v>0</v>
      </c>
      <c r="O101" s="56">
        <f ca="1">IF(RTD("tos.rtd",,$A$2,"."&amp;O$83&amp;O$1&amp;"C"&amp;$A101)="N/A",0,RTD("tos.rtd",,$A$2,"."&amp;O$83&amp;O$1&amp;"C"&amp;$A101))-IF(RTD("tos.rtd",,$A$2,"."&amp;O$83&amp;O$1&amp;"P"&amp;$A101)="N/A",0,RTD("tos.rtd",,$A$2,"."&amp;O$83&amp;O$1&amp;"P"&amp;$A101))</f>
        <v>0</v>
      </c>
      <c r="P101" s="56">
        <f ca="1">IF(RTD("tos.rtd",,$A$2,"."&amp;P$83&amp;P$1&amp;"C"&amp;$A101)="N/A",0,RTD("tos.rtd",,$A$2,"."&amp;P$83&amp;P$1&amp;"C"&amp;$A101))-IF(RTD("tos.rtd",,$A$2,"."&amp;P$83&amp;P$1&amp;"P"&amp;$A101)="N/A",0,RTD("tos.rtd",,$A$2,"."&amp;P$83&amp;P$1&amp;"P"&amp;$A101))</f>
        <v>0</v>
      </c>
      <c r="Q101" s="56">
        <f ca="1">IF(RTD("tos.rtd",,$A$2,"."&amp;Q$83&amp;Q$1&amp;"C"&amp;$A101)="N/A",0,RTD("tos.rtd",,$A$2,"."&amp;Q$83&amp;Q$1&amp;"C"&amp;$A101))-IF(RTD("tos.rtd",,$A$2,"."&amp;Q$83&amp;Q$1&amp;"P"&amp;$A101)="N/A",0,RTD("tos.rtd",,$A$2,"."&amp;Q$83&amp;Q$1&amp;"P"&amp;$A101))</f>
        <v>0</v>
      </c>
      <c r="R101" s="56">
        <f ca="1">IF(RTD("tos.rtd",,$A$2,"."&amp;R$83&amp;R$1&amp;"C"&amp;$A101)="N/A",0,RTD("tos.rtd",,$A$2,"."&amp;R$83&amp;R$1&amp;"C"&amp;$A101))-IF(RTD("tos.rtd",,$A$2,"."&amp;R$83&amp;R$1&amp;"P"&amp;$A101)="N/A",0,RTD("tos.rtd",,$A$2,"."&amp;R$83&amp;R$1&amp;"P"&amp;$A101))</f>
        <v>0</v>
      </c>
      <c r="S101" s="56">
        <f ca="1">IF(RTD("tos.rtd",,$A$2,"."&amp;S$83&amp;S$1&amp;"C"&amp;$A101)="N/A",0,RTD("tos.rtd",,$A$2,"."&amp;S$83&amp;S$1&amp;"C"&amp;$A101))-IF(RTD("tos.rtd",,$A$2,"."&amp;S$83&amp;S$1&amp;"P"&amp;$A101)="N/A",0,RTD("tos.rtd",,$A$2,"."&amp;S$83&amp;S$1&amp;"P"&amp;$A101))</f>
        <v>0</v>
      </c>
      <c r="T101" s="56">
        <f ca="1">IF(RTD("tos.rtd",,$A$2,"."&amp;T$83&amp;T$1&amp;"C"&amp;$A101)="N/A",0,RTD("tos.rtd",,$A$2,"."&amp;T$83&amp;T$1&amp;"C"&amp;$A101))-IF(RTD("tos.rtd",,$A$2,"."&amp;T$83&amp;T$1&amp;"P"&amp;$A101)="N/A",0,RTD("tos.rtd",,$A$2,"."&amp;T$83&amp;T$1&amp;"P"&amp;$A101))</f>
        <v>0</v>
      </c>
      <c r="U101" s="56">
        <f ca="1">IF(RTD("tos.rtd",,$A$2,"."&amp;U$83&amp;U$1&amp;"C"&amp;$A101)="N/A",0,RTD("tos.rtd",,$A$2,"."&amp;U$83&amp;U$1&amp;"C"&amp;$A101))-IF(RTD("tos.rtd",,$A$2,"."&amp;U$83&amp;U$1&amp;"P"&amp;$A101)="N/A",0,RTD("tos.rtd",,$A$2,"."&amp;U$83&amp;U$1&amp;"P"&amp;$A101))</f>
        <v>0</v>
      </c>
      <c r="V101" s="56">
        <f ca="1">IF(RTD("tos.rtd",,$A$2,"."&amp;V$83&amp;V$1&amp;"C"&amp;$A101)="N/A",0,RTD("tos.rtd",,$A$2,"."&amp;V$83&amp;V$1&amp;"C"&amp;$A101))-IF(RTD("tos.rtd",,$A$2,"."&amp;V$83&amp;V$1&amp;"P"&amp;$A101)="N/A",0,RTD("tos.rtd",,$A$2,"."&amp;V$83&amp;V$1&amp;"P"&amp;$A101))</f>
        <v>0</v>
      </c>
      <c r="W101" s="56">
        <f ca="1">IF(RTD("tos.rtd",,$A$2,"."&amp;W$83&amp;W$1&amp;"C"&amp;$A101)="N/A",0,RTD("tos.rtd",,$A$2,"."&amp;W$83&amp;W$1&amp;"C"&amp;$A101))-IF(RTD("tos.rtd",,$A$2,"."&amp;W$83&amp;W$1&amp;"P"&amp;$A101)="N/A",0,RTD("tos.rtd",,$A$2,"."&amp;W$83&amp;W$1&amp;"P"&amp;$A101))</f>
        <v>0</v>
      </c>
      <c r="X101" s="56">
        <f ca="1">IF(RTD("tos.rtd",,$A$2,"."&amp;X$83&amp;X$1&amp;"C"&amp;$A101)="N/A",0,RTD("tos.rtd",,$A$2,"."&amp;X$83&amp;X$1&amp;"C"&amp;$A101))-IF(RTD("tos.rtd",,$A$2,"."&amp;X$83&amp;X$1&amp;"P"&amp;$A101)="N/A",0,RTD("tos.rtd",,$A$2,"."&amp;X$83&amp;X$1&amp;"P"&amp;$A101))</f>
        <v>0</v>
      </c>
      <c r="Y101" s="63">
        <f t="shared" ca="1" si="13"/>
        <v>4165</v>
      </c>
    </row>
    <row r="102" spans="1:25" x14ac:dyDescent="0.25">
      <c r="A102" s="58">
        <f>+Hoja1!A101</f>
        <v>6760</v>
      </c>
      <c r="B102" s="56">
        <f ca="1">IF(RTD("tos.rtd",,$A$2,"."&amp;B$83&amp;B$1&amp;"C"&amp;$A102)="N/A",0,RTD("tos.rtd",,$A$2,"."&amp;B$83&amp;B$1&amp;"C"&amp;$A102))-IF(RTD("tos.rtd",,$A$2,"."&amp;B$83&amp;B$1&amp;"P"&amp;$A102)="N/A",0,RTD("tos.rtd",,$A$2,"."&amp;B$83&amp;B$1&amp;"P"&amp;$A102))</f>
        <v>4370</v>
      </c>
      <c r="C102" s="56">
        <f ca="1">IF(RTD("tos.rtd",,$A$2,"."&amp;C$83&amp;C$1&amp;"C"&amp;$A102)="N/A",0,RTD("tos.rtd",,$A$2,"."&amp;C$83&amp;C$1&amp;"C"&amp;$A102))-IF(RTD("tos.rtd",,$A$2,"."&amp;C$83&amp;C$1&amp;"P"&amp;$A102)="N/A",0,RTD("tos.rtd",,$A$2,"."&amp;C$83&amp;C$1&amp;"P"&amp;$A102))</f>
        <v>875</v>
      </c>
      <c r="D102" s="56">
        <f ca="1">IF(RTD("tos.rtd",,$A$2,"."&amp;D$83&amp;D$1&amp;"C"&amp;$A102)="N/A",0,RTD("tos.rtd",,$A$2,"."&amp;D$83&amp;D$1&amp;"C"&amp;$A102))-IF(RTD("tos.rtd",,$A$2,"."&amp;D$83&amp;D$1&amp;"P"&amp;$A102)="N/A",0,RTD("tos.rtd",,$A$2,"."&amp;D$83&amp;D$1&amp;"P"&amp;$A102))</f>
        <v>269</v>
      </c>
      <c r="E102" s="56">
        <f ca="1">IF(RTD("tos.rtd",,$A$2,"."&amp;E$83&amp;E$1&amp;"C"&amp;$A102)="N/A",0,RTD("tos.rtd",,$A$2,"."&amp;E$83&amp;E$1&amp;"C"&amp;$A102))-IF(RTD("tos.rtd",,$A$2,"."&amp;E$83&amp;E$1&amp;"P"&amp;$A102)="N/A",0,RTD("tos.rtd",,$A$2,"."&amp;E$83&amp;E$1&amp;"P"&amp;$A102))</f>
        <v>84</v>
      </c>
      <c r="F102" s="56">
        <f ca="1">IF(RTD("tos.rtd",,$A$2,"."&amp;F$83&amp;F$1&amp;"C"&amp;$A102)="N/A",0,RTD("tos.rtd",,$A$2,"."&amp;F$83&amp;F$1&amp;"C"&amp;$A102))-IF(RTD("tos.rtd",,$A$2,"."&amp;F$83&amp;F$1&amp;"P"&amp;$A102)="N/A",0,RTD("tos.rtd",,$A$2,"."&amp;F$83&amp;F$1&amp;"P"&amp;$A102))</f>
        <v>0</v>
      </c>
      <c r="G102" s="56">
        <f ca="1">IF(RTD("tos.rtd",,$A$2,"."&amp;G$83&amp;G$1&amp;"C"&amp;$A102)="N/A",0,RTD("tos.rtd",,$A$2,"."&amp;G$83&amp;G$1&amp;"C"&amp;$A102))-IF(RTD("tos.rtd",,$A$2,"."&amp;G$83&amp;G$1&amp;"P"&amp;$A102)="N/A",0,RTD("tos.rtd",,$A$2,"."&amp;G$83&amp;G$1&amp;"P"&amp;$A102))</f>
        <v>0</v>
      </c>
      <c r="H102" s="56">
        <f ca="1">IF(RTD("tos.rtd",,$A$2,"."&amp;H$83&amp;H$1&amp;"C"&amp;$A102)="N/A",0,RTD("tos.rtd",,$A$2,"."&amp;H$83&amp;H$1&amp;"C"&amp;$A102))-IF(RTD("tos.rtd",,$A$2,"."&amp;H$83&amp;H$1&amp;"P"&amp;$A102)="N/A",0,RTD("tos.rtd",,$A$2,"."&amp;H$83&amp;H$1&amp;"P"&amp;$A102))</f>
        <v>-96</v>
      </c>
      <c r="I102" s="56">
        <f ca="1">IF(RTD("tos.rtd",,$A$2,"."&amp;I$83&amp;I$1&amp;"C"&amp;$A102)="N/A",0,RTD("tos.rtd",,$A$2,"."&amp;I$83&amp;I$1&amp;"C"&amp;$A102))-IF(RTD("tos.rtd",,$A$2,"."&amp;I$83&amp;I$1&amp;"P"&amp;$A102)="N/A",0,RTD("tos.rtd",,$A$2,"."&amp;I$83&amp;I$1&amp;"P"&amp;$A102))</f>
        <v>11</v>
      </c>
      <c r="J102" s="56">
        <f ca="1">IF(RTD("tos.rtd",,$A$2,"."&amp;J$83&amp;J$1&amp;"C"&amp;$A102)="N/A",0,RTD("tos.rtd",,$A$2,"."&amp;J$83&amp;J$1&amp;"C"&amp;$A102))-IF(RTD("tos.rtd",,$A$2,"."&amp;J$83&amp;J$1&amp;"P"&amp;$A102)="N/A",0,RTD("tos.rtd",,$A$2,"."&amp;J$83&amp;J$1&amp;"P"&amp;$A102))</f>
        <v>-80</v>
      </c>
      <c r="K102" s="56">
        <f ca="1">IF(RTD("tos.rtd",,$A$2,"."&amp;K$83&amp;K$1&amp;"C"&amp;$A102)="N/A",0,RTD("tos.rtd",,$A$2,"."&amp;K$83&amp;K$1&amp;"C"&amp;$A102))-IF(RTD("tos.rtd",,$A$2,"."&amp;K$83&amp;K$1&amp;"P"&amp;$A102)="N/A",0,RTD("tos.rtd",,$A$2,"."&amp;K$83&amp;K$1&amp;"P"&amp;$A102))</f>
        <v>59</v>
      </c>
      <c r="L102" s="56">
        <f ca="1">IF(RTD("tos.rtd",,$A$2,"."&amp;L$83&amp;L$1&amp;"C"&amp;$A102)="N/A",0,RTD("tos.rtd",,$A$2,"."&amp;L$83&amp;L$1&amp;"C"&amp;$A102))-IF(RTD("tos.rtd",,$A$2,"."&amp;L$83&amp;L$1&amp;"P"&amp;$A102)="N/A",0,RTD("tos.rtd",,$A$2,"."&amp;L$83&amp;L$1&amp;"P"&amp;$A102))</f>
        <v>0</v>
      </c>
      <c r="M102" s="56">
        <f ca="1">IF(RTD("tos.rtd",,$A$2,"."&amp;M$83&amp;M$1&amp;"C"&amp;$A102)="N/A",0,RTD("tos.rtd",,$A$2,"."&amp;M$83&amp;M$1&amp;"C"&amp;$A102))-IF(RTD("tos.rtd",,$A$2,"."&amp;M$83&amp;M$1&amp;"P"&amp;$A102)="N/A",0,RTD("tos.rtd",,$A$2,"."&amp;M$83&amp;M$1&amp;"P"&amp;$A102))</f>
        <v>0</v>
      </c>
      <c r="N102" s="56">
        <f ca="1">IF(RTD("tos.rtd",,$A$2,"."&amp;N$83&amp;N$1&amp;"C"&amp;$A102)="N/A",0,RTD("tos.rtd",,$A$2,"."&amp;N$83&amp;N$1&amp;"C"&amp;$A102))-IF(RTD("tos.rtd",,$A$2,"."&amp;N$83&amp;N$1&amp;"P"&amp;$A102)="N/A",0,RTD("tos.rtd",,$A$2,"."&amp;N$83&amp;N$1&amp;"P"&amp;$A102))</f>
        <v>0</v>
      </c>
      <c r="O102" s="56">
        <f ca="1">IF(RTD("tos.rtd",,$A$2,"."&amp;O$83&amp;O$1&amp;"C"&amp;$A102)="N/A",0,RTD("tos.rtd",,$A$2,"."&amp;O$83&amp;O$1&amp;"C"&amp;$A102))-IF(RTD("tos.rtd",,$A$2,"."&amp;O$83&amp;O$1&amp;"P"&amp;$A102)="N/A",0,RTD("tos.rtd",,$A$2,"."&amp;O$83&amp;O$1&amp;"P"&amp;$A102))</f>
        <v>0</v>
      </c>
      <c r="P102" s="56">
        <f ca="1">IF(RTD("tos.rtd",,$A$2,"."&amp;P$83&amp;P$1&amp;"C"&amp;$A102)="N/A",0,RTD("tos.rtd",,$A$2,"."&amp;P$83&amp;P$1&amp;"C"&amp;$A102))-IF(RTD("tos.rtd",,$A$2,"."&amp;P$83&amp;P$1&amp;"P"&amp;$A102)="N/A",0,RTD("tos.rtd",,$A$2,"."&amp;P$83&amp;P$1&amp;"P"&amp;$A102))</f>
        <v>-7</v>
      </c>
      <c r="Q102" s="56">
        <f ca="1">IF(RTD("tos.rtd",,$A$2,"."&amp;Q$83&amp;Q$1&amp;"C"&amp;$A102)="N/A",0,RTD("tos.rtd",,$A$2,"."&amp;Q$83&amp;Q$1&amp;"C"&amp;$A102))-IF(RTD("tos.rtd",,$A$2,"."&amp;Q$83&amp;Q$1&amp;"P"&amp;$A102)="N/A",0,RTD("tos.rtd",,$A$2,"."&amp;Q$83&amp;Q$1&amp;"P"&amp;$A102))</f>
        <v>0</v>
      </c>
      <c r="R102" s="56">
        <f ca="1">IF(RTD("tos.rtd",,$A$2,"."&amp;R$83&amp;R$1&amp;"C"&amp;$A102)="N/A",0,RTD("tos.rtd",,$A$2,"."&amp;R$83&amp;R$1&amp;"C"&amp;$A102))-IF(RTD("tos.rtd",,$A$2,"."&amp;R$83&amp;R$1&amp;"P"&amp;$A102)="N/A",0,RTD("tos.rtd",,$A$2,"."&amp;R$83&amp;R$1&amp;"P"&amp;$A102))</f>
        <v>0</v>
      </c>
      <c r="S102" s="56">
        <f ca="1">IF(RTD("tos.rtd",,$A$2,"."&amp;S$83&amp;S$1&amp;"C"&amp;$A102)="N/A",0,RTD("tos.rtd",,$A$2,"."&amp;S$83&amp;S$1&amp;"C"&amp;$A102))-IF(RTD("tos.rtd",,$A$2,"."&amp;S$83&amp;S$1&amp;"P"&amp;$A102)="N/A",0,RTD("tos.rtd",,$A$2,"."&amp;S$83&amp;S$1&amp;"P"&amp;$A102))</f>
        <v>0</v>
      </c>
      <c r="T102" s="56">
        <f ca="1">IF(RTD("tos.rtd",,$A$2,"."&amp;T$83&amp;T$1&amp;"C"&amp;$A102)="N/A",0,RTD("tos.rtd",,$A$2,"."&amp;T$83&amp;T$1&amp;"C"&amp;$A102))-IF(RTD("tos.rtd",,$A$2,"."&amp;T$83&amp;T$1&amp;"P"&amp;$A102)="N/A",0,RTD("tos.rtd",,$A$2,"."&amp;T$83&amp;T$1&amp;"P"&amp;$A102))</f>
        <v>0</v>
      </c>
      <c r="U102" s="56">
        <f ca="1">IF(RTD("tos.rtd",,$A$2,"."&amp;U$83&amp;U$1&amp;"C"&amp;$A102)="N/A",0,RTD("tos.rtd",,$A$2,"."&amp;U$83&amp;U$1&amp;"C"&amp;$A102))-IF(RTD("tos.rtd",,$A$2,"."&amp;U$83&amp;U$1&amp;"P"&amp;$A102)="N/A",0,RTD("tos.rtd",,$A$2,"."&amp;U$83&amp;U$1&amp;"P"&amp;$A102))</f>
        <v>0</v>
      </c>
      <c r="V102" s="56">
        <f ca="1">IF(RTD("tos.rtd",,$A$2,"."&amp;V$83&amp;V$1&amp;"C"&amp;$A102)="N/A",0,RTD("tos.rtd",,$A$2,"."&amp;V$83&amp;V$1&amp;"C"&amp;$A102))-IF(RTD("tos.rtd",,$A$2,"."&amp;V$83&amp;V$1&amp;"P"&amp;$A102)="N/A",0,RTD("tos.rtd",,$A$2,"."&amp;V$83&amp;V$1&amp;"P"&amp;$A102))</f>
        <v>0</v>
      </c>
      <c r="W102" s="56">
        <f ca="1">IF(RTD("tos.rtd",,$A$2,"."&amp;W$83&amp;W$1&amp;"C"&amp;$A102)="N/A",0,RTD("tos.rtd",,$A$2,"."&amp;W$83&amp;W$1&amp;"C"&amp;$A102))-IF(RTD("tos.rtd",,$A$2,"."&amp;W$83&amp;W$1&amp;"P"&amp;$A102)="N/A",0,RTD("tos.rtd",,$A$2,"."&amp;W$83&amp;W$1&amp;"P"&amp;$A102))</f>
        <v>0</v>
      </c>
      <c r="X102" s="56">
        <f ca="1">IF(RTD("tos.rtd",,$A$2,"."&amp;X$83&amp;X$1&amp;"C"&amp;$A102)="N/A",0,RTD("tos.rtd",,$A$2,"."&amp;X$83&amp;X$1&amp;"C"&amp;$A102))-IF(RTD("tos.rtd",,$A$2,"."&amp;X$83&amp;X$1&amp;"P"&amp;$A102)="N/A",0,RTD("tos.rtd",,$A$2,"."&amp;X$83&amp;X$1&amp;"P"&amp;$A102))</f>
        <v>0</v>
      </c>
      <c r="Y102" s="63">
        <f t="shared" ca="1" si="13"/>
        <v>5485</v>
      </c>
    </row>
    <row r="103" spans="1:25" x14ac:dyDescent="0.25">
      <c r="A103" s="58">
        <f>+Hoja1!A102</f>
        <v>6755</v>
      </c>
      <c r="B103" s="56">
        <f ca="1">IF(RTD("tos.rtd",,$A$2,"."&amp;B$83&amp;B$1&amp;"C"&amp;$A103)="N/A",0,RTD("tos.rtd",,$A$2,"."&amp;B$83&amp;B$1&amp;"C"&amp;$A103))-IF(RTD("tos.rtd",,$A$2,"."&amp;B$83&amp;B$1&amp;"P"&amp;$A103)="N/A",0,RTD("tos.rtd",,$A$2,"."&amp;B$83&amp;B$1&amp;"P"&amp;$A103))</f>
        <v>2728</v>
      </c>
      <c r="C103" s="56">
        <f ca="1">IF(RTD("tos.rtd",,$A$2,"."&amp;C$83&amp;C$1&amp;"C"&amp;$A103)="N/A",0,RTD("tos.rtd",,$A$2,"."&amp;C$83&amp;C$1&amp;"C"&amp;$A103))-IF(RTD("tos.rtd",,$A$2,"."&amp;C$83&amp;C$1&amp;"P"&amp;$A103)="N/A",0,RTD("tos.rtd",,$A$2,"."&amp;C$83&amp;C$1&amp;"P"&amp;$A103))</f>
        <v>314</v>
      </c>
      <c r="D103" s="56">
        <f ca="1">IF(RTD("tos.rtd",,$A$2,"."&amp;D$83&amp;D$1&amp;"C"&amp;$A103)="N/A",0,RTD("tos.rtd",,$A$2,"."&amp;D$83&amp;D$1&amp;"C"&amp;$A103))-IF(RTD("tos.rtd",,$A$2,"."&amp;D$83&amp;D$1&amp;"P"&amp;$A103)="N/A",0,RTD("tos.rtd",,$A$2,"."&amp;D$83&amp;D$1&amp;"P"&amp;$A103))</f>
        <v>202</v>
      </c>
      <c r="E103" s="56">
        <f ca="1">IF(RTD("tos.rtd",,$A$2,"."&amp;E$83&amp;E$1&amp;"C"&amp;$A103)="N/A",0,RTD("tos.rtd",,$A$2,"."&amp;E$83&amp;E$1&amp;"C"&amp;$A103))-IF(RTD("tos.rtd",,$A$2,"."&amp;E$83&amp;E$1&amp;"P"&amp;$A103)="N/A",0,RTD("tos.rtd",,$A$2,"."&amp;E$83&amp;E$1&amp;"P"&amp;$A103))</f>
        <v>119</v>
      </c>
      <c r="F103" s="56">
        <f ca="1">IF(RTD("tos.rtd",,$A$2,"."&amp;F$83&amp;F$1&amp;"C"&amp;$A103)="N/A",0,RTD("tos.rtd",,$A$2,"."&amp;F$83&amp;F$1&amp;"C"&amp;$A103))-IF(RTD("tos.rtd",,$A$2,"."&amp;F$83&amp;F$1&amp;"P"&amp;$A103)="N/A",0,RTD("tos.rtd",,$A$2,"."&amp;F$83&amp;F$1&amp;"P"&amp;$A103))</f>
        <v>0</v>
      </c>
      <c r="G103" s="56">
        <f ca="1">IF(RTD("tos.rtd",,$A$2,"."&amp;G$83&amp;G$1&amp;"C"&amp;$A103)="N/A",0,RTD("tos.rtd",,$A$2,"."&amp;G$83&amp;G$1&amp;"C"&amp;$A103))-IF(RTD("tos.rtd",,$A$2,"."&amp;G$83&amp;G$1&amp;"P"&amp;$A103)="N/A",0,RTD("tos.rtd",,$A$2,"."&amp;G$83&amp;G$1&amp;"P"&amp;$A103))</f>
        <v>0</v>
      </c>
      <c r="H103" s="56">
        <f ca="1">IF(RTD("tos.rtd",,$A$2,"."&amp;H$83&amp;H$1&amp;"C"&amp;$A103)="N/A",0,RTD("tos.rtd",,$A$2,"."&amp;H$83&amp;H$1&amp;"C"&amp;$A103))-IF(RTD("tos.rtd",,$A$2,"."&amp;H$83&amp;H$1&amp;"P"&amp;$A103)="N/A",0,RTD("tos.rtd",,$A$2,"."&amp;H$83&amp;H$1&amp;"P"&amp;$A103))</f>
        <v>32</v>
      </c>
      <c r="I103" s="56">
        <f ca="1">IF(RTD("tos.rtd",,$A$2,"."&amp;I$83&amp;I$1&amp;"C"&amp;$A103)="N/A",0,RTD("tos.rtd",,$A$2,"."&amp;I$83&amp;I$1&amp;"C"&amp;$A103))-IF(RTD("tos.rtd",,$A$2,"."&amp;I$83&amp;I$1&amp;"P"&amp;$A103)="N/A",0,RTD("tos.rtd",,$A$2,"."&amp;I$83&amp;I$1&amp;"P"&amp;$A103))</f>
        <v>6</v>
      </c>
      <c r="J103" s="56">
        <f ca="1">IF(RTD("tos.rtd",,$A$2,"."&amp;J$83&amp;J$1&amp;"C"&amp;$A103)="N/A",0,RTD("tos.rtd",,$A$2,"."&amp;J$83&amp;J$1&amp;"C"&amp;$A103))-IF(RTD("tos.rtd",,$A$2,"."&amp;J$83&amp;J$1&amp;"P"&amp;$A103)="N/A",0,RTD("tos.rtd",,$A$2,"."&amp;J$83&amp;J$1&amp;"P"&amp;$A103))</f>
        <v>0</v>
      </c>
      <c r="K103" s="56">
        <f ca="1">IF(RTD("tos.rtd",,$A$2,"."&amp;K$83&amp;K$1&amp;"C"&amp;$A103)="N/A",0,RTD("tos.rtd",,$A$2,"."&amp;K$83&amp;K$1&amp;"C"&amp;$A103))-IF(RTD("tos.rtd",,$A$2,"."&amp;K$83&amp;K$1&amp;"P"&amp;$A103)="N/A",0,RTD("tos.rtd",,$A$2,"."&amp;K$83&amp;K$1&amp;"P"&amp;$A103))</f>
        <v>1</v>
      </c>
      <c r="L103" s="56">
        <f ca="1">IF(RTD("tos.rtd",,$A$2,"."&amp;L$83&amp;L$1&amp;"C"&amp;$A103)="N/A",0,RTD("tos.rtd",,$A$2,"."&amp;L$83&amp;L$1&amp;"C"&amp;$A103))-IF(RTD("tos.rtd",,$A$2,"."&amp;L$83&amp;L$1&amp;"P"&amp;$A103)="N/A",0,RTD("tos.rtd",,$A$2,"."&amp;L$83&amp;L$1&amp;"P"&amp;$A103))</f>
        <v>0</v>
      </c>
      <c r="M103" s="56">
        <f ca="1">IF(RTD("tos.rtd",,$A$2,"."&amp;M$83&amp;M$1&amp;"C"&amp;$A103)="N/A",0,RTD("tos.rtd",,$A$2,"."&amp;M$83&amp;M$1&amp;"C"&amp;$A103))-IF(RTD("tos.rtd",,$A$2,"."&amp;M$83&amp;M$1&amp;"P"&amp;$A103)="N/A",0,RTD("tos.rtd",,$A$2,"."&amp;M$83&amp;M$1&amp;"P"&amp;$A103))</f>
        <v>0</v>
      </c>
      <c r="N103" s="56">
        <f ca="1">IF(RTD("tos.rtd",,$A$2,"."&amp;N$83&amp;N$1&amp;"C"&amp;$A103)="N/A",0,RTD("tos.rtd",,$A$2,"."&amp;N$83&amp;N$1&amp;"C"&amp;$A103))-IF(RTD("tos.rtd",,$A$2,"."&amp;N$83&amp;N$1&amp;"P"&amp;$A103)="N/A",0,RTD("tos.rtd",,$A$2,"."&amp;N$83&amp;N$1&amp;"P"&amp;$A103))</f>
        <v>0</v>
      </c>
      <c r="O103" s="56">
        <f ca="1">IF(RTD("tos.rtd",,$A$2,"."&amp;O$83&amp;O$1&amp;"C"&amp;$A103)="N/A",0,RTD("tos.rtd",,$A$2,"."&amp;O$83&amp;O$1&amp;"C"&amp;$A103))-IF(RTD("tos.rtd",,$A$2,"."&amp;O$83&amp;O$1&amp;"P"&amp;$A103)="N/A",0,RTD("tos.rtd",,$A$2,"."&amp;O$83&amp;O$1&amp;"P"&amp;$A103))</f>
        <v>0</v>
      </c>
      <c r="P103" s="56">
        <f ca="1">IF(RTD("tos.rtd",,$A$2,"."&amp;P$83&amp;P$1&amp;"C"&amp;$A103)="N/A",0,RTD("tos.rtd",,$A$2,"."&amp;P$83&amp;P$1&amp;"C"&amp;$A103))-IF(RTD("tos.rtd",,$A$2,"."&amp;P$83&amp;P$1&amp;"P"&amp;$A103)="N/A",0,RTD("tos.rtd",,$A$2,"."&amp;P$83&amp;P$1&amp;"P"&amp;$A103))</f>
        <v>0</v>
      </c>
      <c r="Q103" s="56">
        <f ca="1">IF(RTD("tos.rtd",,$A$2,"."&amp;Q$83&amp;Q$1&amp;"C"&amp;$A103)="N/A",0,RTD("tos.rtd",,$A$2,"."&amp;Q$83&amp;Q$1&amp;"C"&amp;$A103))-IF(RTD("tos.rtd",,$A$2,"."&amp;Q$83&amp;Q$1&amp;"P"&amp;$A103)="N/A",0,RTD("tos.rtd",,$A$2,"."&amp;Q$83&amp;Q$1&amp;"P"&amp;$A103))</f>
        <v>0</v>
      </c>
      <c r="R103" s="56">
        <f ca="1">IF(RTD("tos.rtd",,$A$2,"."&amp;R$83&amp;R$1&amp;"C"&amp;$A103)="N/A",0,RTD("tos.rtd",,$A$2,"."&amp;R$83&amp;R$1&amp;"C"&amp;$A103))-IF(RTD("tos.rtd",,$A$2,"."&amp;R$83&amp;R$1&amp;"P"&amp;$A103)="N/A",0,RTD("tos.rtd",,$A$2,"."&amp;R$83&amp;R$1&amp;"P"&amp;$A103))</f>
        <v>0</v>
      </c>
      <c r="S103" s="56">
        <f ca="1">IF(RTD("tos.rtd",,$A$2,"."&amp;S$83&amp;S$1&amp;"C"&amp;$A103)="N/A",0,RTD("tos.rtd",,$A$2,"."&amp;S$83&amp;S$1&amp;"C"&amp;$A103))-IF(RTD("tos.rtd",,$A$2,"."&amp;S$83&amp;S$1&amp;"P"&amp;$A103)="N/A",0,RTD("tos.rtd",,$A$2,"."&amp;S$83&amp;S$1&amp;"P"&amp;$A103))</f>
        <v>0</v>
      </c>
      <c r="T103" s="56">
        <f ca="1">IF(RTD("tos.rtd",,$A$2,"."&amp;T$83&amp;T$1&amp;"C"&amp;$A103)="N/A",0,RTD("tos.rtd",,$A$2,"."&amp;T$83&amp;T$1&amp;"C"&amp;$A103))-IF(RTD("tos.rtd",,$A$2,"."&amp;T$83&amp;T$1&amp;"P"&amp;$A103)="N/A",0,RTD("tos.rtd",,$A$2,"."&amp;T$83&amp;T$1&amp;"P"&amp;$A103))</f>
        <v>0</v>
      </c>
      <c r="U103" s="56">
        <f ca="1">IF(RTD("tos.rtd",,$A$2,"."&amp;U$83&amp;U$1&amp;"C"&amp;$A103)="N/A",0,RTD("tos.rtd",,$A$2,"."&amp;U$83&amp;U$1&amp;"C"&amp;$A103))-IF(RTD("tos.rtd",,$A$2,"."&amp;U$83&amp;U$1&amp;"P"&amp;$A103)="N/A",0,RTD("tos.rtd",,$A$2,"."&amp;U$83&amp;U$1&amp;"P"&amp;$A103))</f>
        <v>0</v>
      </c>
      <c r="V103" s="56">
        <f ca="1">IF(RTD("tos.rtd",,$A$2,"."&amp;V$83&amp;V$1&amp;"C"&amp;$A103)="N/A",0,RTD("tos.rtd",,$A$2,"."&amp;V$83&amp;V$1&amp;"C"&amp;$A103))-IF(RTD("tos.rtd",,$A$2,"."&amp;V$83&amp;V$1&amp;"P"&amp;$A103)="N/A",0,RTD("tos.rtd",,$A$2,"."&amp;V$83&amp;V$1&amp;"P"&amp;$A103))</f>
        <v>0</v>
      </c>
      <c r="W103" s="56">
        <f ca="1">IF(RTD("tos.rtd",,$A$2,"."&amp;W$83&amp;W$1&amp;"C"&amp;$A103)="N/A",0,RTD("tos.rtd",,$A$2,"."&amp;W$83&amp;W$1&amp;"C"&amp;$A103))-IF(RTD("tos.rtd",,$A$2,"."&amp;W$83&amp;W$1&amp;"P"&amp;$A103)="N/A",0,RTD("tos.rtd",,$A$2,"."&amp;W$83&amp;W$1&amp;"P"&amp;$A103))</f>
        <v>0</v>
      </c>
      <c r="X103" s="56">
        <f ca="1">IF(RTD("tos.rtd",,$A$2,"."&amp;X$83&amp;X$1&amp;"C"&amp;$A103)="N/A",0,RTD("tos.rtd",,$A$2,"."&amp;X$83&amp;X$1&amp;"C"&amp;$A103))-IF(RTD("tos.rtd",,$A$2,"."&amp;X$83&amp;X$1&amp;"P"&amp;$A103)="N/A",0,RTD("tos.rtd",,$A$2,"."&amp;X$83&amp;X$1&amp;"P"&amp;$A103))</f>
        <v>0</v>
      </c>
      <c r="Y103" s="63">
        <f t="shared" ca="1" si="13"/>
        <v>3402</v>
      </c>
    </row>
    <row r="104" spans="1:25" x14ac:dyDescent="0.25">
      <c r="A104" s="58">
        <f>+Hoja1!A103</f>
        <v>6750</v>
      </c>
      <c r="B104" s="56">
        <f ca="1">IF(RTD("tos.rtd",,$A$2,"."&amp;B$83&amp;B$1&amp;"C"&amp;$A104)="N/A",0,RTD("tos.rtd",,$A$2,"."&amp;B$83&amp;B$1&amp;"C"&amp;$A104))-IF(RTD("tos.rtd",,$A$2,"."&amp;B$83&amp;B$1&amp;"P"&amp;$A104)="N/A",0,RTD("tos.rtd",,$A$2,"."&amp;B$83&amp;B$1&amp;"P"&amp;$A104))</f>
        <v>10883</v>
      </c>
      <c r="C104" s="56">
        <f ca="1">IF(RTD("tos.rtd",,$A$2,"."&amp;C$83&amp;C$1&amp;"C"&amp;$A104)="N/A",0,RTD("tos.rtd",,$A$2,"."&amp;C$83&amp;C$1&amp;"C"&amp;$A104))-IF(RTD("tos.rtd",,$A$2,"."&amp;C$83&amp;C$1&amp;"P"&amp;$A104)="N/A",0,RTD("tos.rtd",,$A$2,"."&amp;C$83&amp;C$1&amp;"P"&amp;$A104))</f>
        <v>1369</v>
      </c>
      <c r="D104" s="56">
        <f ca="1">IF(RTD("tos.rtd",,$A$2,"."&amp;D$83&amp;D$1&amp;"C"&amp;$A104)="N/A",0,RTD("tos.rtd",,$A$2,"."&amp;D$83&amp;D$1&amp;"C"&amp;$A104))-IF(RTD("tos.rtd",,$A$2,"."&amp;D$83&amp;D$1&amp;"P"&amp;$A104)="N/A",0,RTD("tos.rtd",,$A$2,"."&amp;D$83&amp;D$1&amp;"P"&amp;$A104))</f>
        <v>816</v>
      </c>
      <c r="E104" s="56">
        <f ca="1">IF(RTD("tos.rtd",,$A$2,"."&amp;E$83&amp;E$1&amp;"C"&amp;$A104)="N/A",0,RTD("tos.rtd",,$A$2,"."&amp;E$83&amp;E$1&amp;"C"&amp;$A104))-IF(RTD("tos.rtd",,$A$2,"."&amp;E$83&amp;E$1&amp;"P"&amp;$A104)="N/A",0,RTD("tos.rtd",,$A$2,"."&amp;E$83&amp;E$1&amp;"P"&amp;$A104))</f>
        <v>163</v>
      </c>
      <c r="F104" s="56">
        <f ca="1">IF(RTD("tos.rtd",,$A$2,"."&amp;F$83&amp;F$1&amp;"C"&amp;$A104)="N/A",0,RTD("tos.rtd",,$A$2,"."&amp;F$83&amp;F$1&amp;"C"&amp;$A104))-IF(RTD("tos.rtd",,$A$2,"."&amp;F$83&amp;F$1&amp;"P"&amp;$A104)="N/A",0,RTD("tos.rtd",,$A$2,"."&amp;F$83&amp;F$1&amp;"P"&amp;$A104))</f>
        <v>0</v>
      </c>
      <c r="G104" s="56">
        <f ca="1">IF(RTD("tos.rtd",,$A$2,"."&amp;G$83&amp;G$1&amp;"C"&amp;$A104)="N/A",0,RTD("tos.rtd",,$A$2,"."&amp;G$83&amp;G$1&amp;"C"&amp;$A104))-IF(RTD("tos.rtd",,$A$2,"."&amp;G$83&amp;G$1&amp;"P"&amp;$A104)="N/A",0,RTD("tos.rtd",,$A$2,"."&amp;G$83&amp;G$1&amp;"P"&amp;$A104))</f>
        <v>0</v>
      </c>
      <c r="H104" s="56">
        <f ca="1">IF(RTD("tos.rtd",,$A$2,"."&amp;H$83&amp;H$1&amp;"C"&amp;$A104)="N/A",0,RTD("tos.rtd",,$A$2,"."&amp;H$83&amp;H$1&amp;"C"&amp;$A104))-IF(RTD("tos.rtd",,$A$2,"."&amp;H$83&amp;H$1&amp;"P"&amp;$A104)="N/A",0,RTD("tos.rtd",,$A$2,"."&amp;H$83&amp;H$1&amp;"P"&amp;$A104))</f>
        <v>118</v>
      </c>
      <c r="I104" s="56">
        <f ca="1">IF(RTD("tos.rtd",,$A$2,"."&amp;I$83&amp;I$1&amp;"C"&amp;$A104)="N/A",0,RTD("tos.rtd",,$A$2,"."&amp;I$83&amp;I$1&amp;"C"&amp;$A104))-IF(RTD("tos.rtd",,$A$2,"."&amp;I$83&amp;I$1&amp;"P"&amp;$A104)="N/A",0,RTD("tos.rtd",,$A$2,"."&amp;I$83&amp;I$1&amp;"P"&amp;$A104))</f>
        <v>-147</v>
      </c>
      <c r="J104" s="56">
        <f ca="1">IF(RTD("tos.rtd",,$A$2,"."&amp;J$83&amp;J$1&amp;"C"&amp;$A104)="N/A",0,RTD("tos.rtd",,$A$2,"."&amp;J$83&amp;J$1&amp;"C"&amp;$A104))-IF(RTD("tos.rtd",,$A$2,"."&amp;J$83&amp;J$1&amp;"P"&amp;$A104)="N/A",0,RTD("tos.rtd",,$A$2,"."&amp;J$83&amp;J$1&amp;"P"&amp;$A104))</f>
        <v>-1239</v>
      </c>
      <c r="K104" s="56">
        <f ca="1">IF(RTD("tos.rtd",,$A$2,"."&amp;K$83&amp;K$1&amp;"C"&amp;$A104)="N/A",0,RTD("tos.rtd",,$A$2,"."&amp;K$83&amp;K$1&amp;"C"&amp;$A104))-IF(RTD("tos.rtd",,$A$2,"."&amp;K$83&amp;K$1&amp;"P"&amp;$A104)="N/A",0,RTD("tos.rtd",,$A$2,"."&amp;K$83&amp;K$1&amp;"P"&amp;$A104))</f>
        <v>78</v>
      </c>
      <c r="L104" s="56">
        <f ca="1">IF(RTD("tos.rtd",,$A$2,"."&amp;L$83&amp;L$1&amp;"C"&amp;$A104)="N/A",0,RTD("tos.rtd",,$A$2,"."&amp;L$83&amp;L$1&amp;"C"&amp;$A104))-IF(RTD("tos.rtd",,$A$2,"."&amp;L$83&amp;L$1&amp;"P"&amp;$A104)="N/A",0,RTD("tos.rtd",,$A$2,"."&amp;L$83&amp;L$1&amp;"P"&amp;$A104))</f>
        <v>0</v>
      </c>
      <c r="M104" s="56">
        <f ca="1">IF(RTD("tos.rtd",,$A$2,"."&amp;M$83&amp;M$1&amp;"C"&amp;$A104)="N/A",0,RTD("tos.rtd",,$A$2,"."&amp;M$83&amp;M$1&amp;"C"&amp;$A104))-IF(RTD("tos.rtd",,$A$2,"."&amp;M$83&amp;M$1&amp;"P"&amp;$A104)="N/A",0,RTD("tos.rtd",,$A$2,"."&amp;M$83&amp;M$1&amp;"P"&amp;$A104))</f>
        <v>0</v>
      </c>
      <c r="N104" s="56">
        <f ca="1">IF(RTD("tos.rtd",,$A$2,"."&amp;N$83&amp;N$1&amp;"C"&amp;$A104)="N/A",0,RTD("tos.rtd",,$A$2,"."&amp;N$83&amp;N$1&amp;"C"&amp;$A104))-IF(RTD("tos.rtd",,$A$2,"."&amp;N$83&amp;N$1&amp;"P"&amp;$A104)="N/A",0,RTD("tos.rtd",,$A$2,"."&amp;N$83&amp;N$1&amp;"P"&amp;$A104))</f>
        <v>0</v>
      </c>
      <c r="O104" s="56">
        <f ca="1">IF(RTD("tos.rtd",,$A$2,"."&amp;O$83&amp;O$1&amp;"C"&amp;$A104)="N/A",0,RTD("tos.rtd",,$A$2,"."&amp;O$83&amp;O$1&amp;"C"&amp;$A104))-IF(RTD("tos.rtd",,$A$2,"."&amp;O$83&amp;O$1&amp;"P"&amp;$A104)="N/A",0,RTD("tos.rtd",,$A$2,"."&amp;O$83&amp;O$1&amp;"P"&amp;$A104))</f>
        <v>0</v>
      </c>
      <c r="P104" s="56">
        <f ca="1">IF(RTD("tos.rtd",,$A$2,"."&amp;P$83&amp;P$1&amp;"C"&amp;$A104)="N/A",0,RTD("tos.rtd",,$A$2,"."&amp;P$83&amp;P$1&amp;"C"&amp;$A104))-IF(RTD("tos.rtd",,$A$2,"."&amp;P$83&amp;P$1&amp;"P"&amp;$A104)="N/A",0,RTD("tos.rtd",,$A$2,"."&amp;P$83&amp;P$1&amp;"P"&amp;$A104))</f>
        <v>-1</v>
      </c>
      <c r="Q104" s="56">
        <f ca="1">IF(RTD("tos.rtd",,$A$2,"."&amp;Q$83&amp;Q$1&amp;"C"&amp;$A104)="N/A",0,RTD("tos.rtd",,$A$2,"."&amp;Q$83&amp;Q$1&amp;"C"&amp;$A104))-IF(RTD("tos.rtd",,$A$2,"."&amp;Q$83&amp;Q$1&amp;"P"&amp;$A104)="N/A",0,RTD("tos.rtd",,$A$2,"."&amp;Q$83&amp;Q$1&amp;"P"&amp;$A104))</f>
        <v>0</v>
      </c>
      <c r="R104" s="56">
        <f ca="1">IF(RTD("tos.rtd",,$A$2,"."&amp;R$83&amp;R$1&amp;"C"&amp;$A104)="N/A",0,RTD("tos.rtd",,$A$2,"."&amp;R$83&amp;R$1&amp;"C"&amp;$A104))-IF(RTD("tos.rtd",,$A$2,"."&amp;R$83&amp;R$1&amp;"P"&amp;$A104)="N/A",0,RTD("tos.rtd",,$A$2,"."&amp;R$83&amp;R$1&amp;"P"&amp;$A104))</f>
        <v>0</v>
      </c>
      <c r="S104" s="56">
        <f ca="1">IF(RTD("tos.rtd",,$A$2,"."&amp;S$83&amp;S$1&amp;"C"&amp;$A104)="N/A",0,RTD("tos.rtd",,$A$2,"."&amp;S$83&amp;S$1&amp;"C"&amp;$A104))-IF(RTD("tos.rtd",,$A$2,"."&amp;S$83&amp;S$1&amp;"P"&amp;$A104)="N/A",0,RTD("tos.rtd",,$A$2,"."&amp;S$83&amp;S$1&amp;"P"&amp;$A104))</f>
        <v>0</v>
      </c>
      <c r="T104" s="56">
        <f ca="1">IF(RTD("tos.rtd",,$A$2,"."&amp;T$83&amp;T$1&amp;"C"&amp;$A104)="N/A",0,RTD("tos.rtd",,$A$2,"."&amp;T$83&amp;T$1&amp;"C"&amp;$A104))-IF(RTD("tos.rtd",,$A$2,"."&amp;T$83&amp;T$1&amp;"P"&amp;$A104)="N/A",0,RTD("tos.rtd",,$A$2,"."&amp;T$83&amp;T$1&amp;"P"&amp;$A104))</f>
        <v>0</v>
      </c>
      <c r="U104" s="56">
        <f ca="1">IF(RTD("tos.rtd",,$A$2,"."&amp;U$83&amp;U$1&amp;"C"&amp;$A104)="N/A",0,RTD("tos.rtd",,$A$2,"."&amp;U$83&amp;U$1&amp;"C"&amp;$A104))-IF(RTD("tos.rtd",,$A$2,"."&amp;U$83&amp;U$1&amp;"P"&amp;$A104)="N/A",0,RTD("tos.rtd",,$A$2,"."&amp;U$83&amp;U$1&amp;"P"&amp;$A104))</f>
        <v>0</v>
      </c>
      <c r="V104" s="56">
        <f ca="1">IF(RTD("tos.rtd",,$A$2,"."&amp;V$83&amp;V$1&amp;"C"&amp;$A104)="N/A",0,RTD("tos.rtd",,$A$2,"."&amp;V$83&amp;V$1&amp;"C"&amp;$A104))-IF(RTD("tos.rtd",,$A$2,"."&amp;V$83&amp;V$1&amp;"P"&amp;$A104)="N/A",0,RTD("tos.rtd",,$A$2,"."&amp;V$83&amp;V$1&amp;"P"&amp;$A104))</f>
        <v>0</v>
      </c>
      <c r="W104" s="56">
        <f ca="1">IF(RTD("tos.rtd",,$A$2,"."&amp;W$83&amp;W$1&amp;"C"&amp;$A104)="N/A",0,RTD("tos.rtd",,$A$2,"."&amp;W$83&amp;W$1&amp;"C"&amp;$A104))-IF(RTD("tos.rtd",,$A$2,"."&amp;W$83&amp;W$1&amp;"P"&amp;$A104)="N/A",0,RTD("tos.rtd",,$A$2,"."&amp;W$83&amp;W$1&amp;"P"&amp;$A104))</f>
        <v>0</v>
      </c>
      <c r="X104" s="56">
        <f ca="1">IF(RTD("tos.rtd",,$A$2,"."&amp;X$83&amp;X$1&amp;"C"&amp;$A104)="N/A",0,RTD("tos.rtd",,$A$2,"."&amp;X$83&amp;X$1&amp;"C"&amp;$A104))-IF(RTD("tos.rtd",,$A$2,"."&amp;X$83&amp;X$1&amp;"P"&amp;$A104)="N/A",0,RTD("tos.rtd",,$A$2,"."&amp;X$83&amp;X$1&amp;"P"&amp;$A104))</f>
        <v>0</v>
      </c>
      <c r="Y104" s="63">
        <f t="shared" ca="1" si="13"/>
        <v>12040</v>
      </c>
    </row>
    <row r="105" spans="1:25" x14ac:dyDescent="0.25">
      <c r="A105" s="58">
        <f>+Hoja1!A104</f>
        <v>6745</v>
      </c>
      <c r="B105" s="56">
        <f ca="1">IF(RTD("tos.rtd",,$A$2,"."&amp;B$83&amp;B$1&amp;"C"&amp;$A105)="N/A",0,RTD("tos.rtd",,$A$2,"."&amp;B$83&amp;B$1&amp;"C"&amp;$A105))-IF(RTD("tos.rtd",,$A$2,"."&amp;B$83&amp;B$1&amp;"P"&amp;$A105)="N/A",0,RTD("tos.rtd",,$A$2,"."&amp;B$83&amp;B$1&amp;"P"&amp;$A105))</f>
        <v>2177</v>
      </c>
      <c r="C105" s="56">
        <f ca="1">IF(RTD("tos.rtd",,$A$2,"."&amp;C$83&amp;C$1&amp;"C"&amp;$A105)="N/A",0,RTD("tos.rtd",,$A$2,"."&amp;C$83&amp;C$1&amp;"C"&amp;$A105))-IF(RTD("tos.rtd",,$A$2,"."&amp;C$83&amp;C$1&amp;"P"&amp;$A105)="N/A",0,RTD("tos.rtd",,$A$2,"."&amp;C$83&amp;C$1&amp;"P"&amp;$A105))</f>
        <v>35</v>
      </c>
      <c r="D105" s="56">
        <f ca="1">IF(RTD("tos.rtd",,$A$2,"."&amp;D$83&amp;D$1&amp;"C"&amp;$A105)="N/A",0,RTD("tos.rtd",,$A$2,"."&amp;D$83&amp;D$1&amp;"C"&amp;$A105))-IF(RTD("tos.rtd",,$A$2,"."&amp;D$83&amp;D$1&amp;"P"&amp;$A105)="N/A",0,RTD("tos.rtd",,$A$2,"."&amp;D$83&amp;D$1&amp;"P"&amp;$A105))</f>
        <v>60</v>
      </c>
      <c r="E105" s="56">
        <f ca="1">IF(RTD("tos.rtd",,$A$2,"."&amp;E$83&amp;E$1&amp;"C"&amp;$A105)="N/A",0,RTD("tos.rtd",,$A$2,"."&amp;E$83&amp;E$1&amp;"C"&amp;$A105))-IF(RTD("tos.rtd",,$A$2,"."&amp;E$83&amp;E$1&amp;"P"&amp;$A105)="N/A",0,RTD("tos.rtd",,$A$2,"."&amp;E$83&amp;E$1&amp;"P"&amp;$A105))</f>
        <v>-3</v>
      </c>
      <c r="F105" s="56">
        <f ca="1">IF(RTD("tos.rtd",,$A$2,"."&amp;F$83&amp;F$1&amp;"C"&amp;$A105)="N/A",0,RTD("tos.rtd",,$A$2,"."&amp;F$83&amp;F$1&amp;"C"&amp;$A105))-IF(RTD("tos.rtd",,$A$2,"."&amp;F$83&amp;F$1&amp;"P"&amp;$A105)="N/A",0,RTD("tos.rtd",,$A$2,"."&amp;F$83&amp;F$1&amp;"P"&amp;$A105))</f>
        <v>0</v>
      </c>
      <c r="G105" s="56">
        <f ca="1">IF(RTD("tos.rtd",,$A$2,"."&amp;G$83&amp;G$1&amp;"C"&amp;$A105)="N/A",0,RTD("tos.rtd",,$A$2,"."&amp;G$83&amp;G$1&amp;"C"&amp;$A105))-IF(RTD("tos.rtd",,$A$2,"."&amp;G$83&amp;G$1&amp;"P"&amp;$A105)="N/A",0,RTD("tos.rtd",,$A$2,"."&amp;G$83&amp;G$1&amp;"P"&amp;$A105))</f>
        <v>0</v>
      </c>
      <c r="H105" s="56">
        <f ca="1">IF(RTD("tos.rtd",,$A$2,"."&amp;H$83&amp;H$1&amp;"C"&amp;$A105)="N/A",0,RTD("tos.rtd",,$A$2,"."&amp;H$83&amp;H$1&amp;"C"&amp;$A105))-IF(RTD("tos.rtd",,$A$2,"."&amp;H$83&amp;H$1&amp;"P"&amp;$A105)="N/A",0,RTD("tos.rtd",,$A$2,"."&amp;H$83&amp;H$1&amp;"P"&amp;$A105))</f>
        <v>-8</v>
      </c>
      <c r="I105" s="56">
        <f ca="1">IF(RTD("tos.rtd",,$A$2,"."&amp;I$83&amp;I$1&amp;"C"&amp;$A105)="N/A",0,RTD("tos.rtd",,$A$2,"."&amp;I$83&amp;I$1&amp;"C"&amp;$A105))-IF(RTD("tos.rtd",,$A$2,"."&amp;I$83&amp;I$1&amp;"P"&amp;$A105)="N/A",0,RTD("tos.rtd",,$A$2,"."&amp;I$83&amp;I$1&amp;"P"&amp;$A105))</f>
        <v>7</v>
      </c>
      <c r="J105" s="56">
        <f ca="1">IF(RTD("tos.rtd",,$A$2,"."&amp;J$83&amp;J$1&amp;"C"&amp;$A105)="N/A",0,RTD("tos.rtd",,$A$2,"."&amp;J$83&amp;J$1&amp;"C"&amp;$A105))-IF(RTD("tos.rtd",,$A$2,"."&amp;J$83&amp;J$1&amp;"P"&amp;$A105)="N/A",0,RTD("tos.rtd",,$A$2,"."&amp;J$83&amp;J$1&amp;"P"&amp;$A105))</f>
        <v>0</v>
      </c>
      <c r="K105" s="56">
        <f ca="1">IF(RTD("tos.rtd",,$A$2,"."&amp;K$83&amp;K$1&amp;"C"&amp;$A105)="N/A",0,RTD("tos.rtd",,$A$2,"."&amp;K$83&amp;K$1&amp;"C"&amp;$A105))-IF(RTD("tos.rtd",,$A$2,"."&amp;K$83&amp;K$1&amp;"P"&amp;$A105)="N/A",0,RTD("tos.rtd",,$A$2,"."&amp;K$83&amp;K$1&amp;"P"&amp;$A105))</f>
        <v>3</v>
      </c>
      <c r="L105" s="56">
        <f ca="1">IF(RTD("tos.rtd",,$A$2,"."&amp;L$83&amp;L$1&amp;"C"&amp;$A105)="N/A",0,RTD("tos.rtd",,$A$2,"."&amp;L$83&amp;L$1&amp;"C"&amp;$A105))-IF(RTD("tos.rtd",,$A$2,"."&amp;L$83&amp;L$1&amp;"P"&amp;$A105)="N/A",0,RTD("tos.rtd",,$A$2,"."&amp;L$83&amp;L$1&amp;"P"&amp;$A105))</f>
        <v>0</v>
      </c>
      <c r="M105" s="56">
        <f ca="1">IF(RTD("tos.rtd",,$A$2,"."&amp;M$83&amp;M$1&amp;"C"&amp;$A105)="N/A",0,RTD("tos.rtd",,$A$2,"."&amp;M$83&amp;M$1&amp;"C"&amp;$A105))-IF(RTD("tos.rtd",,$A$2,"."&amp;M$83&amp;M$1&amp;"P"&amp;$A105)="N/A",0,RTD("tos.rtd",,$A$2,"."&amp;M$83&amp;M$1&amp;"P"&amp;$A105))</f>
        <v>0</v>
      </c>
      <c r="N105" s="56">
        <f ca="1">IF(RTD("tos.rtd",,$A$2,"."&amp;N$83&amp;N$1&amp;"C"&amp;$A105)="N/A",0,RTD("tos.rtd",,$A$2,"."&amp;N$83&amp;N$1&amp;"C"&amp;$A105))-IF(RTD("tos.rtd",,$A$2,"."&amp;N$83&amp;N$1&amp;"P"&amp;$A105)="N/A",0,RTD("tos.rtd",,$A$2,"."&amp;N$83&amp;N$1&amp;"P"&amp;$A105))</f>
        <v>0</v>
      </c>
      <c r="O105" s="56">
        <f ca="1">IF(RTD("tos.rtd",,$A$2,"."&amp;O$83&amp;O$1&amp;"C"&amp;$A105)="N/A",0,RTD("tos.rtd",,$A$2,"."&amp;O$83&amp;O$1&amp;"C"&amp;$A105))-IF(RTD("tos.rtd",,$A$2,"."&amp;O$83&amp;O$1&amp;"P"&amp;$A105)="N/A",0,RTD("tos.rtd",,$A$2,"."&amp;O$83&amp;O$1&amp;"P"&amp;$A105))</f>
        <v>0</v>
      </c>
      <c r="P105" s="56">
        <f ca="1">IF(RTD("tos.rtd",,$A$2,"."&amp;P$83&amp;P$1&amp;"C"&amp;$A105)="N/A",0,RTD("tos.rtd",,$A$2,"."&amp;P$83&amp;P$1&amp;"C"&amp;$A105))-IF(RTD("tos.rtd",,$A$2,"."&amp;P$83&amp;P$1&amp;"P"&amp;$A105)="N/A",0,RTD("tos.rtd",,$A$2,"."&amp;P$83&amp;P$1&amp;"P"&amp;$A105))</f>
        <v>0</v>
      </c>
      <c r="Q105" s="56">
        <f ca="1">IF(RTD("tos.rtd",,$A$2,"."&amp;Q$83&amp;Q$1&amp;"C"&amp;$A105)="N/A",0,RTD("tos.rtd",,$A$2,"."&amp;Q$83&amp;Q$1&amp;"C"&amp;$A105))-IF(RTD("tos.rtd",,$A$2,"."&amp;Q$83&amp;Q$1&amp;"P"&amp;$A105)="N/A",0,RTD("tos.rtd",,$A$2,"."&amp;Q$83&amp;Q$1&amp;"P"&amp;$A105))</f>
        <v>0</v>
      </c>
      <c r="R105" s="56">
        <f ca="1">IF(RTD("tos.rtd",,$A$2,"."&amp;R$83&amp;R$1&amp;"C"&amp;$A105)="N/A",0,RTD("tos.rtd",,$A$2,"."&amp;R$83&amp;R$1&amp;"C"&amp;$A105))-IF(RTD("tos.rtd",,$A$2,"."&amp;R$83&amp;R$1&amp;"P"&amp;$A105)="N/A",0,RTD("tos.rtd",,$A$2,"."&amp;R$83&amp;R$1&amp;"P"&amp;$A105))</f>
        <v>0</v>
      </c>
      <c r="S105" s="56">
        <f ca="1">IF(RTD("tos.rtd",,$A$2,"."&amp;S$83&amp;S$1&amp;"C"&amp;$A105)="N/A",0,RTD("tos.rtd",,$A$2,"."&amp;S$83&amp;S$1&amp;"C"&amp;$A105))-IF(RTD("tos.rtd",,$A$2,"."&amp;S$83&amp;S$1&amp;"P"&amp;$A105)="N/A",0,RTD("tos.rtd",,$A$2,"."&amp;S$83&amp;S$1&amp;"P"&amp;$A105))</f>
        <v>0</v>
      </c>
      <c r="T105" s="56">
        <f ca="1">IF(RTD("tos.rtd",,$A$2,"."&amp;T$83&amp;T$1&amp;"C"&amp;$A105)="N/A",0,RTD("tos.rtd",,$A$2,"."&amp;T$83&amp;T$1&amp;"C"&amp;$A105))-IF(RTD("tos.rtd",,$A$2,"."&amp;T$83&amp;T$1&amp;"P"&amp;$A105)="N/A",0,RTD("tos.rtd",,$A$2,"."&amp;T$83&amp;T$1&amp;"P"&amp;$A105))</f>
        <v>0</v>
      </c>
      <c r="U105" s="56">
        <f ca="1">IF(RTD("tos.rtd",,$A$2,"."&amp;U$83&amp;U$1&amp;"C"&amp;$A105)="N/A",0,RTD("tos.rtd",,$A$2,"."&amp;U$83&amp;U$1&amp;"C"&amp;$A105))-IF(RTD("tos.rtd",,$A$2,"."&amp;U$83&amp;U$1&amp;"P"&amp;$A105)="N/A",0,RTD("tos.rtd",,$A$2,"."&amp;U$83&amp;U$1&amp;"P"&amp;$A105))</f>
        <v>0</v>
      </c>
      <c r="V105" s="56">
        <f ca="1">IF(RTD("tos.rtd",,$A$2,"."&amp;V$83&amp;V$1&amp;"C"&amp;$A105)="N/A",0,RTD("tos.rtd",,$A$2,"."&amp;V$83&amp;V$1&amp;"C"&amp;$A105))-IF(RTD("tos.rtd",,$A$2,"."&amp;V$83&amp;V$1&amp;"P"&amp;$A105)="N/A",0,RTD("tos.rtd",,$A$2,"."&amp;V$83&amp;V$1&amp;"P"&amp;$A105))</f>
        <v>0</v>
      </c>
      <c r="W105" s="56">
        <f ca="1">IF(RTD("tos.rtd",,$A$2,"."&amp;W$83&amp;W$1&amp;"C"&amp;$A105)="N/A",0,RTD("tos.rtd",,$A$2,"."&amp;W$83&amp;W$1&amp;"C"&amp;$A105))-IF(RTD("tos.rtd",,$A$2,"."&amp;W$83&amp;W$1&amp;"P"&amp;$A105)="N/A",0,RTD("tos.rtd",,$A$2,"."&amp;W$83&amp;W$1&amp;"P"&amp;$A105))</f>
        <v>0</v>
      </c>
      <c r="X105" s="56">
        <f ca="1">IF(RTD("tos.rtd",,$A$2,"."&amp;X$83&amp;X$1&amp;"C"&amp;$A105)="N/A",0,RTD("tos.rtd",,$A$2,"."&amp;X$83&amp;X$1&amp;"C"&amp;$A105))-IF(RTD("tos.rtd",,$A$2,"."&amp;X$83&amp;X$1&amp;"P"&amp;$A105)="N/A",0,RTD("tos.rtd",,$A$2,"."&amp;X$83&amp;X$1&amp;"P"&amp;$A105))</f>
        <v>0</v>
      </c>
      <c r="Y105" s="63">
        <f t="shared" ca="1" si="13"/>
        <v>2271</v>
      </c>
    </row>
    <row r="106" spans="1:25" x14ac:dyDescent="0.25">
      <c r="A106" s="58">
        <f>+Hoja1!A105</f>
        <v>6740</v>
      </c>
      <c r="B106" s="56">
        <f ca="1">IF(RTD("tos.rtd",,$A$2,"."&amp;B$83&amp;B$1&amp;"C"&amp;$A106)="N/A",0,RTD("tos.rtd",,$A$2,"."&amp;B$83&amp;B$1&amp;"C"&amp;$A106))-IF(RTD("tos.rtd",,$A$2,"."&amp;B$83&amp;B$1&amp;"P"&amp;$A106)="N/A",0,RTD("tos.rtd",,$A$2,"."&amp;B$83&amp;B$1&amp;"P"&amp;$A106))</f>
        <v>3316</v>
      </c>
      <c r="C106" s="56">
        <f ca="1">IF(RTD("tos.rtd",,$A$2,"."&amp;C$83&amp;C$1&amp;"C"&amp;$A106)="N/A",0,RTD("tos.rtd",,$A$2,"."&amp;C$83&amp;C$1&amp;"C"&amp;$A106))-IF(RTD("tos.rtd",,$A$2,"."&amp;C$83&amp;C$1&amp;"P"&amp;$A106)="N/A",0,RTD("tos.rtd",,$A$2,"."&amp;C$83&amp;C$1&amp;"P"&amp;$A106))</f>
        <v>273</v>
      </c>
      <c r="D106" s="56">
        <f ca="1">IF(RTD("tos.rtd",,$A$2,"."&amp;D$83&amp;D$1&amp;"C"&amp;$A106)="N/A",0,RTD("tos.rtd",,$A$2,"."&amp;D$83&amp;D$1&amp;"C"&amp;$A106))-IF(RTD("tos.rtd",,$A$2,"."&amp;D$83&amp;D$1&amp;"P"&amp;$A106)="N/A",0,RTD("tos.rtd",,$A$2,"."&amp;D$83&amp;D$1&amp;"P"&amp;$A106))</f>
        <v>63</v>
      </c>
      <c r="E106" s="56">
        <f ca="1">IF(RTD("tos.rtd",,$A$2,"."&amp;E$83&amp;E$1&amp;"C"&amp;$A106)="N/A",0,RTD("tos.rtd",,$A$2,"."&amp;E$83&amp;E$1&amp;"C"&amp;$A106))-IF(RTD("tos.rtd",,$A$2,"."&amp;E$83&amp;E$1&amp;"P"&amp;$A106)="N/A",0,RTD("tos.rtd",,$A$2,"."&amp;E$83&amp;E$1&amp;"P"&amp;$A106))</f>
        <v>125</v>
      </c>
      <c r="F106" s="56">
        <f ca="1">IF(RTD("tos.rtd",,$A$2,"."&amp;F$83&amp;F$1&amp;"C"&amp;$A106)="N/A",0,RTD("tos.rtd",,$A$2,"."&amp;F$83&amp;F$1&amp;"C"&amp;$A106))-IF(RTD("tos.rtd",,$A$2,"."&amp;F$83&amp;F$1&amp;"P"&amp;$A106)="N/A",0,RTD("tos.rtd",,$A$2,"."&amp;F$83&amp;F$1&amp;"P"&amp;$A106))</f>
        <v>0</v>
      </c>
      <c r="G106" s="56">
        <f ca="1">IF(RTD("tos.rtd",,$A$2,"."&amp;G$83&amp;G$1&amp;"C"&amp;$A106)="N/A",0,RTD("tos.rtd",,$A$2,"."&amp;G$83&amp;G$1&amp;"C"&amp;$A106))-IF(RTD("tos.rtd",,$A$2,"."&amp;G$83&amp;G$1&amp;"P"&amp;$A106)="N/A",0,RTD("tos.rtd",,$A$2,"."&amp;G$83&amp;G$1&amp;"P"&amp;$A106))</f>
        <v>0</v>
      </c>
      <c r="H106" s="56">
        <f ca="1">IF(RTD("tos.rtd",,$A$2,"."&amp;H$83&amp;H$1&amp;"C"&amp;$A106)="N/A",0,RTD("tos.rtd",,$A$2,"."&amp;H$83&amp;H$1&amp;"C"&amp;$A106))-IF(RTD("tos.rtd",,$A$2,"."&amp;H$83&amp;H$1&amp;"P"&amp;$A106)="N/A",0,RTD("tos.rtd",,$A$2,"."&amp;H$83&amp;H$1&amp;"P"&amp;$A106))</f>
        <v>-3</v>
      </c>
      <c r="I106" s="56">
        <f ca="1">IF(RTD("tos.rtd",,$A$2,"."&amp;I$83&amp;I$1&amp;"C"&amp;$A106)="N/A",0,RTD("tos.rtd",,$A$2,"."&amp;I$83&amp;I$1&amp;"C"&amp;$A106))-IF(RTD("tos.rtd",,$A$2,"."&amp;I$83&amp;I$1&amp;"P"&amp;$A106)="N/A",0,RTD("tos.rtd",,$A$2,"."&amp;I$83&amp;I$1&amp;"P"&amp;$A106))</f>
        <v>3</v>
      </c>
      <c r="J106" s="56">
        <f ca="1">IF(RTD("tos.rtd",,$A$2,"."&amp;J$83&amp;J$1&amp;"C"&amp;$A106)="N/A",0,RTD("tos.rtd",,$A$2,"."&amp;J$83&amp;J$1&amp;"C"&amp;$A106))-IF(RTD("tos.rtd",,$A$2,"."&amp;J$83&amp;J$1&amp;"P"&amp;$A106)="N/A",0,RTD("tos.rtd",,$A$2,"."&amp;J$83&amp;J$1&amp;"P"&amp;$A106))</f>
        <v>-34</v>
      </c>
      <c r="K106" s="56">
        <f ca="1">IF(RTD("tos.rtd",,$A$2,"."&amp;K$83&amp;K$1&amp;"C"&amp;$A106)="N/A",0,RTD("tos.rtd",,$A$2,"."&amp;K$83&amp;K$1&amp;"C"&amp;$A106))-IF(RTD("tos.rtd",,$A$2,"."&amp;K$83&amp;K$1&amp;"P"&amp;$A106)="N/A",0,RTD("tos.rtd",,$A$2,"."&amp;K$83&amp;K$1&amp;"P"&amp;$A106))</f>
        <v>-13</v>
      </c>
      <c r="L106" s="56">
        <f ca="1">IF(RTD("tos.rtd",,$A$2,"."&amp;L$83&amp;L$1&amp;"C"&amp;$A106)="N/A",0,RTD("tos.rtd",,$A$2,"."&amp;L$83&amp;L$1&amp;"C"&amp;$A106))-IF(RTD("tos.rtd",,$A$2,"."&amp;L$83&amp;L$1&amp;"P"&amp;$A106)="N/A",0,RTD("tos.rtd",,$A$2,"."&amp;L$83&amp;L$1&amp;"P"&amp;$A106))</f>
        <v>0</v>
      </c>
      <c r="M106" s="56">
        <f ca="1">IF(RTD("tos.rtd",,$A$2,"."&amp;M$83&amp;M$1&amp;"C"&amp;$A106)="N/A",0,RTD("tos.rtd",,$A$2,"."&amp;M$83&amp;M$1&amp;"C"&amp;$A106))-IF(RTD("tos.rtd",,$A$2,"."&amp;M$83&amp;M$1&amp;"P"&amp;$A106)="N/A",0,RTD("tos.rtd",,$A$2,"."&amp;M$83&amp;M$1&amp;"P"&amp;$A106))</f>
        <v>0</v>
      </c>
      <c r="N106" s="56">
        <f ca="1">IF(RTD("tos.rtd",,$A$2,"."&amp;N$83&amp;N$1&amp;"C"&amp;$A106)="N/A",0,RTD("tos.rtd",,$A$2,"."&amp;N$83&amp;N$1&amp;"C"&amp;$A106))-IF(RTD("tos.rtd",,$A$2,"."&amp;N$83&amp;N$1&amp;"P"&amp;$A106)="N/A",0,RTD("tos.rtd",,$A$2,"."&amp;N$83&amp;N$1&amp;"P"&amp;$A106))</f>
        <v>0</v>
      </c>
      <c r="O106" s="56">
        <f ca="1">IF(RTD("tos.rtd",,$A$2,"."&amp;O$83&amp;O$1&amp;"C"&amp;$A106)="N/A",0,RTD("tos.rtd",,$A$2,"."&amp;O$83&amp;O$1&amp;"C"&amp;$A106))-IF(RTD("tos.rtd",,$A$2,"."&amp;O$83&amp;O$1&amp;"P"&amp;$A106)="N/A",0,RTD("tos.rtd",,$A$2,"."&amp;O$83&amp;O$1&amp;"P"&amp;$A106))</f>
        <v>0</v>
      </c>
      <c r="P106" s="56">
        <f ca="1">IF(RTD("tos.rtd",,$A$2,"."&amp;P$83&amp;P$1&amp;"C"&amp;$A106)="N/A",0,RTD("tos.rtd",,$A$2,"."&amp;P$83&amp;P$1&amp;"C"&amp;$A106))-IF(RTD("tos.rtd",,$A$2,"."&amp;P$83&amp;P$1&amp;"P"&amp;$A106)="N/A",0,RTD("tos.rtd",,$A$2,"."&amp;P$83&amp;P$1&amp;"P"&amp;$A106))</f>
        <v>-17</v>
      </c>
      <c r="Q106" s="56">
        <f ca="1">IF(RTD("tos.rtd",,$A$2,"."&amp;Q$83&amp;Q$1&amp;"C"&amp;$A106)="N/A",0,RTD("tos.rtd",,$A$2,"."&amp;Q$83&amp;Q$1&amp;"C"&amp;$A106))-IF(RTD("tos.rtd",,$A$2,"."&amp;Q$83&amp;Q$1&amp;"P"&amp;$A106)="N/A",0,RTD("tos.rtd",,$A$2,"."&amp;Q$83&amp;Q$1&amp;"P"&amp;$A106))</f>
        <v>0</v>
      </c>
      <c r="R106" s="56">
        <f ca="1">IF(RTD("tos.rtd",,$A$2,"."&amp;R$83&amp;R$1&amp;"C"&amp;$A106)="N/A",0,RTD("tos.rtd",,$A$2,"."&amp;R$83&amp;R$1&amp;"C"&amp;$A106))-IF(RTD("tos.rtd",,$A$2,"."&amp;R$83&amp;R$1&amp;"P"&amp;$A106)="N/A",0,RTD("tos.rtd",,$A$2,"."&amp;R$83&amp;R$1&amp;"P"&amp;$A106))</f>
        <v>0</v>
      </c>
      <c r="S106" s="56">
        <f ca="1">IF(RTD("tos.rtd",,$A$2,"."&amp;S$83&amp;S$1&amp;"C"&amp;$A106)="N/A",0,RTD("tos.rtd",,$A$2,"."&amp;S$83&amp;S$1&amp;"C"&amp;$A106))-IF(RTD("tos.rtd",,$A$2,"."&amp;S$83&amp;S$1&amp;"P"&amp;$A106)="N/A",0,RTD("tos.rtd",,$A$2,"."&amp;S$83&amp;S$1&amp;"P"&amp;$A106))</f>
        <v>0</v>
      </c>
      <c r="T106" s="56">
        <f ca="1">IF(RTD("tos.rtd",,$A$2,"."&amp;T$83&amp;T$1&amp;"C"&amp;$A106)="N/A",0,RTD("tos.rtd",,$A$2,"."&amp;T$83&amp;T$1&amp;"C"&amp;$A106))-IF(RTD("tos.rtd",,$A$2,"."&amp;T$83&amp;T$1&amp;"P"&amp;$A106)="N/A",0,RTD("tos.rtd",,$A$2,"."&amp;T$83&amp;T$1&amp;"P"&amp;$A106))</f>
        <v>0</v>
      </c>
      <c r="U106" s="56">
        <f ca="1">IF(RTD("tos.rtd",,$A$2,"."&amp;U$83&amp;U$1&amp;"C"&amp;$A106)="N/A",0,RTD("tos.rtd",,$A$2,"."&amp;U$83&amp;U$1&amp;"C"&amp;$A106))-IF(RTD("tos.rtd",,$A$2,"."&amp;U$83&amp;U$1&amp;"P"&amp;$A106)="N/A",0,RTD("tos.rtd",,$A$2,"."&amp;U$83&amp;U$1&amp;"P"&amp;$A106))</f>
        <v>0</v>
      </c>
      <c r="V106" s="56">
        <f ca="1">IF(RTD("tos.rtd",,$A$2,"."&amp;V$83&amp;V$1&amp;"C"&amp;$A106)="N/A",0,RTD("tos.rtd",,$A$2,"."&amp;V$83&amp;V$1&amp;"C"&amp;$A106))-IF(RTD("tos.rtd",,$A$2,"."&amp;V$83&amp;V$1&amp;"P"&amp;$A106)="N/A",0,RTD("tos.rtd",,$A$2,"."&amp;V$83&amp;V$1&amp;"P"&amp;$A106))</f>
        <v>0</v>
      </c>
      <c r="W106" s="56">
        <f ca="1">IF(RTD("tos.rtd",,$A$2,"."&amp;W$83&amp;W$1&amp;"C"&amp;$A106)="N/A",0,RTD("tos.rtd",,$A$2,"."&amp;W$83&amp;W$1&amp;"C"&amp;$A106))-IF(RTD("tos.rtd",,$A$2,"."&amp;W$83&amp;W$1&amp;"P"&amp;$A106)="N/A",0,RTD("tos.rtd",,$A$2,"."&amp;W$83&amp;W$1&amp;"P"&amp;$A106))</f>
        <v>0</v>
      </c>
      <c r="X106" s="56">
        <f ca="1">IF(RTD("tos.rtd",,$A$2,"."&amp;X$83&amp;X$1&amp;"C"&amp;$A106)="N/A",0,RTD("tos.rtd",,$A$2,"."&amp;X$83&amp;X$1&amp;"C"&amp;$A106))-IF(RTD("tos.rtd",,$A$2,"."&amp;X$83&amp;X$1&amp;"P"&amp;$A106)="N/A",0,RTD("tos.rtd",,$A$2,"."&amp;X$83&amp;X$1&amp;"P"&amp;$A106))</f>
        <v>0</v>
      </c>
      <c r="Y106" s="63">
        <f t="shared" ca="1" si="13"/>
        <v>3713</v>
      </c>
    </row>
    <row r="107" spans="1:25" x14ac:dyDescent="0.25">
      <c r="A107" s="58">
        <f>+Hoja1!A106</f>
        <v>6735</v>
      </c>
      <c r="B107" s="56">
        <f ca="1">IF(RTD("tos.rtd",,$A$2,"."&amp;B$83&amp;B$1&amp;"C"&amp;$A107)="N/A",0,RTD("tos.rtd",,$A$2,"."&amp;B$83&amp;B$1&amp;"C"&amp;$A107))-IF(RTD("tos.rtd",,$A$2,"."&amp;B$83&amp;B$1&amp;"P"&amp;$A107)="N/A",0,RTD("tos.rtd",,$A$2,"."&amp;B$83&amp;B$1&amp;"P"&amp;$A107))</f>
        <v>2409</v>
      </c>
      <c r="C107" s="56">
        <f ca="1">IF(RTD("tos.rtd",,$A$2,"."&amp;C$83&amp;C$1&amp;"C"&amp;$A107)="N/A",0,RTD("tos.rtd",,$A$2,"."&amp;C$83&amp;C$1&amp;"C"&amp;$A107))-IF(RTD("tos.rtd",,$A$2,"."&amp;C$83&amp;C$1&amp;"P"&amp;$A107)="N/A",0,RTD("tos.rtd",,$A$2,"."&amp;C$83&amp;C$1&amp;"P"&amp;$A107))</f>
        <v>237</v>
      </c>
      <c r="D107" s="56">
        <f ca="1">IF(RTD("tos.rtd",,$A$2,"."&amp;D$83&amp;D$1&amp;"C"&amp;$A107)="N/A",0,RTD("tos.rtd",,$A$2,"."&amp;D$83&amp;D$1&amp;"C"&amp;$A107))-IF(RTD("tos.rtd",,$A$2,"."&amp;D$83&amp;D$1&amp;"P"&amp;$A107)="N/A",0,RTD("tos.rtd",,$A$2,"."&amp;D$83&amp;D$1&amp;"P"&amp;$A107))</f>
        <v>97</v>
      </c>
      <c r="E107" s="56">
        <f ca="1">IF(RTD("tos.rtd",,$A$2,"."&amp;E$83&amp;E$1&amp;"C"&amp;$A107)="N/A",0,RTD("tos.rtd",,$A$2,"."&amp;E$83&amp;E$1&amp;"C"&amp;$A107))-IF(RTD("tos.rtd",,$A$2,"."&amp;E$83&amp;E$1&amp;"P"&amp;$A107)="N/A",0,RTD("tos.rtd",,$A$2,"."&amp;E$83&amp;E$1&amp;"P"&amp;$A107))</f>
        <v>104</v>
      </c>
      <c r="F107" s="56">
        <f ca="1">IF(RTD("tos.rtd",,$A$2,"."&amp;F$83&amp;F$1&amp;"C"&amp;$A107)="N/A",0,RTD("tos.rtd",,$A$2,"."&amp;F$83&amp;F$1&amp;"C"&amp;$A107))-IF(RTD("tos.rtd",,$A$2,"."&amp;F$83&amp;F$1&amp;"P"&amp;$A107)="N/A",0,RTD("tos.rtd",,$A$2,"."&amp;F$83&amp;F$1&amp;"P"&amp;$A107))</f>
        <v>0</v>
      </c>
      <c r="G107" s="56">
        <f ca="1">IF(RTD("tos.rtd",,$A$2,"."&amp;G$83&amp;G$1&amp;"C"&amp;$A107)="N/A",0,RTD("tos.rtd",,$A$2,"."&amp;G$83&amp;G$1&amp;"C"&amp;$A107))-IF(RTD("tos.rtd",,$A$2,"."&amp;G$83&amp;G$1&amp;"P"&amp;$A107)="N/A",0,RTD("tos.rtd",,$A$2,"."&amp;G$83&amp;G$1&amp;"P"&amp;$A107))</f>
        <v>0</v>
      </c>
      <c r="H107" s="56">
        <f ca="1">IF(RTD("tos.rtd",,$A$2,"."&amp;H$83&amp;H$1&amp;"C"&amp;$A107)="N/A",0,RTD("tos.rtd",,$A$2,"."&amp;H$83&amp;H$1&amp;"C"&amp;$A107))-IF(RTD("tos.rtd",,$A$2,"."&amp;H$83&amp;H$1&amp;"P"&amp;$A107)="N/A",0,RTD("tos.rtd",,$A$2,"."&amp;H$83&amp;H$1&amp;"P"&amp;$A107))</f>
        <v>3</v>
      </c>
      <c r="I107" s="56">
        <f ca="1">IF(RTD("tos.rtd",,$A$2,"."&amp;I$83&amp;I$1&amp;"C"&amp;$A107)="N/A",0,RTD("tos.rtd",,$A$2,"."&amp;I$83&amp;I$1&amp;"C"&amp;$A107))-IF(RTD("tos.rtd",,$A$2,"."&amp;I$83&amp;I$1&amp;"P"&amp;$A107)="N/A",0,RTD("tos.rtd",,$A$2,"."&amp;I$83&amp;I$1&amp;"P"&amp;$A107))</f>
        <v>23</v>
      </c>
      <c r="J107" s="56">
        <f ca="1">IF(RTD("tos.rtd",,$A$2,"."&amp;J$83&amp;J$1&amp;"C"&amp;$A107)="N/A",0,RTD("tos.rtd",,$A$2,"."&amp;J$83&amp;J$1&amp;"C"&amp;$A107))-IF(RTD("tos.rtd",,$A$2,"."&amp;J$83&amp;J$1&amp;"P"&amp;$A107)="N/A",0,RTD("tos.rtd",,$A$2,"."&amp;J$83&amp;J$1&amp;"P"&amp;$A107))</f>
        <v>0</v>
      </c>
      <c r="K107" s="56">
        <f ca="1">IF(RTD("tos.rtd",,$A$2,"."&amp;K$83&amp;K$1&amp;"C"&amp;$A107)="N/A",0,RTD("tos.rtd",,$A$2,"."&amp;K$83&amp;K$1&amp;"C"&amp;$A107))-IF(RTD("tos.rtd",,$A$2,"."&amp;K$83&amp;K$1&amp;"P"&amp;$A107)="N/A",0,RTD("tos.rtd",,$A$2,"."&amp;K$83&amp;K$1&amp;"P"&amp;$A107))</f>
        <v>6</v>
      </c>
      <c r="L107" s="56">
        <f ca="1">IF(RTD("tos.rtd",,$A$2,"."&amp;L$83&amp;L$1&amp;"C"&amp;$A107)="N/A",0,RTD("tos.rtd",,$A$2,"."&amp;L$83&amp;L$1&amp;"C"&amp;$A107))-IF(RTD("tos.rtd",,$A$2,"."&amp;L$83&amp;L$1&amp;"P"&amp;$A107)="N/A",0,RTD("tos.rtd",,$A$2,"."&amp;L$83&amp;L$1&amp;"P"&amp;$A107))</f>
        <v>0</v>
      </c>
      <c r="M107" s="56">
        <f ca="1">IF(RTD("tos.rtd",,$A$2,"."&amp;M$83&amp;M$1&amp;"C"&amp;$A107)="N/A",0,RTD("tos.rtd",,$A$2,"."&amp;M$83&amp;M$1&amp;"C"&amp;$A107))-IF(RTD("tos.rtd",,$A$2,"."&amp;M$83&amp;M$1&amp;"P"&amp;$A107)="N/A",0,RTD("tos.rtd",,$A$2,"."&amp;M$83&amp;M$1&amp;"P"&amp;$A107))</f>
        <v>0</v>
      </c>
      <c r="N107" s="56">
        <f ca="1">IF(RTD("tos.rtd",,$A$2,"."&amp;N$83&amp;N$1&amp;"C"&amp;$A107)="N/A",0,RTD("tos.rtd",,$A$2,"."&amp;N$83&amp;N$1&amp;"C"&amp;$A107))-IF(RTD("tos.rtd",,$A$2,"."&amp;N$83&amp;N$1&amp;"P"&amp;$A107)="N/A",0,RTD("tos.rtd",,$A$2,"."&amp;N$83&amp;N$1&amp;"P"&amp;$A107))</f>
        <v>0</v>
      </c>
      <c r="O107" s="56">
        <f ca="1">IF(RTD("tos.rtd",,$A$2,"."&amp;O$83&amp;O$1&amp;"C"&amp;$A107)="N/A",0,RTD("tos.rtd",,$A$2,"."&amp;O$83&amp;O$1&amp;"C"&amp;$A107))-IF(RTD("tos.rtd",,$A$2,"."&amp;O$83&amp;O$1&amp;"P"&amp;$A107)="N/A",0,RTD("tos.rtd",,$A$2,"."&amp;O$83&amp;O$1&amp;"P"&amp;$A107))</f>
        <v>0</v>
      </c>
      <c r="P107" s="56">
        <f ca="1">IF(RTD("tos.rtd",,$A$2,"."&amp;P$83&amp;P$1&amp;"C"&amp;$A107)="N/A",0,RTD("tos.rtd",,$A$2,"."&amp;P$83&amp;P$1&amp;"C"&amp;$A107))-IF(RTD("tos.rtd",,$A$2,"."&amp;P$83&amp;P$1&amp;"P"&amp;$A107)="N/A",0,RTD("tos.rtd",,$A$2,"."&amp;P$83&amp;P$1&amp;"P"&amp;$A107))</f>
        <v>0</v>
      </c>
      <c r="Q107" s="56">
        <f ca="1">IF(RTD("tos.rtd",,$A$2,"."&amp;Q$83&amp;Q$1&amp;"C"&amp;$A107)="N/A",0,RTD("tos.rtd",,$A$2,"."&amp;Q$83&amp;Q$1&amp;"C"&amp;$A107))-IF(RTD("tos.rtd",,$A$2,"."&amp;Q$83&amp;Q$1&amp;"P"&amp;$A107)="N/A",0,RTD("tos.rtd",,$A$2,"."&amp;Q$83&amp;Q$1&amp;"P"&amp;$A107))</f>
        <v>0</v>
      </c>
      <c r="R107" s="56">
        <f ca="1">IF(RTD("tos.rtd",,$A$2,"."&amp;R$83&amp;R$1&amp;"C"&amp;$A107)="N/A",0,RTD("tos.rtd",,$A$2,"."&amp;R$83&amp;R$1&amp;"C"&amp;$A107))-IF(RTD("tos.rtd",,$A$2,"."&amp;R$83&amp;R$1&amp;"P"&amp;$A107)="N/A",0,RTD("tos.rtd",,$A$2,"."&amp;R$83&amp;R$1&amp;"P"&amp;$A107))</f>
        <v>0</v>
      </c>
      <c r="S107" s="56">
        <f ca="1">IF(RTD("tos.rtd",,$A$2,"."&amp;S$83&amp;S$1&amp;"C"&amp;$A107)="N/A",0,RTD("tos.rtd",,$A$2,"."&amp;S$83&amp;S$1&amp;"C"&amp;$A107))-IF(RTD("tos.rtd",,$A$2,"."&amp;S$83&amp;S$1&amp;"P"&amp;$A107)="N/A",0,RTD("tos.rtd",,$A$2,"."&amp;S$83&amp;S$1&amp;"P"&amp;$A107))</f>
        <v>0</v>
      </c>
      <c r="T107" s="56">
        <f ca="1">IF(RTD("tos.rtd",,$A$2,"."&amp;T$83&amp;T$1&amp;"C"&amp;$A107)="N/A",0,RTD("tos.rtd",,$A$2,"."&amp;T$83&amp;T$1&amp;"C"&amp;$A107))-IF(RTD("tos.rtd",,$A$2,"."&amp;T$83&amp;T$1&amp;"P"&amp;$A107)="N/A",0,RTD("tos.rtd",,$A$2,"."&amp;T$83&amp;T$1&amp;"P"&amp;$A107))</f>
        <v>0</v>
      </c>
      <c r="U107" s="56">
        <f ca="1">IF(RTD("tos.rtd",,$A$2,"."&amp;U$83&amp;U$1&amp;"C"&amp;$A107)="N/A",0,RTD("tos.rtd",,$A$2,"."&amp;U$83&amp;U$1&amp;"C"&amp;$A107))-IF(RTD("tos.rtd",,$A$2,"."&amp;U$83&amp;U$1&amp;"P"&amp;$A107)="N/A",0,RTD("tos.rtd",,$A$2,"."&amp;U$83&amp;U$1&amp;"P"&amp;$A107))</f>
        <v>0</v>
      </c>
      <c r="V107" s="56">
        <f ca="1">IF(RTD("tos.rtd",,$A$2,"."&amp;V$83&amp;V$1&amp;"C"&amp;$A107)="N/A",0,RTD("tos.rtd",,$A$2,"."&amp;V$83&amp;V$1&amp;"C"&amp;$A107))-IF(RTD("tos.rtd",,$A$2,"."&amp;V$83&amp;V$1&amp;"P"&amp;$A107)="N/A",0,RTD("tos.rtd",,$A$2,"."&amp;V$83&amp;V$1&amp;"P"&amp;$A107))</f>
        <v>0</v>
      </c>
      <c r="W107" s="56">
        <f ca="1">IF(RTD("tos.rtd",,$A$2,"."&amp;W$83&amp;W$1&amp;"C"&amp;$A107)="N/A",0,RTD("tos.rtd",,$A$2,"."&amp;W$83&amp;W$1&amp;"C"&amp;$A107))-IF(RTD("tos.rtd",,$A$2,"."&amp;W$83&amp;W$1&amp;"P"&amp;$A107)="N/A",0,RTD("tos.rtd",,$A$2,"."&amp;W$83&amp;W$1&amp;"P"&amp;$A107))</f>
        <v>0</v>
      </c>
      <c r="X107" s="56">
        <f ca="1">IF(RTD("tos.rtd",,$A$2,"."&amp;X$83&amp;X$1&amp;"C"&amp;$A107)="N/A",0,RTD("tos.rtd",,$A$2,"."&amp;X$83&amp;X$1&amp;"C"&amp;$A107))-IF(RTD("tos.rtd",,$A$2,"."&amp;X$83&amp;X$1&amp;"P"&amp;$A107)="N/A",0,RTD("tos.rtd",,$A$2,"."&amp;X$83&amp;X$1&amp;"P"&amp;$A107))</f>
        <v>0</v>
      </c>
      <c r="Y107" s="63">
        <f t="shared" ca="1" si="13"/>
        <v>2879</v>
      </c>
    </row>
    <row r="108" spans="1:25" x14ac:dyDescent="0.25">
      <c r="A108" s="58">
        <f>+Hoja1!A107</f>
        <v>6730</v>
      </c>
      <c r="B108" s="56">
        <f ca="1">IF(RTD("tos.rtd",,$A$2,"."&amp;B$83&amp;B$1&amp;"C"&amp;$A108)="N/A",0,RTD("tos.rtd",,$A$2,"."&amp;B$83&amp;B$1&amp;"C"&amp;$A108))-IF(RTD("tos.rtd",,$A$2,"."&amp;B$83&amp;B$1&amp;"P"&amp;$A108)="N/A",0,RTD("tos.rtd",,$A$2,"."&amp;B$83&amp;B$1&amp;"P"&amp;$A108))</f>
        <v>3015</v>
      </c>
      <c r="C108" s="56">
        <f ca="1">IF(RTD("tos.rtd",,$A$2,"."&amp;C$83&amp;C$1&amp;"C"&amp;$A108)="N/A",0,RTD("tos.rtd",,$A$2,"."&amp;C$83&amp;C$1&amp;"C"&amp;$A108))-IF(RTD("tos.rtd",,$A$2,"."&amp;C$83&amp;C$1&amp;"P"&amp;$A108)="N/A",0,RTD("tos.rtd",,$A$2,"."&amp;C$83&amp;C$1&amp;"P"&amp;$A108))</f>
        <v>176</v>
      </c>
      <c r="D108" s="56">
        <f ca="1">IF(RTD("tos.rtd",,$A$2,"."&amp;D$83&amp;D$1&amp;"C"&amp;$A108)="N/A",0,RTD("tos.rtd",,$A$2,"."&amp;D$83&amp;D$1&amp;"C"&amp;$A108))-IF(RTD("tos.rtd",,$A$2,"."&amp;D$83&amp;D$1&amp;"P"&amp;$A108)="N/A",0,RTD("tos.rtd",,$A$2,"."&amp;D$83&amp;D$1&amp;"P"&amp;$A108))</f>
        <v>-15</v>
      </c>
      <c r="E108" s="56">
        <f ca="1">IF(RTD("tos.rtd",,$A$2,"."&amp;E$83&amp;E$1&amp;"C"&amp;$A108)="N/A",0,RTD("tos.rtd",,$A$2,"."&amp;E$83&amp;E$1&amp;"C"&amp;$A108))-IF(RTD("tos.rtd",,$A$2,"."&amp;E$83&amp;E$1&amp;"P"&amp;$A108)="N/A",0,RTD("tos.rtd",,$A$2,"."&amp;E$83&amp;E$1&amp;"P"&amp;$A108))</f>
        <v>-806</v>
      </c>
      <c r="F108" s="56">
        <f ca="1">IF(RTD("tos.rtd",,$A$2,"."&amp;F$83&amp;F$1&amp;"C"&amp;$A108)="N/A",0,RTD("tos.rtd",,$A$2,"."&amp;F$83&amp;F$1&amp;"C"&amp;$A108))-IF(RTD("tos.rtd",,$A$2,"."&amp;F$83&amp;F$1&amp;"P"&amp;$A108)="N/A",0,RTD("tos.rtd",,$A$2,"."&amp;F$83&amp;F$1&amp;"P"&amp;$A108))</f>
        <v>0</v>
      </c>
      <c r="G108" s="56">
        <f ca="1">IF(RTD("tos.rtd",,$A$2,"."&amp;G$83&amp;G$1&amp;"C"&amp;$A108)="N/A",0,RTD("tos.rtd",,$A$2,"."&amp;G$83&amp;G$1&amp;"C"&amp;$A108))-IF(RTD("tos.rtd",,$A$2,"."&amp;G$83&amp;G$1&amp;"P"&amp;$A108)="N/A",0,RTD("tos.rtd",,$A$2,"."&amp;G$83&amp;G$1&amp;"P"&amp;$A108))</f>
        <v>0</v>
      </c>
      <c r="H108" s="56">
        <f ca="1">IF(RTD("tos.rtd",,$A$2,"."&amp;H$83&amp;H$1&amp;"C"&amp;$A108)="N/A",0,RTD("tos.rtd",,$A$2,"."&amp;H$83&amp;H$1&amp;"C"&amp;$A108))-IF(RTD("tos.rtd",,$A$2,"."&amp;H$83&amp;H$1&amp;"P"&amp;$A108)="N/A",0,RTD("tos.rtd",,$A$2,"."&amp;H$83&amp;H$1&amp;"P"&amp;$A108))</f>
        <v>130</v>
      </c>
      <c r="I108" s="56">
        <f ca="1">IF(RTD("tos.rtd",,$A$2,"."&amp;I$83&amp;I$1&amp;"C"&amp;$A108)="N/A",0,RTD("tos.rtd",,$A$2,"."&amp;I$83&amp;I$1&amp;"C"&amp;$A108))-IF(RTD("tos.rtd",,$A$2,"."&amp;I$83&amp;I$1&amp;"P"&amp;$A108)="N/A",0,RTD("tos.rtd",,$A$2,"."&amp;I$83&amp;I$1&amp;"P"&amp;$A108))</f>
        <v>201</v>
      </c>
      <c r="J108" s="56">
        <f ca="1">IF(RTD("tos.rtd",,$A$2,"."&amp;J$83&amp;J$1&amp;"C"&amp;$A108)="N/A",0,RTD("tos.rtd",,$A$2,"."&amp;J$83&amp;J$1&amp;"C"&amp;$A108))-IF(RTD("tos.rtd",,$A$2,"."&amp;J$83&amp;J$1&amp;"P"&amp;$A108)="N/A",0,RTD("tos.rtd",,$A$2,"."&amp;J$83&amp;J$1&amp;"P"&amp;$A108))</f>
        <v>-11</v>
      </c>
      <c r="K108" s="56">
        <f ca="1">IF(RTD("tos.rtd",,$A$2,"."&amp;K$83&amp;K$1&amp;"C"&amp;$A108)="N/A",0,RTD("tos.rtd",,$A$2,"."&amp;K$83&amp;K$1&amp;"C"&amp;$A108))-IF(RTD("tos.rtd",,$A$2,"."&amp;K$83&amp;K$1&amp;"P"&amp;$A108)="N/A",0,RTD("tos.rtd",,$A$2,"."&amp;K$83&amp;K$1&amp;"P"&amp;$A108))</f>
        <v>-13</v>
      </c>
      <c r="L108" s="56">
        <f ca="1">IF(RTD("tos.rtd",,$A$2,"."&amp;L$83&amp;L$1&amp;"C"&amp;$A108)="N/A",0,RTD("tos.rtd",,$A$2,"."&amp;L$83&amp;L$1&amp;"C"&amp;$A108))-IF(RTD("tos.rtd",,$A$2,"."&amp;L$83&amp;L$1&amp;"P"&amp;$A108)="N/A",0,RTD("tos.rtd",,$A$2,"."&amp;L$83&amp;L$1&amp;"P"&amp;$A108))</f>
        <v>0</v>
      </c>
      <c r="M108" s="56">
        <f ca="1">IF(RTD("tos.rtd",,$A$2,"."&amp;M$83&amp;M$1&amp;"C"&amp;$A108)="N/A",0,RTD("tos.rtd",,$A$2,"."&amp;M$83&amp;M$1&amp;"C"&amp;$A108))-IF(RTD("tos.rtd",,$A$2,"."&amp;M$83&amp;M$1&amp;"P"&amp;$A108)="N/A",0,RTD("tos.rtd",,$A$2,"."&amp;M$83&amp;M$1&amp;"P"&amp;$A108))</f>
        <v>0</v>
      </c>
      <c r="N108" s="56">
        <f ca="1">IF(RTD("tos.rtd",,$A$2,"."&amp;N$83&amp;N$1&amp;"C"&amp;$A108)="N/A",0,RTD("tos.rtd",,$A$2,"."&amp;N$83&amp;N$1&amp;"C"&amp;$A108))-IF(RTD("tos.rtd",,$A$2,"."&amp;N$83&amp;N$1&amp;"P"&amp;$A108)="N/A",0,RTD("tos.rtd",,$A$2,"."&amp;N$83&amp;N$1&amp;"P"&amp;$A108))</f>
        <v>0</v>
      </c>
      <c r="O108" s="56">
        <f ca="1">IF(RTD("tos.rtd",,$A$2,"."&amp;O$83&amp;O$1&amp;"C"&amp;$A108)="N/A",0,RTD("tos.rtd",,$A$2,"."&amp;O$83&amp;O$1&amp;"C"&amp;$A108))-IF(RTD("tos.rtd",,$A$2,"."&amp;O$83&amp;O$1&amp;"P"&amp;$A108)="N/A",0,RTD("tos.rtd",,$A$2,"."&amp;O$83&amp;O$1&amp;"P"&amp;$A108))</f>
        <v>0</v>
      </c>
      <c r="P108" s="56">
        <f ca="1">IF(RTD("tos.rtd",,$A$2,"."&amp;P$83&amp;P$1&amp;"C"&amp;$A108)="N/A",0,RTD("tos.rtd",,$A$2,"."&amp;P$83&amp;P$1&amp;"C"&amp;$A108))-IF(RTD("tos.rtd",,$A$2,"."&amp;P$83&amp;P$1&amp;"P"&amp;$A108)="N/A",0,RTD("tos.rtd",,$A$2,"."&amp;P$83&amp;P$1&amp;"P"&amp;$A108))</f>
        <v>-34</v>
      </c>
      <c r="Q108" s="56">
        <f ca="1">IF(RTD("tos.rtd",,$A$2,"."&amp;Q$83&amp;Q$1&amp;"C"&amp;$A108)="N/A",0,RTD("tos.rtd",,$A$2,"."&amp;Q$83&amp;Q$1&amp;"C"&amp;$A108))-IF(RTD("tos.rtd",,$A$2,"."&amp;Q$83&amp;Q$1&amp;"P"&amp;$A108)="N/A",0,RTD("tos.rtd",,$A$2,"."&amp;Q$83&amp;Q$1&amp;"P"&amp;$A108))</f>
        <v>0</v>
      </c>
      <c r="R108" s="56">
        <f ca="1">IF(RTD("tos.rtd",,$A$2,"."&amp;R$83&amp;R$1&amp;"C"&amp;$A108)="N/A",0,RTD("tos.rtd",,$A$2,"."&amp;R$83&amp;R$1&amp;"C"&amp;$A108))-IF(RTD("tos.rtd",,$A$2,"."&amp;R$83&amp;R$1&amp;"P"&amp;$A108)="N/A",0,RTD("tos.rtd",,$A$2,"."&amp;R$83&amp;R$1&amp;"P"&amp;$A108))</f>
        <v>0</v>
      </c>
      <c r="S108" s="56">
        <f ca="1">IF(RTD("tos.rtd",,$A$2,"."&amp;S$83&amp;S$1&amp;"C"&amp;$A108)="N/A",0,RTD("tos.rtd",,$A$2,"."&amp;S$83&amp;S$1&amp;"C"&amp;$A108))-IF(RTD("tos.rtd",,$A$2,"."&amp;S$83&amp;S$1&amp;"P"&amp;$A108)="N/A",0,RTD("tos.rtd",,$A$2,"."&amp;S$83&amp;S$1&amp;"P"&amp;$A108))</f>
        <v>0</v>
      </c>
      <c r="T108" s="56">
        <f ca="1">IF(RTD("tos.rtd",,$A$2,"."&amp;T$83&amp;T$1&amp;"C"&amp;$A108)="N/A",0,RTD("tos.rtd",,$A$2,"."&amp;T$83&amp;T$1&amp;"C"&amp;$A108))-IF(RTD("tos.rtd",,$A$2,"."&amp;T$83&amp;T$1&amp;"P"&amp;$A108)="N/A",0,RTD("tos.rtd",,$A$2,"."&amp;T$83&amp;T$1&amp;"P"&amp;$A108))</f>
        <v>0</v>
      </c>
      <c r="U108" s="56">
        <f ca="1">IF(RTD("tos.rtd",,$A$2,"."&amp;U$83&amp;U$1&amp;"C"&amp;$A108)="N/A",0,RTD("tos.rtd",,$A$2,"."&amp;U$83&amp;U$1&amp;"C"&amp;$A108))-IF(RTD("tos.rtd",,$A$2,"."&amp;U$83&amp;U$1&amp;"P"&amp;$A108)="N/A",0,RTD("tos.rtd",,$A$2,"."&amp;U$83&amp;U$1&amp;"P"&amp;$A108))</f>
        <v>0</v>
      </c>
      <c r="V108" s="56">
        <f ca="1">IF(RTD("tos.rtd",,$A$2,"."&amp;V$83&amp;V$1&amp;"C"&amp;$A108)="N/A",0,RTD("tos.rtd",,$A$2,"."&amp;V$83&amp;V$1&amp;"C"&amp;$A108))-IF(RTD("tos.rtd",,$A$2,"."&amp;V$83&amp;V$1&amp;"P"&amp;$A108)="N/A",0,RTD("tos.rtd",,$A$2,"."&amp;V$83&amp;V$1&amp;"P"&amp;$A108))</f>
        <v>0</v>
      </c>
      <c r="W108" s="56">
        <f ca="1">IF(RTD("tos.rtd",,$A$2,"."&amp;W$83&amp;W$1&amp;"C"&amp;$A108)="N/A",0,RTD("tos.rtd",,$A$2,"."&amp;W$83&amp;W$1&amp;"C"&amp;$A108))-IF(RTD("tos.rtd",,$A$2,"."&amp;W$83&amp;W$1&amp;"P"&amp;$A108)="N/A",0,RTD("tos.rtd",,$A$2,"."&amp;W$83&amp;W$1&amp;"P"&amp;$A108))</f>
        <v>0</v>
      </c>
      <c r="X108" s="56">
        <f ca="1">IF(RTD("tos.rtd",,$A$2,"."&amp;X$83&amp;X$1&amp;"C"&amp;$A108)="N/A",0,RTD("tos.rtd",,$A$2,"."&amp;X$83&amp;X$1&amp;"C"&amp;$A108))-IF(RTD("tos.rtd",,$A$2,"."&amp;X$83&amp;X$1&amp;"P"&amp;$A108)="N/A",0,RTD("tos.rtd",,$A$2,"."&amp;X$83&amp;X$1&amp;"P"&amp;$A108))</f>
        <v>0</v>
      </c>
      <c r="Y108" s="63">
        <f t="shared" ca="1" si="13"/>
        <v>2643</v>
      </c>
    </row>
    <row r="109" spans="1:25" x14ac:dyDescent="0.25">
      <c r="A109" s="58">
        <f>+Hoja1!A108</f>
        <v>6725</v>
      </c>
      <c r="B109" s="56">
        <f ca="1">IF(RTD("tos.rtd",,$A$2,"."&amp;B$83&amp;B$1&amp;"C"&amp;$A109)="N/A",0,RTD("tos.rtd",,$A$2,"."&amp;B$83&amp;B$1&amp;"C"&amp;$A109))-IF(RTD("tos.rtd",,$A$2,"."&amp;B$83&amp;B$1&amp;"P"&amp;$A109)="N/A",0,RTD("tos.rtd",,$A$2,"."&amp;B$83&amp;B$1&amp;"P"&amp;$A109))</f>
        <v>3249</v>
      </c>
      <c r="C109" s="56">
        <f ca="1">IF(RTD("tos.rtd",,$A$2,"."&amp;C$83&amp;C$1&amp;"C"&amp;$A109)="N/A",0,RTD("tos.rtd",,$A$2,"."&amp;C$83&amp;C$1&amp;"C"&amp;$A109))-IF(RTD("tos.rtd",,$A$2,"."&amp;C$83&amp;C$1&amp;"P"&amp;$A109)="N/A",0,RTD("tos.rtd",,$A$2,"."&amp;C$83&amp;C$1&amp;"P"&amp;$A109))</f>
        <v>1464</v>
      </c>
      <c r="D109" s="56">
        <f ca="1">IF(RTD("tos.rtd",,$A$2,"."&amp;D$83&amp;D$1&amp;"C"&amp;$A109)="N/A",0,RTD("tos.rtd",,$A$2,"."&amp;D$83&amp;D$1&amp;"C"&amp;$A109))-IF(RTD("tos.rtd",,$A$2,"."&amp;D$83&amp;D$1&amp;"P"&amp;$A109)="N/A",0,RTD("tos.rtd",,$A$2,"."&amp;D$83&amp;D$1&amp;"P"&amp;$A109))</f>
        <v>225</v>
      </c>
      <c r="E109" s="56">
        <f ca="1">IF(RTD("tos.rtd",,$A$2,"."&amp;E$83&amp;E$1&amp;"C"&amp;$A109)="N/A",0,RTD("tos.rtd",,$A$2,"."&amp;E$83&amp;E$1&amp;"C"&amp;$A109))-IF(RTD("tos.rtd",,$A$2,"."&amp;E$83&amp;E$1&amp;"P"&amp;$A109)="N/A",0,RTD("tos.rtd",,$A$2,"."&amp;E$83&amp;E$1&amp;"P"&amp;$A109))</f>
        <v>-19</v>
      </c>
      <c r="F109" s="56">
        <f ca="1">IF(RTD("tos.rtd",,$A$2,"."&amp;F$83&amp;F$1&amp;"C"&amp;$A109)="N/A",0,RTD("tos.rtd",,$A$2,"."&amp;F$83&amp;F$1&amp;"C"&amp;$A109))-IF(RTD("tos.rtd",,$A$2,"."&amp;F$83&amp;F$1&amp;"P"&amp;$A109)="N/A",0,RTD("tos.rtd",,$A$2,"."&amp;F$83&amp;F$1&amp;"P"&amp;$A109))</f>
        <v>0</v>
      </c>
      <c r="G109" s="56">
        <f ca="1">IF(RTD("tos.rtd",,$A$2,"."&amp;G$83&amp;G$1&amp;"C"&amp;$A109)="N/A",0,RTD("tos.rtd",,$A$2,"."&amp;G$83&amp;G$1&amp;"C"&amp;$A109))-IF(RTD("tos.rtd",,$A$2,"."&amp;G$83&amp;G$1&amp;"P"&amp;$A109)="N/A",0,RTD("tos.rtd",,$A$2,"."&amp;G$83&amp;G$1&amp;"P"&amp;$A109))</f>
        <v>0</v>
      </c>
      <c r="H109" s="56">
        <f ca="1">IF(RTD("tos.rtd",,$A$2,"."&amp;H$83&amp;H$1&amp;"C"&amp;$A109)="N/A",0,RTD("tos.rtd",,$A$2,"."&amp;H$83&amp;H$1&amp;"C"&amp;$A109))-IF(RTD("tos.rtd",,$A$2,"."&amp;H$83&amp;H$1&amp;"P"&amp;$A109)="N/A",0,RTD("tos.rtd",,$A$2,"."&amp;H$83&amp;H$1&amp;"P"&amp;$A109))</f>
        <v>-646</v>
      </c>
      <c r="I109" s="56">
        <f ca="1">IF(RTD("tos.rtd",,$A$2,"."&amp;I$83&amp;I$1&amp;"C"&amp;$A109)="N/A",0,RTD("tos.rtd",,$A$2,"."&amp;I$83&amp;I$1&amp;"C"&amp;$A109))-IF(RTD("tos.rtd",,$A$2,"."&amp;I$83&amp;I$1&amp;"P"&amp;$A109)="N/A",0,RTD("tos.rtd",,$A$2,"."&amp;I$83&amp;I$1&amp;"P"&amp;$A109))</f>
        <v>19</v>
      </c>
      <c r="J109" s="56">
        <f ca="1">IF(RTD("tos.rtd",,$A$2,"."&amp;J$83&amp;J$1&amp;"C"&amp;$A109)="N/A",0,RTD("tos.rtd",,$A$2,"."&amp;J$83&amp;J$1&amp;"C"&amp;$A109))-IF(RTD("tos.rtd",,$A$2,"."&amp;J$83&amp;J$1&amp;"P"&amp;$A109)="N/A",0,RTD("tos.rtd",,$A$2,"."&amp;J$83&amp;J$1&amp;"P"&amp;$A109))</f>
        <v>-8</v>
      </c>
      <c r="K109" s="56">
        <f ca="1">IF(RTD("tos.rtd",,$A$2,"."&amp;K$83&amp;K$1&amp;"C"&amp;$A109)="N/A",0,RTD("tos.rtd",,$A$2,"."&amp;K$83&amp;K$1&amp;"C"&amp;$A109))-IF(RTD("tos.rtd",,$A$2,"."&amp;K$83&amp;K$1&amp;"P"&amp;$A109)="N/A",0,RTD("tos.rtd",,$A$2,"."&amp;K$83&amp;K$1&amp;"P"&amp;$A109))</f>
        <v>8</v>
      </c>
      <c r="L109" s="56">
        <f ca="1">IF(RTD("tos.rtd",,$A$2,"."&amp;L$83&amp;L$1&amp;"C"&amp;$A109)="N/A",0,RTD("tos.rtd",,$A$2,"."&amp;L$83&amp;L$1&amp;"C"&amp;$A109))-IF(RTD("tos.rtd",,$A$2,"."&amp;L$83&amp;L$1&amp;"P"&amp;$A109)="N/A",0,RTD("tos.rtd",,$A$2,"."&amp;L$83&amp;L$1&amp;"P"&amp;$A109))</f>
        <v>0</v>
      </c>
      <c r="M109" s="56">
        <f ca="1">IF(RTD("tos.rtd",,$A$2,"."&amp;M$83&amp;M$1&amp;"C"&amp;$A109)="N/A",0,RTD("tos.rtd",,$A$2,"."&amp;M$83&amp;M$1&amp;"C"&amp;$A109))-IF(RTD("tos.rtd",,$A$2,"."&amp;M$83&amp;M$1&amp;"P"&amp;$A109)="N/A",0,RTD("tos.rtd",,$A$2,"."&amp;M$83&amp;M$1&amp;"P"&amp;$A109))</f>
        <v>0</v>
      </c>
      <c r="N109" s="56">
        <f ca="1">IF(RTD("tos.rtd",,$A$2,"."&amp;N$83&amp;N$1&amp;"C"&amp;$A109)="N/A",0,RTD("tos.rtd",,$A$2,"."&amp;N$83&amp;N$1&amp;"C"&amp;$A109))-IF(RTD("tos.rtd",,$A$2,"."&amp;N$83&amp;N$1&amp;"P"&amp;$A109)="N/A",0,RTD("tos.rtd",,$A$2,"."&amp;N$83&amp;N$1&amp;"P"&amp;$A109))</f>
        <v>0</v>
      </c>
      <c r="O109" s="56">
        <f ca="1">IF(RTD("tos.rtd",,$A$2,"."&amp;O$83&amp;O$1&amp;"C"&amp;$A109)="N/A",0,RTD("tos.rtd",,$A$2,"."&amp;O$83&amp;O$1&amp;"C"&amp;$A109))-IF(RTD("tos.rtd",,$A$2,"."&amp;O$83&amp;O$1&amp;"P"&amp;$A109)="N/A",0,RTD("tos.rtd",,$A$2,"."&amp;O$83&amp;O$1&amp;"P"&amp;$A109))</f>
        <v>0</v>
      </c>
      <c r="P109" s="56">
        <f ca="1">IF(RTD("tos.rtd",,$A$2,"."&amp;P$83&amp;P$1&amp;"C"&amp;$A109)="N/A",0,RTD("tos.rtd",,$A$2,"."&amp;P$83&amp;P$1&amp;"C"&amp;$A109))-IF(RTD("tos.rtd",,$A$2,"."&amp;P$83&amp;P$1&amp;"P"&amp;$A109)="N/A",0,RTD("tos.rtd",,$A$2,"."&amp;P$83&amp;P$1&amp;"P"&amp;$A109))</f>
        <v>0</v>
      </c>
      <c r="Q109" s="56">
        <f ca="1">IF(RTD("tos.rtd",,$A$2,"."&amp;Q$83&amp;Q$1&amp;"C"&amp;$A109)="N/A",0,RTD("tos.rtd",,$A$2,"."&amp;Q$83&amp;Q$1&amp;"C"&amp;$A109))-IF(RTD("tos.rtd",,$A$2,"."&amp;Q$83&amp;Q$1&amp;"P"&amp;$A109)="N/A",0,RTD("tos.rtd",,$A$2,"."&amp;Q$83&amp;Q$1&amp;"P"&amp;$A109))</f>
        <v>0</v>
      </c>
      <c r="R109" s="56">
        <f ca="1">IF(RTD("tos.rtd",,$A$2,"."&amp;R$83&amp;R$1&amp;"C"&amp;$A109)="N/A",0,RTD("tos.rtd",,$A$2,"."&amp;R$83&amp;R$1&amp;"C"&amp;$A109))-IF(RTD("tos.rtd",,$A$2,"."&amp;R$83&amp;R$1&amp;"P"&amp;$A109)="N/A",0,RTD("tos.rtd",,$A$2,"."&amp;R$83&amp;R$1&amp;"P"&amp;$A109))</f>
        <v>0</v>
      </c>
      <c r="S109" s="56">
        <f ca="1">IF(RTD("tos.rtd",,$A$2,"."&amp;S$83&amp;S$1&amp;"C"&amp;$A109)="N/A",0,RTD("tos.rtd",,$A$2,"."&amp;S$83&amp;S$1&amp;"C"&amp;$A109))-IF(RTD("tos.rtd",,$A$2,"."&amp;S$83&amp;S$1&amp;"P"&amp;$A109)="N/A",0,RTD("tos.rtd",,$A$2,"."&amp;S$83&amp;S$1&amp;"P"&amp;$A109))</f>
        <v>0</v>
      </c>
      <c r="T109" s="56">
        <f ca="1">IF(RTD("tos.rtd",,$A$2,"."&amp;T$83&amp;T$1&amp;"C"&amp;$A109)="N/A",0,RTD("tos.rtd",,$A$2,"."&amp;T$83&amp;T$1&amp;"C"&amp;$A109))-IF(RTD("tos.rtd",,$A$2,"."&amp;T$83&amp;T$1&amp;"P"&amp;$A109)="N/A",0,RTD("tos.rtd",,$A$2,"."&amp;T$83&amp;T$1&amp;"P"&amp;$A109))</f>
        <v>0</v>
      </c>
      <c r="U109" s="56">
        <f ca="1">IF(RTD("tos.rtd",,$A$2,"."&amp;U$83&amp;U$1&amp;"C"&amp;$A109)="N/A",0,RTD("tos.rtd",,$A$2,"."&amp;U$83&amp;U$1&amp;"C"&amp;$A109))-IF(RTD("tos.rtd",,$A$2,"."&amp;U$83&amp;U$1&amp;"P"&amp;$A109)="N/A",0,RTD("tos.rtd",,$A$2,"."&amp;U$83&amp;U$1&amp;"P"&amp;$A109))</f>
        <v>0</v>
      </c>
      <c r="V109" s="56">
        <f ca="1">IF(RTD("tos.rtd",,$A$2,"."&amp;V$83&amp;V$1&amp;"C"&amp;$A109)="N/A",0,RTD("tos.rtd",,$A$2,"."&amp;V$83&amp;V$1&amp;"C"&amp;$A109))-IF(RTD("tos.rtd",,$A$2,"."&amp;V$83&amp;V$1&amp;"P"&amp;$A109)="N/A",0,RTD("tos.rtd",,$A$2,"."&amp;V$83&amp;V$1&amp;"P"&amp;$A109))</f>
        <v>0</v>
      </c>
      <c r="W109" s="56">
        <f ca="1">IF(RTD("tos.rtd",,$A$2,"."&amp;W$83&amp;W$1&amp;"C"&amp;$A109)="N/A",0,RTD("tos.rtd",,$A$2,"."&amp;W$83&amp;W$1&amp;"C"&amp;$A109))-IF(RTD("tos.rtd",,$A$2,"."&amp;W$83&amp;W$1&amp;"P"&amp;$A109)="N/A",0,RTD("tos.rtd",,$A$2,"."&amp;W$83&amp;W$1&amp;"P"&amp;$A109))</f>
        <v>0</v>
      </c>
      <c r="X109" s="56">
        <f ca="1">IF(RTD("tos.rtd",,$A$2,"."&amp;X$83&amp;X$1&amp;"C"&amp;$A109)="N/A",0,RTD("tos.rtd",,$A$2,"."&amp;X$83&amp;X$1&amp;"C"&amp;$A109))-IF(RTD("tos.rtd",,$A$2,"."&amp;X$83&amp;X$1&amp;"P"&amp;$A109)="N/A",0,RTD("tos.rtd",,$A$2,"."&amp;X$83&amp;X$1&amp;"P"&amp;$A109))</f>
        <v>0</v>
      </c>
      <c r="Y109" s="63">
        <f t="shared" ca="1" si="13"/>
        <v>4292</v>
      </c>
    </row>
    <row r="110" spans="1:25" x14ac:dyDescent="0.25">
      <c r="A110" s="58">
        <f>+Hoja1!A109</f>
        <v>6720</v>
      </c>
      <c r="B110" s="56">
        <f ca="1">IF(RTD("tos.rtd",,$A$2,"."&amp;B$83&amp;B$1&amp;"C"&amp;$A110)="N/A",0,RTD("tos.rtd",,$A$2,"."&amp;B$83&amp;B$1&amp;"C"&amp;$A110))-IF(RTD("tos.rtd",,$A$2,"."&amp;B$83&amp;B$1&amp;"P"&amp;$A110)="N/A",0,RTD("tos.rtd",,$A$2,"."&amp;B$83&amp;B$1&amp;"P"&amp;$A110))</f>
        <v>2508</v>
      </c>
      <c r="C110" s="56">
        <f ca="1">IF(RTD("tos.rtd",,$A$2,"."&amp;C$83&amp;C$1&amp;"C"&amp;$A110)="N/A",0,RTD("tos.rtd",,$A$2,"."&amp;C$83&amp;C$1&amp;"C"&amp;$A110))-IF(RTD("tos.rtd",,$A$2,"."&amp;C$83&amp;C$1&amp;"P"&amp;$A110)="N/A",0,RTD("tos.rtd",,$A$2,"."&amp;C$83&amp;C$1&amp;"P"&amp;$A110))</f>
        <v>104</v>
      </c>
      <c r="D110" s="56">
        <f ca="1">IF(RTD("tos.rtd",,$A$2,"."&amp;D$83&amp;D$1&amp;"C"&amp;$A110)="N/A",0,RTD("tos.rtd",,$A$2,"."&amp;D$83&amp;D$1&amp;"C"&amp;$A110))-IF(RTD("tos.rtd",,$A$2,"."&amp;D$83&amp;D$1&amp;"P"&amp;$A110)="N/A",0,RTD("tos.rtd",,$A$2,"."&amp;D$83&amp;D$1&amp;"P"&amp;$A110))</f>
        <v>-1</v>
      </c>
      <c r="E110" s="56">
        <f ca="1">IF(RTD("tos.rtd",,$A$2,"."&amp;E$83&amp;E$1&amp;"C"&amp;$A110)="N/A",0,RTD("tos.rtd",,$A$2,"."&amp;E$83&amp;E$1&amp;"C"&amp;$A110))-IF(RTD("tos.rtd",,$A$2,"."&amp;E$83&amp;E$1&amp;"P"&amp;$A110)="N/A",0,RTD("tos.rtd",,$A$2,"."&amp;E$83&amp;E$1&amp;"P"&amp;$A110))</f>
        <v>-28</v>
      </c>
      <c r="F110" s="56">
        <f ca="1">IF(RTD("tos.rtd",,$A$2,"."&amp;F$83&amp;F$1&amp;"C"&amp;$A110)="N/A",0,RTD("tos.rtd",,$A$2,"."&amp;F$83&amp;F$1&amp;"C"&amp;$A110))-IF(RTD("tos.rtd",,$A$2,"."&amp;F$83&amp;F$1&amp;"P"&amp;$A110)="N/A",0,RTD("tos.rtd",,$A$2,"."&amp;F$83&amp;F$1&amp;"P"&amp;$A110))</f>
        <v>0</v>
      </c>
      <c r="G110" s="56">
        <f ca="1">IF(RTD("tos.rtd",,$A$2,"."&amp;G$83&amp;G$1&amp;"C"&amp;$A110)="N/A",0,RTD("tos.rtd",,$A$2,"."&amp;G$83&amp;G$1&amp;"C"&amp;$A110))-IF(RTD("tos.rtd",,$A$2,"."&amp;G$83&amp;G$1&amp;"P"&amp;$A110)="N/A",0,RTD("tos.rtd",,$A$2,"."&amp;G$83&amp;G$1&amp;"P"&amp;$A110))</f>
        <v>0</v>
      </c>
      <c r="H110" s="56">
        <f ca="1">IF(RTD("tos.rtd",,$A$2,"."&amp;H$83&amp;H$1&amp;"C"&amp;$A110)="N/A",0,RTD("tos.rtd",,$A$2,"."&amp;H$83&amp;H$1&amp;"C"&amp;$A110))-IF(RTD("tos.rtd",,$A$2,"."&amp;H$83&amp;H$1&amp;"P"&amp;$A110)="N/A",0,RTD("tos.rtd",,$A$2,"."&amp;H$83&amp;H$1&amp;"P"&amp;$A110))</f>
        <v>-31</v>
      </c>
      <c r="I110" s="56">
        <f ca="1">IF(RTD("tos.rtd",,$A$2,"."&amp;I$83&amp;I$1&amp;"C"&amp;$A110)="N/A",0,RTD("tos.rtd",,$A$2,"."&amp;I$83&amp;I$1&amp;"C"&amp;$A110))-IF(RTD("tos.rtd",,$A$2,"."&amp;I$83&amp;I$1&amp;"P"&amp;$A110)="N/A",0,RTD("tos.rtd",,$A$2,"."&amp;I$83&amp;I$1&amp;"P"&amp;$A110))</f>
        <v>10</v>
      </c>
      <c r="J110" s="56">
        <f ca="1">IF(RTD("tos.rtd",,$A$2,"."&amp;J$83&amp;J$1&amp;"C"&amp;$A110)="N/A",0,RTD("tos.rtd",,$A$2,"."&amp;J$83&amp;J$1&amp;"C"&amp;$A110))-IF(RTD("tos.rtd",,$A$2,"."&amp;J$83&amp;J$1&amp;"P"&amp;$A110)="N/A",0,RTD("tos.rtd",,$A$2,"."&amp;J$83&amp;J$1&amp;"P"&amp;$A110))</f>
        <v>-11</v>
      </c>
      <c r="K110" s="56">
        <f ca="1">IF(RTD("tos.rtd",,$A$2,"."&amp;K$83&amp;K$1&amp;"C"&amp;$A110)="N/A",0,RTD("tos.rtd",,$A$2,"."&amp;K$83&amp;K$1&amp;"C"&amp;$A110))-IF(RTD("tos.rtd",,$A$2,"."&amp;K$83&amp;K$1&amp;"P"&amp;$A110)="N/A",0,RTD("tos.rtd",,$A$2,"."&amp;K$83&amp;K$1&amp;"P"&amp;$A110))</f>
        <v>6</v>
      </c>
      <c r="L110" s="56">
        <f ca="1">IF(RTD("tos.rtd",,$A$2,"."&amp;L$83&amp;L$1&amp;"C"&amp;$A110)="N/A",0,RTD("tos.rtd",,$A$2,"."&amp;L$83&amp;L$1&amp;"C"&amp;$A110))-IF(RTD("tos.rtd",,$A$2,"."&amp;L$83&amp;L$1&amp;"P"&amp;$A110)="N/A",0,RTD("tos.rtd",,$A$2,"."&amp;L$83&amp;L$1&amp;"P"&amp;$A110))</f>
        <v>0</v>
      </c>
      <c r="M110" s="56">
        <f ca="1">IF(RTD("tos.rtd",,$A$2,"."&amp;M$83&amp;M$1&amp;"C"&amp;$A110)="N/A",0,RTD("tos.rtd",,$A$2,"."&amp;M$83&amp;M$1&amp;"C"&amp;$A110))-IF(RTD("tos.rtd",,$A$2,"."&amp;M$83&amp;M$1&amp;"P"&amp;$A110)="N/A",0,RTD("tos.rtd",,$A$2,"."&amp;M$83&amp;M$1&amp;"P"&amp;$A110))</f>
        <v>0</v>
      </c>
      <c r="N110" s="56">
        <f ca="1">IF(RTD("tos.rtd",,$A$2,"."&amp;N$83&amp;N$1&amp;"C"&amp;$A110)="N/A",0,RTD("tos.rtd",,$A$2,"."&amp;N$83&amp;N$1&amp;"C"&amp;$A110))-IF(RTD("tos.rtd",,$A$2,"."&amp;N$83&amp;N$1&amp;"P"&amp;$A110)="N/A",0,RTD("tos.rtd",,$A$2,"."&amp;N$83&amp;N$1&amp;"P"&amp;$A110))</f>
        <v>0</v>
      </c>
      <c r="O110" s="56">
        <f ca="1">IF(RTD("tos.rtd",,$A$2,"."&amp;O$83&amp;O$1&amp;"C"&amp;$A110)="N/A",0,RTD("tos.rtd",,$A$2,"."&amp;O$83&amp;O$1&amp;"C"&amp;$A110))-IF(RTD("tos.rtd",,$A$2,"."&amp;O$83&amp;O$1&amp;"P"&amp;$A110)="N/A",0,RTD("tos.rtd",,$A$2,"."&amp;O$83&amp;O$1&amp;"P"&amp;$A110))</f>
        <v>0</v>
      </c>
      <c r="P110" s="56">
        <f ca="1">IF(RTD("tos.rtd",,$A$2,"."&amp;P$83&amp;P$1&amp;"C"&amp;$A110)="N/A",0,RTD("tos.rtd",,$A$2,"."&amp;P$83&amp;P$1&amp;"C"&amp;$A110))-IF(RTD("tos.rtd",,$A$2,"."&amp;P$83&amp;P$1&amp;"P"&amp;$A110)="N/A",0,RTD("tos.rtd",,$A$2,"."&amp;P$83&amp;P$1&amp;"P"&amp;$A110))</f>
        <v>-9</v>
      </c>
      <c r="Q110" s="56">
        <f ca="1">IF(RTD("tos.rtd",,$A$2,"."&amp;Q$83&amp;Q$1&amp;"C"&amp;$A110)="N/A",0,RTD("tos.rtd",,$A$2,"."&amp;Q$83&amp;Q$1&amp;"C"&amp;$A110))-IF(RTD("tos.rtd",,$A$2,"."&amp;Q$83&amp;Q$1&amp;"P"&amp;$A110)="N/A",0,RTD("tos.rtd",,$A$2,"."&amp;Q$83&amp;Q$1&amp;"P"&amp;$A110))</f>
        <v>0</v>
      </c>
      <c r="R110" s="56">
        <f ca="1">IF(RTD("tos.rtd",,$A$2,"."&amp;R$83&amp;R$1&amp;"C"&amp;$A110)="N/A",0,RTD("tos.rtd",,$A$2,"."&amp;R$83&amp;R$1&amp;"C"&amp;$A110))-IF(RTD("tos.rtd",,$A$2,"."&amp;R$83&amp;R$1&amp;"P"&amp;$A110)="N/A",0,RTD("tos.rtd",,$A$2,"."&amp;R$83&amp;R$1&amp;"P"&amp;$A110))</f>
        <v>0</v>
      </c>
      <c r="S110" s="56">
        <f ca="1">IF(RTD("tos.rtd",,$A$2,"."&amp;S$83&amp;S$1&amp;"C"&amp;$A110)="N/A",0,RTD("tos.rtd",,$A$2,"."&amp;S$83&amp;S$1&amp;"C"&amp;$A110))-IF(RTD("tos.rtd",,$A$2,"."&amp;S$83&amp;S$1&amp;"P"&amp;$A110)="N/A",0,RTD("tos.rtd",,$A$2,"."&amp;S$83&amp;S$1&amp;"P"&amp;$A110))</f>
        <v>0</v>
      </c>
      <c r="T110" s="56">
        <f ca="1">IF(RTD("tos.rtd",,$A$2,"."&amp;T$83&amp;T$1&amp;"C"&amp;$A110)="N/A",0,RTD("tos.rtd",,$A$2,"."&amp;T$83&amp;T$1&amp;"C"&amp;$A110))-IF(RTD("tos.rtd",,$A$2,"."&amp;T$83&amp;T$1&amp;"P"&amp;$A110)="N/A",0,RTD("tos.rtd",,$A$2,"."&amp;T$83&amp;T$1&amp;"P"&amp;$A110))</f>
        <v>0</v>
      </c>
      <c r="U110" s="56">
        <f ca="1">IF(RTD("tos.rtd",,$A$2,"."&amp;U$83&amp;U$1&amp;"C"&amp;$A110)="N/A",0,RTD("tos.rtd",,$A$2,"."&amp;U$83&amp;U$1&amp;"C"&amp;$A110))-IF(RTD("tos.rtd",,$A$2,"."&amp;U$83&amp;U$1&amp;"P"&amp;$A110)="N/A",0,RTD("tos.rtd",,$A$2,"."&amp;U$83&amp;U$1&amp;"P"&amp;$A110))</f>
        <v>0</v>
      </c>
      <c r="V110" s="56">
        <f ca="1">IF(RTD("tos.rtd",,$A$2,"."&amp;V$83&amp;V$1&amp;"C"&amp;$A110)="N/A",0,RTD("tos.rtd",,$A$2,"."&amp;V$83&amp;V$1&amp;"C"&amp;$A110))-IF(RTD("tos.rtd",,$A$2,"."&amp;V$83&amp;V$1&amp;"P"&amp;$A110)="N/A",0,RTD("tos.rtd",,$A$2,"."&amp;V$83&amp;V$1&amp;"P"&amp;$A110))</f>
        <v>0</v>
      </c>
      <c r="W110" s="56">
        <f ca="1">IF(RTD("tos.rtd",,$A$2,"."&amp;W$83&amp;W$1&amp;"C"&amp;$A110)="N/A",0,RTD("tos.rtd",,$A$2,"."&amp;W$83&amp;W$1&amp;"C"&amp;$A110))-IF(RTD("tos.rtd",,$A$2,"."&amp;W$83&amp;W$1&amp;"P"&amp;$A110)="N/A",0,RTD("tos.rtd",,$A$2,"."&amp;W$83&amp;W$1&amp;"P"&amp;$A110))</f>
        <v>0</v>
      </c>
      <c r="X110" s="56">
        <f ca="1">IF(RTD("tos.rtd",,$A$2,"."&amp;X$83&amp;X$1&amp;"C"&amp;$A110)="N/A",0,RTD("tos.rtd",,$A$2,"."&amp;X$83&amp;X$1&amp;"C"&amp;$A110))-IF(RTD("tos.rtd",,$A$2,"."&amp;X$83&amp;X$1&amp;"P"&amp;$A110)="N/A",0,RTD("tos.rtd",,$A$2,"."&amp;X$83&amp;X$1&amp;"P"&amp;$A110))</f>
        <v>0</v>
      </c>
      <c r="Y110" s="63">
        <f t="shared" ca="1" si="13"/>
        <v>2548</v>
      </c>
    </row>
    <row r="111" spans="1:25" x14ac:dyDescent="0.25">
      <c r="A111" s="58">
        <f>+Hoja1!A110</f>
        <v>6715</v>
      </c>
      <c r="B111" s="56">
        <f ca="1">IF(RTD("tos.rtd",,$A$2,"."&amp;B$83&amp;B$1&amp;"C"&amp;$A111)="N/A",0,RTD("tos.rtd",,$A$2,"."&amp;B$83&amp;B$1&amp;"C"&amp;$A111))-IF(RTD("tos.rtd",,$A$2,"."&amp;B$83&amp;B$1&amp;"P"&amp;$A111)="N/A",0,RTD("tos.rtd",,$A$2,"."&amp;B$83&amp;B$1&amp;"P"&amp;$A111))</f>
        <v>882</v>
      </c>
      <c r="C111" s="56">
        <f ca="1">IF(RTD("tos.rtd",,$A$2,"."&amp;C$83&amp;C$1&amp;"C"&amp;$A111)="N/A",0,RTD("tos.rtd",,$A$2,"."&amp;C$83&amp;C$1&amp;"C"&amp;$A111))-IF(RTD("tos.rtd",,$A$2,"."&amp;C$83&amp;C$1&amp;"P"&amp;$A111)="N/A",0,RTD("tos.rtd",,$A$2,"."&amp;C$83&amp;C$1&amp;"P"&amp;$A111))</f>
        <v>182</v>
      </c>
      <c r="D111" s="56">
        <f ca="1">IF(RTD("tos.rtd",,$A$2,"."&amp;D$83&amp;D$1&amp;"C"&amp;$A111)="N/A",0,RTD("tos.rtd",,$A$2,"."&amp;D$83&amp;D$1&amp;"C"&amp;$A111))-IF(RTD("tos.rtd",,$A$2,"."&amp;D$83&amp;D$1&amp;"P"&amp;$A111)="N/A",0,RTD("tos.rtd",,$A$2,"."&amp;D$83&amp;D$1&amp;"P"&amp;$A111))</f>
        <v>-60</v>
      </c>
      <c r="E111" s="56">
        <f ca="1">IF(RTD("tos.rtd",,$A$2,"."&amp;E$83&amp;E$1&amp;"C"&amp;$A111)="N/A",0,RTD("tos.rtd",,$A$2,"."&amp;E$83&amp;E$1&amp;"C"&amp;$A111))-IF(RTD("tos.rtd",,$A$2,"."&amp;E$83&amp;E$1&amp;"P"&amp;$A111)="N/A",0,RTD("tos.rtd",,$A$2,"."&amp;E$83&amp;E$1&amp;"P"&amp;$A111))</f>
        <v>-135</v>
      </c>
      <c r="F111" s="56">
        <f ca="1">IF(RTD("tos.rtd",,$A$2,"."&amp;F$83&amp;F$1&amp;"C"&amp;$A111)="N/A",0,RTD("tos.rtd",,$A$2,"."&amp;F$83&amp;F$1&amp;"C"&amp;$A111))-IF(RTD("tos.rtd",,$A$2,"."&amp;F$83&amp;F$1&amp;"P"&amp;$A111)="N/A",0,RTD("tos.rtd",,$A$2,"."&amp;F$83&amp;F$1&amp;"P"&amp;$A111))</f>
        <v>0</v>
      </c>
      <c r="G111" s="56">
        <f ca="1">IF(RTD("tos.rtd",,$A$2,"."&amp;G$83&amp;G$1&amp;"C"&amp;$A111)="N/A",0,RTD("tos.rtd",,$A$2,"."&amp;G$83&amp;G$1&amp;"C"&amp;$A111))-IF(RTD("tos.rtd",,$A$2,"."&amp;G$83&amp;G$1&amp;"P"&amp;$A111)="N/A",0,RTD("tos.rtd",,$A$2,"."&amp;G$83&amp;G$1&amp;"P"&amp;$A111))</f>
        <v>0</v>
      </c>
      <c r="H111" s="56">
        <f ca="1">IF(RTD("tos.rtd",,$A$2,"."&amp;H$83&amp;H$1&amp;"C"&amp;$A111)="N/A",0,RTD("tos.rtd",,$A$2,"."&amp;H$83&amp;H$1&amp;"C"&amp;$A111))-IF(RTD("tos.rtd",,$A$2,"."&amp;H$83&amp;H$1&amp;"P"&amp;$A111)="N/A",0,RTD("tos.rtd",,$A$2,"."&amp;H$83&amp;H$1&amp;"P"&amp;$A111))</f>
        <v>-15</v>
      </c>
      <c r="I111" s="56">
        <f ca="1">IF(RTD("tos.rtd",,$A$2,"."&amp;I$83&amp;I$1&amp;"C"&amp;$A111)="N/A",0,RTD("tos.rtd",,$A$2,"."&amp;I$83&amp;I$1&amp;"C"&amp;$A111))-IF(RTD("tos.rtd",,$A$2,"."&amp;I$83&amp;I$1&amp;"P"&amp;$A111)="N/A",0,RTD("tos.rtd",,$A$2,"."&amp;I$83&amp;I$1&amp;"P"&amp;$A111))</f>
        <v>-82</v>
      </c>
      <c r="J111" s="56">
        <f ca="1">IF(RTD("tos.rtd",,$A$2,"."&amp;J$83&amp;J$1&amp;"C"&amp;$A111)="N/A",0,RTD("tos.rtd",,$A$2,"."&amp;J$83&amp;J$1&amp;"C"&amp;$A111))-IF(RTD("tos.rtd",,$A$2,"."&amp;J$83&amp;J$1&amp;"P"&amp;$A111)="N/A",0,RTD("tos.rtd",,$A$2,"."&amp;J$83&amp;J$1&amp;"P"&amp;$A111))</f>
        <v>0</v>
      </c>
      <c r="K111" s="56">
        <f ca="1">IF(RTD("tos.rtd",,$A$2,"."&amp;K$83&amp;K$1&amp;"C"&amp;$A111)="N/A",0,RTD("tos.rtd",,$A$2,"."&amp;K$83&amp;K$1&amp;"C"&amp;$A111))-IF(RTD("tos.rtd",,$A$2,"."&amp;K$83&amp;K$1&amp;"P"&amp;$A111)="N/A",0,RTD("tos.rtd",,$A$2,"."&amp;K$83&amp;K$1&amp;"P"&amp;$A111))</f>
        <v>-9</v>
      </c>
      <c r="L111" s="56">
        <f ca="1">IF(RTD("tos.rtd",,$A$2,"."&amp;L$83&amp;L$1&amp;"C"&amp;$A111)="N/A",0,RTD("tos.rtd",,$A$2,"."&amp;L$83&amp;L$1&amp;"C"&amp;$A111))-IF(RTD("tos.rtd",,$A$2,"."&amp;L$83&amp;L$1&amp;"P"&amp;$A111)="N/A",0,RTD("tos.rtd",,$A$2,"."&amp;L$83&amp;L$1&amp;"P"&amp;$A111))</f>
        <v>0</v>
      </c>
      <c r="M111" s="56">
        <f ca="1">IF(RTD("tos.rtd",,$A$2,"."&amp;M$83&amp;M$1&amp;"C"&amp;$A111)="N/A",0,RTD("tos.rtd",,$A$2,"."&amp;M$83&amp;M$1&amp;"C"&amp;$A111))-IF(RTD("tos.rtd",,$A$2,"."&amp;M$83&amp;M$1&amp;"P"&amp;$A111)="N/A",0,RTD("tos.rtd",,$A$2,"."&amp;M$83&amp;M$1&amp;"P"&amp;$A111))</f>
        <v>0</v>
      </c>
      <c r="N111" s="56">
        <f ca="1">IF(RTD("tos.rtd",,$A$2,"."&amp;N$83&amp;N$1&amp;"C"&amp;$A111)="N/A",0,RTD("tos.rtd",,$A$2,"."&amp;N$83&amp;N$1&amp;"C"&amp;$A111))-IF(RTD("tos.rtd",,$A$2,"."&amp;N$83&amp;N$1&amp;"P"&amp;$A111)="N/A",0,RTD("tos.rtd",,$A$2,"."&amp;N$83&amp;N$1&amp;"P"&amp;$A111))</f>
        <v>0</v>
      </c>
      <c r="O111" s="56">
        <f ca="1">IF(RTD("tos.rtd",,$A$2,"."&amp;O$83&amp;O$1&amp;"C"&amp;$A111)="N/A",0,RTD("tos.rtd",,$A$2,"."&amp;O$83&amp;O$1&amp;"C"&amp;$A111))-IF(RTD("tos.rtd",,$A$2,"."&amp;O$83&amp;O$1&amp;"P"&amp;$A111)="N/A",0,RTD("tos.rtd",,$A$2,"."&amp;O$83&amp;O$1&amp;"P"&amp;$A111))</f>
        <v>0</v>
      </c>
      <c r="P111" s="56">
        <f ca="1">IF(RTD("tos.rtd",,$A$2,"."&amp;P$83&amp;P$1&amp;"C"&amp;$A111)="N/A",0,RTD("tos.rtd",,$A$2,"."&amp;P$83&amp;P$1&amp;"C"&amp;$A111))-IF(RTD("tos.rtd",,$A$2,"."&amp;P$83&amp;P$1&amp;"P"&amp;$A111)="N/A",0,RTD("tos.rtd",,$A$2,"."&amp;P$83&amp;P$1&amp;"P"&amp;$A111))</f>
        <v>0</v>
      </c>
      <c r="Q111" s="56">
        <f ca="1">IF(RTD("tos.rtd",,$A$2,"."&amp;Q$83&amp;Q$1&amp;"C"&amp;$A111)="N/A",0,RTD("tos.rtd",,$A$2,"."&amp;Q$83&amp;Q$1&amp;"C"&amp;$A111))-IF(RTD("tos.rtd",,$A$2,"."&amp;Q$83&amp;Q$1&amp;"P"&amp;$A111)="N/A",0,RTD("tos.rtd",,$A$2,"."&amp;Q$83&amp;Q$1&amp;"P"&amp;$A111))</f>
        <v>0</v>
      </c>
      <c r="R111" s="56">
        <f ca="1">IF(RTD("tos.rtd",,$A$2,"."&amp;R$83&amp;R$1&amp;"C"&amp;$A111)="N/A",0,RTD("tos.rtd",,$A$2,"."&amp;R$83&amp;R$1&amp;"C"&amp;$A111))-IF(RTD("tos.rtd",,$A$2,"."&amp;R$83&amp;R$1&amp;"P"&amp;$A111)="N/A",0,RTD("tos.rtd",,$A$2,"."&amp;R$83&amp;R$1&amp;"P"&amp;$A111))</f>
        <v>0</v>
      </c>
      <c r="S111" s="56">
        <f ca="1">IF(RTD("tos.rtd",,$A$2,"."&amp;S$83&amp;S$1&amp;"C"&amp;$A111)="N/A",0,RTD("tos.rtd",,$A$2,"."&amp;S$83&amp;S$1&amp;"C"&amp;$A111))-IF(RTD("tos.rtd",,$A$2,"."&amp;S$83&amp;S$1&amp;"P"&amp;$A111)="N/A",0,RTD("tos.rtd",,$A$2,"."&amp;S$83&amp;S$1&amp;"P"&amp;$A111))</f>
        <v>0</v>
      </c>
      <c r="T111" s="56">
        <f ca="1">IF(RTD("tos.rtd",,$A$2,"."&amp;T$83&amp;T$1&amp;"C"&amp;$A111)="N/A",0,RTD("tos.rtd",,$A$2,"."&amp;T$83&amp;T$1&amp;"C"&amp;$A111))-IF(RTD("tos.rtd",,$A$2,"."&amp;T$83&amp;T$1&amp;"P"&amp;$A111)="N/A",0,RTD("tos.rtd",,$A$2,"."&amp;T$83&amp;T$1&amp;"P"&amp;$A111))</f>
        <v>0</v>
      </c>
      <c r="U111" s="56">
        <f ca="1">IF(RTD("tos.rtd",,$A$2,"."&amp;U$83&amp;U$1&amp;"C"&amp;$A111)="N/A",0,RTD("tos.rtd",,$A$2,"."&amp;U$83&amp;U$1&amp;"C"&amp;$A111))-IF(RTD("tos.rtd",,$A$2,"."&amp;U$83&amp;U$1&amp;"P"&amp;$A111)="N/A",0,RTD("tos.rtd",,$A$2,"."&amp;U$83&amp;U$1&amp;"P"&amp;$A111))</f>
        <v>0</v>
      </c>
      <c r="V111" s="56">
        <f ca="1">IF(RTD("tos.rtd",,$A$2,"."&amp;V$83&amp;V$1&amp;"C"&amp;$A111)="N/A",0,RTD("tos.rtd",,$A$2,"."&amp;V$83&amp;V$1&amp;"C"&amp;$A111))-IF(RTD("tos.rtd",,$A$2,"."&amp;V$83&amp;V$1&amp;"P"&amp;$A111)="N/A",0,RTD("tos.rtd",,$A$2,"."&amp;V$83&amp;V$1&amp;"P"&amp;$A111))</f>
        <v>0</v>
      </c>
      <c r="W111" s="56">
        <f ca="1">IF(RTD("tos.rtd",,$A$2,"."&amp;W$83&amp;W$1&amp;"C"&amp;$A111)="N/A",0,RTD("tos.rtd",,$A$2,"."&amp;W$83&amp;W$1&amp;"C"&amp;$A111))-IF(RTD("tos.rtd",,$A$2,"."&amp;W$83&amp;W$1&amp;"P"&amp;$A111)="N/A",0,RTD("tos.rtd",,$A$2,"."&amp;W$83&amp;W$1&amp;"P"&amp;$A111))</f>
        <v>0</v>
      </c>
      <c r="X111" s="56">
        <f ca="1">IF(RTD("tos.rtd",,$A$2,"."&amp;X$83&amp;X$1&amp;"C"&amp;$A111)="N/A",0,RTD("tos.rtd",,$A$2,"."&amp;X$83&amp;X$1&amp;"C"&amp;$A111))-IF(RTD("tos.rtd",,$A$2,"."&amp;X$83&amp;X$1&amp;"P"&amp;$A111)="N/A",0,RTD("tos.rtd",,$A$2,"."&amp;X$83&amp;X$1&amp;"P"&amp;$A111))</f>
        <v>0</v>
      </c>
      <c r="Y111" s="63">
        <f t="shared" ca="1" si="13"/>
        <v>763</v>
      </c>
    </row>
    <row r="112" spans="1:25" x14ac:dyDescent="0.25">
      <c r="A112" s="58">
        <f>+Hoja1!A111</f>
        <v>6710</v>
      </c>
      <c r="B112" s="56">
        <f ca="1">IF(RTD("tos.rtd",,$A$2,"."&amp;B$83&amp;B$1&amp;"C"&amp;$A112)="N/A",0,RTD("tos.rtd",,$A$2,"."&amp;B$83&amp;B$1&amp;"C"&amp;$A112))-IF(RTD("tos.rtd",,$A$2,"."&amp;B$83&amp;B$1&amp;"P"&amp;$A112)="N/A",0,RTD("tos.rtd",,$A$2,"."&amp;B$83&amp;B$1&amp;"P"&amp;$A112))</f>
        <v>810</v>
      </c>
      <c r="C112" s="56">
        <f ca="1">IF(RTD("tos.rtd",,$A$2,"."&amp;C$83&amp;C$1&amp;"C"&amp;$A112)="N/A",0,RTD("tos.rtd",,$A$2,"."&amp;C$83&amp;C$1&amp;"C"&amp;$A112))-IF(RTD("tos.rtd",,$A$2,"."&amp;C$83&amp;C$1&amp;"P"&amp;$A112)="N/A",0,RTD("tos.rtd",,$A$2,"."&amp;C$83&amp;C$1&amp;"P"&amp;$A112))</f>
        <v>242</v>
      </c>
      <c r="D112" s="56">
        <f ca="1">IF(RTD("tos.rtd",,$A$2,"."&amp;D$83&amp;D$1&amp;"C"&amp;$A112)="N/A",0,RTD("tos.rtd",,$A$2,"."&amp;D$83&amp;D$1&amp;"C"&amp;$A112))-IF(RTD("tos.rtd",,$A$2,"."&amp;D$83&amp;D$1&amp;"P"&amp;$A112)="N/A",0,RTD("tos.rtd",,$A$2,"."&amp;D$83&amp;D$1&amp;"P"&amp;$A112))</f>
        <v>32</v>
      </c>
      <c r="E112" s="56">
        <f ca="1">IF(RTD("tos.rtd",,$A$2,"."&amp;E$83&amp;E$1&amp;"C"&amp;$A112)="N/A",0,RTD("tos.rtd",,$A$2,"."&amp;E$83&amp;E$1&amp;"C"&amp;$A112))-IF(RTD("tos.rtd",,$A$2,"."&amp;E$83&amp;E$1&amp;"P"&amp;$A112)="N/A",0,RTD("tos.rtd",,$A$2,"."&amp;E$83&amp;E$1&amp;"P"&amp;$A112))</f>
        <v>29</v>
      </c>
      <c r="F112" s="56">
        <f ca="1">IF(RTD("tos.rtd",,$A$2,"."&amp;F$83&amp;F$1&amp;"C"&amp;$A112)="N/A",0,RTD("tos.rtd",,$A$2,"."&amp;F$83&amp;F$1&amp;"C"&amp;$A112))-IF(RTD("tos.rtd",,$A$2,"."&amp;F$83&amp;F$1&amp;"P"&amp;$A112)="N/A",0,RTD("tos.rtd",,$A$2,"."&amp;F$83&amp;F$1&amp;"P"&amp;$A112))</f>
        <v>0</v>
      </c>
      <c r="G112" s="56">
        <f ca="1">IF(RTD("tos.rtd",,$A$2,"."&amp;G$83&amp;G$1&amp;"C"&amp;$A112)="N/A",0,RTD("tos.rtd",,$A$2,"."&amp;G$83&amp;G$1&amp;"C"&amp;$A112))-IF(RTD("tos.rtd",,$A$2,"."&amp;G$83&amp;G$1&amp;"P"&amp;$A112)="N/A",0,RTD("tos.rtd",,$A$2,"."&amp;G$83&amp;G$1&amp;"P"&amp;$A112))</f>
        <v>0</v>
      </c>
      <c r="H112" s="56">
        <f ca="1">IF(RTD("tos.rtd",,$A$2,"."&amp;H$83&amp;H$1&amp;"C"&amp;$A112)="N/A",0,RTD("tos.rtd",,$A$2,"."&amp;H$83&amp;H$1&amp;"C"&amp;$A112))-IF(RTD("tos.rtd",,$A$2,"."&amp;H$83&amp;H$1&amp;"P"&amp;$A112)="N/A",0,RTD("tos.rtd",,$A$2,"."&amp;H$83&amp;H$1&amp;"P"&amp;$A112))</f>
        <v>111</v>
      </c>
      <c r="I112" s="56">
        <f ca="1">IF(RTD("tos.rtd",,$A$2,"."&amp;I$83&amp;I$1&amp;"C"&amp;$A112)="N/A",0,RTD("tos.rtd",,$A$2,"."&amp;I$83&amp;I$1&amp;"C"&amp;$A112))-IF(RTD("tos.rtd",,$A$2,"."&amp;I$83&amp;I$1&amp;"P"&amp;$A112)="N/A",0,RTD("tos.rtd",,$A$2,"."&amp;I$83&amp;I$1&amp;"P"&amp;$A112))</f>
        <v>-1</v>
      </c>
      <c r="J112" s="56">
        <f ca="1">IF(RTD("tos.rtd",,$A$2,"."&amp;J$83&amp;J$1&amp;"C"&amp;$A112)="N/A",0,RTD("tos.rtd",,$A$2,"."&amp;J$83&amp;J$1&amp;"C"&amp;$A112))-IF(RTD("tos.rtd",,$A$2,"."&amp;J$83&amp;J$1&amp;"P"&amp;$A112)="N/A",0,RTD("tos.rtd",,$A$2,"."&amp;J$83&amp;J$1&amp;"P"&amp;$A112))</f>
        <v>-20</v>
      </c>
      <c r="K112" s="56">
        <f ca="1">IF(RTD("tos.rtd",,$A$2,"."&amp;K$83&amp;K$1&amp;"C"&amp;$A112)="N/A",0,RTD("tos.rtd",,$A$2,"."&amp;K$83&amp;K$1&amp;"C"&amp;$A112))-IF(RTD("tos.rtd",,$A$2,"."&amp;K$83&amp;K$1&amp;"P"&amp;$A112)="N/A",0,RTD("tos.rtd",,$A$2,"."&amp;K$83&amp;K$1&amp;"P"&amp;$A112))</f>
        <v>-8</v>
      </c>
      <c r="L112" s="56">
        <f ca="1">IF(RTD("tos.rtd",,$A$2,"."&amp;L$83&amp;L$1&amp;"C"&amp;$A112)="N/A",0,RTD("tos.rtd",,$A$2,"."&amp;L$83&amp;L$1&amp;"C"&amp;$A112))-IF(RTD("tos.rtd",,$A$2,"."&amp;L$83&amp;L$1&amp;"P"&amp;$A112)="N/A",0,RTD("tos.rtd",,$A$2,"."&amp;L$83&amp;L$1&amp;"P"&amp;$A112))</f>
        <v>0</v>
      </c>
      <c r="M112" s="56">
        <f ca="1">IF(RTD("tos.rtd",,$A$2,"."&amp;M$83&amp;M$1&amp;"C"&amp;$A112)="N/A",0,RTD("tos.rtd",,$A$2,"."&amp;M$83&amp;M$1&amp;"C"&amp;$A112))-IF(RTD("tos.rtd",,$A$2,"."&amp;M$83&amp;M$1&amp;"P"&amp;$A112)="N/A",0,RTD("tos.rtd",,$A$2,"."&amp;M$83&amp;M$1&amp;"P"&amp;$A112))</f>
        <v>0</v>
      </c>
      <c r="N112" s="56">
        <f ca="1">IF(RTD("tos.rtd",,$A$2,"."&amp;N$83&amp;N$1&amp;"C"&amp;$A112)="N/A",0,RTD("tos.rtd",,$A$2,"."&amp;N$83&amp;N$1&amp;"C"&amp;$A112))-IF(RTD("tos.rtd",,$A$2,"."&amp;N$83&amp;N$1&amp;"P"&amp;$A112)="N/A",0,RTD("tos.rtd",,$A$2,"."&amp;N$83&amp;N$1&amp;"P"&amp;$A112))</f>
        <v>0</v>
      </c>
      <c r="O112" s="56">
        <f ca="1">IF(RTD("tos.rtd",,$A$2,"."&amp;O$83&amp;O$1&amp;"C"&amp;$A112)="N/A",0,RTD("tos.rtd",,$A$2,"."&amp;O$83&amp;O$1&amp;"C"&amp;$A112))-IF(RTD("tos.rtd",,$A$2,"."&amp;O$83&amp;O$1&amp;"P"&amp;$A112)="N/A",0,RTD("tos.rtd",,$A$2,"."&amp;O$83&amp;O$1&amp;"P"&amp;$A112))</f>
        <v>0</v>
      </c>
      <c r="P112" s="56">
        <f ca="1">IF(RTD("tos.rtd",,$A$2,"."&amp;P$83&amp;P$1&amp;"C"&amp;$A112)="N/A",0,RTD("tos.rtd",,$A$2,"."&amp;P$83&amp;P$1&amp;"C"&amp;$A112))-IF(RTD("tos.rtd",,$A$2,"."&amp;P$83&amp;P$1&amp;"P"&amp;$A112)="N/A",0,RTD("tos.rtd",,$A$2,"."&amp;P$83&amp;P$1&amp;"P"&amp;$A112))</f>
        <v>-2</v>
      </c>
      <c r="Q112" s="56">
        <f ca="1">IF(RTD("tos.rtd",,$A$2,"."&amp;Q$83&amp;Q$1&amp;"C"&amp;$A112)="N/A",0,RTD("tos.rtd",,$A$2,"."&amp;Q$83&amp;Q$1&amp;"C"&amp;$A112))-IF(RTD("tos.rtd",,$A$2,"."&amp;Q$83&amp;Q$1&amp;"P"&amp;$A112)="N/A",0,RTD("tos.rtd",,$A$2,"."&amp;Q$83&amp;Q$1&amp;"P"&amp;$A112))</f>
        <v>0</v>
      </c>
      <c r="R112" s="56">
        <f ca="1">IF(RTD("tos.rtd",,$A$2,"."&amp;R$83&amp;R$1&amp;"C"&amp;$A112)="N/A",0,RTD("tos.rtd",,$A$2,"."&amp;R$83&amp;R$1&amp;"C"&amp;$A112))-IF(RTD("tos.rtd",,$A$2,"."&amp;R$83&amp;R$1&amp;"P"&amp;$A112)="N/A",0,RTD("tos.rtd",,$A$2,"."&amp;R$83&amp;R$1&amp;"P"&amp;$A112))</f>
        <v>0</v>
      </c>
      <c r="S112" s="56">
        <f ca="1">IF(RTD("tos.rtd",,$A$2,"."&amp;S$83&amp;S$1&amp;"C"&amp;$A112)="N/A",0,RTD("tos.rtd",,$A$2,"."&amp;S$83&amp;S$1&amp;"C"&amp;$A112))-IF(RTD("tos.rtd",,$A$2,"."&amp;S$83&amp;S$1&amp;"P"&amp;$A112)="N/A",0,RTD("tos.rtd",,$A$2,"."&amp;S$83&amp;S$1&amp;"P"&amp;$A112))</f>
        <v>0</v>
      </c>
      <c r="T112" s="56">
        <f ca="1">IF(RTD("tos.rtd",,$A$2,"."&amp;T$83&amp;T$1&amp;"C"&amp;$A112)="N/A",0,RTD("tos.rtd",,$A$2,"."&amp;T$83&amp;T$1&amp;"C"&amp;$A112))-IF(RTD("tos.rtd",,$A$2,"."&amp;T$83&amp;T$1&amp;"P"&amp;$A112)="N/A",0,RTD("tos.rtd",,$A$2,"."&amp;T$83&amp;T$1&amp;"P"&amp;$A112))</f>
        <v>0</v>
      </c>
      <c r="U112" s="56">
        <f ca="1">IF(RTD("tos.rtd",,$A$2,"."&amp;U$83&amp;U$1&amp;"C"&amp;$A112)="N/A",0,RTD("tos.rtd",,$A$2,"."&amp;U$83&amp;U$1&amp;"C"&amp;$A112))-IF(RTD("tos.rtd",,$A$2,"."&amp;U$83&amp;U$1&amp;"P"&amp;$A112)="N/A",0,RTD("tos.rtd",,$A$2,"."&amp;U$83&amp;U$1&amp;"P"&amp;$A112))</f>
        <v>0</v>
      </c>
      <c r="V112" s="56">
        <f ca="1">IF(RTD("tos.rtd",,$A$2,"."&amp;V$83&amp;V$1&amp;"C"&amp;$A112)="N/A",0,RTD("tos.rtd",,$A$2,"."&amp;V$83&amp;V$1&amp;"C"&amp;$A112))-IF(RTD("tos.rtd",,$A$2,"."&amp;V$83&amp;V$1&amp;"P"&amp;$A112)="N/A",0,RTD("tos.rtd",,$A$2,"."&amp;V$83&amp;V$1&amp;"P"&amp;$A112))</f>
        <v>0</v>
      </c>
      <c r="W112" s="56">
        <f ca="1">IF(RTD("tos.rtd",,$A$2,"."&amp;W$83&amp;W$1&amp;"C"&amp;$A112)="N/A",0,RTD("tos.rtd",,$A$2,"."&amp;W$83&amp;W$1&amp;"C"&amp;$A112))-IF(RTD("tos.rtd",,$A$2,"."&amp;W$83&amp;W$1&amp;"P"&amp;$A112)="N/A",0,RTD("tos.rtd",,$A$2,"."&amp;W$83&amp;W$1&amp;"P"&amp;$A112))</f>
        <v>0</v>
      </c>
      <c r="X112" s="56">
        <f ca="1">IF(RTD("tos.rtd",,$A$2,"."&amp;X$83&amp;X$1&amp;"C"&amp;$A112)="N/A",0,RTD("tos.rtd",,$A$2,"."&amp;X$83&amp;X$1&amp;"C"&amp;$A112))-IF(RTD("tos.rtd",,$A$2,"."&amp;X$83&amp;X$1&amp;"P"&amp;$A112)="N/A",0,RTD("tos.rtd",,$A$2,"."&amp;X$83&amp;X$1&amp;"P"&amp;$A112))</f>
        <v>0</v>
      </c>
      <c r="Y112" s="63">
        <f t="shared" ca="1" si="13"/>
        <v>1193</v>
      </c>
    </row>
    <row r="113" spans="1:25" x14ac:dyDescent="0.25">
      <c r="A113" s="58">
        <f>+Hoja1!A112</f>
        <v>6705</v>
      </c>
      <c r="B113" s="56">
        <f ca="1">IF(RTD("tos.rtd",,$A$2,"."&amp;B$83&amp;B$1&amp;"C"&amp;$A113)="N/A",0,RTD("tos.rtd",,$A$2,"."&amp;B$83&amp;B$1&amp;"C"&amp;$A113))-IF(RTD("tos.rtd",,$A$2,"."&amp;B$83&amp;B$1&amp;"P"&amp;$A113)="N/A",0,RTD("tos.rtd",,$A$2,"."&amp;B$83&amp;B$1&amp;"P"&amp;$A113))</f>
        <v>249</v>
      </c>
      <c r="C113" s="56">
        <f ca="1">IF(RTD("tos.rtd",,$A$2,"."&amp;C$83&amp;C$1&amp;"C"&amp;$A113)="N/A",0,RTD("tos.rtd",,$A$2,"."&amp;C$83&amp;C$1&amp;"C"&amp;$A113))-IF(RTD("tos.rtd",,$A$2,"."&amp;C$83&amp;C$1&amp;"P"&amp;$A113)="N/A",0,RTD("tos.rtd",,$A$2,"."&amp;C$83&amp;C$1&amp;"P"&amp;$A113))</f>
        <v>32</v>
      </c>
      <c r="D113" s="56">
        <f ca="1">IF(RTD("tos.rtd",,$A$2,"."&amp;D$83&amp;D$1&amp;"C"&amp;$A113)="N/A",0,RTD("tos.rtd",,$A$2,"."&amp;D$83&amp;D$1&amp;"C"&amp;$A113))-IF(RTD("tos.rtd",,$A$2,"."&amp;D$83&amp;D$1&amp;"P"&amp;$A113)="N/A",0,RTD("tos.rtd",,$A$2,"."&amp;D$83&amp;D$1&amp;"P"&amp;$A113))</f>
        <v>33</v>
      </c>
      <c r="E113" s="56">
        <f ca="1">IF(RTD("tos.rtd",,$A$2,"."&amp;E$83&amp;E$1&amp;"C"&amp;$A113)="N/A",0,RTD("tos.rtd",,$A$2,"."&amp;E$83&amp;E$1&amp;"C"&amp;$A113))-IF(RTD("tos.rtd",,$A$2,"."&amp;E$83&amp;E$1&amp;"P"&amp;$A113)="N/A",0,RTD("tos.rtd",,$A$2,"."&amp;E$83&amp;E$1&amp;"P"&amp;$A113))</f>
        <v>-58</v>
      </c>
      <c r="F113" s="56">
        <f ca="1">IF(RTD("tos.rtd",,$A$2,"."&amp;F$83&amp;F$1&amp;"C"&amp;$A113)="N/A",0,RTD("tos.rtd",,$A$2,"."&amp;F$83&amp;F$1&amp;"C"&amp;$A113))-IF(RTD("tos.rtd",,$A$2,"."&amp;F$83&amp;F$1&amp;"P"&amp;$A113)="N/A",0,RTD("tos.rtd",,$A$2,"."&amp;F$83&amp;F$1&amp;"P"&amp;$A113))</f>
        <v>0</v>
      </c>
      <c r="G113" s="56">
        <f ca="1">IF(RTD("tos.rtd",,$A$2,"."&amp;G$83&amp;G$1&amp;"C"&amp;$A113)="N/A",0,RTD("tos.rtd",,$A$2,"."&amp;G$83&amp;G$1&amp;"C"&amp;$A113))-IF(RTD("tos.rtd",,$A$2,"."&amp;G$83&amp;G$1&amp;"P"&amp;$A113)="N/A",0,RTD("tos.rtd",,$A$2,"."&amp;G$83&amp;G$1&amp;"P"&amp;$A113))</f>
        <v>0</v>
      </c>
      <c r="H113" s="56">
        <f ca="1">IF(RTD("tos.rtd",,$A$2,"."&amp;H$83&amp;H$1&amp;"C"&amp;$A113)="N/A",0,RTD("tos.rtd",,$A$2,"."&amp;H$83&amp;H$1&amp;"C"&amp;$A113))-IF(RTD("tos.rtd",,$A$2,"."&amp;H$83&amp;H$1&amp;"P"&amp;$A113)="N/A",0,RTD("tos.rtd",,$A$2,"."&amp;H$83&amp;H$1&amp;"P"&amp;$A113))</f>
        <v>-55</v>
      </c>
      <c r="I113" s="56">
        <f ca="1">IF(RTD("tos.rtd",,$A$2,"."&amp;I$83&amp;I$1&amp;"C"&amp;$A113)="N/A",0,RTD("tos.rtd",,$A$2,"."&amp;I$83&amp;I$1&amp;"C"&amp;$A113))-IF(RTD("tos.rtd",,$A$2,"."&amp;I$83&amp;I$1&amp;"P"&amp;$A113)="N/A",0,RTD("tos.rtd",,$A$2,"."&amp;I$83&amp;I$1&amp;"P"&amp;$A113))</f>
        <v>37</v>
      </c>
      <c r="J113" s="56">
        <f ca="1">IF(RTD("tos.rtd",,$A$2,"."&amp;J$83&amp;J$1&amp;"C"&amp;$A113)="N/A",0,RTD("tos.rtd",,$A$2,"."&amp;J$83&amp;J$1&amp;"C"&amp;$A113))-IF(RTD("tos.rtd",,$A$2,"."&amp;J$83&amp;J$1&amp;"P"&amp;$A113)="N/A",0,RTD("tos.rtd",,$A$2,"."&amp;J$83&amp;J$1&amp;"P"&amp;$A113))</f>
        <v>0</v>
      </c>
      <c r="K113" s="56">
        <f ca="1">IF(RTD("tos.rtd",,$A$2,"."&amp;K$83&amp;K$1&amp;"C"&amp;$A113)="N/A",0,RTD("tos.rtd",,$A$2,"."&amp;K$83&amp;K$1&amp;"C"&amp;$A113))-IF(RTD("tos.rtd",,$A$2,"."&amp;K$83&amp;K$1&amp;"P"&amp;$A113)="N/A",0,RTD("tos.rtd",,$A$2,"."&amp;K$83&amp;K$1&amp;"P"&amp;$A113))</f>
        <v>-15</v>
      </c>
      <c r="L113" s="56">
        <f ca="1">IF(RTD("tos.rtd",,$A$2,"."&amp;L$83&amp;L$1&amp;"C"&amp;$A113)="N/A",0,RTD("tos.rtd",,$A$2,"."&amp;L$83&amp;L$1&amp;"C"&amp;$A113))-IF(RTD("tos.rtd",,$A$2,"."&amp;L$83&amp;L$1&amp;"P"&amp;$A113)="N/A",0,RTD("tos.rtd",,$A$2,"."&amp;L$83&amp;L$1&amp;"P"&amp;$A113))</f>
        <v>0</v>
      </c>
      <c r="M113" s="56">
        <f ca="1">IF(RTD("tos.rtd",,$A$2,"."&amp;M$83&amp;M$1&amp;"C"&amp;$A113)="N/A",0,RTD("tos.rtd",,$A$2,"."&amp;M$83&amp;M$1&amp;"C"&amp;$A113))-IF(RTD("tos.rtd",,$A$2,"."&amp;M$83&amp;M$1&amp;"P"&amp;$A113)="N/A",0,RTD("tos.rtd",,$A$2,"."&amp;M$83&amp;M$1&amp;"P"&amp;$A113))</f>
        <v>0</v>
      </c>
      <c r="N113" s="56">
        <f ca="1">IF(RTD("tos.rtd",,$A$2,"."&amp;N$83&amp;N$1&amp;"C"&amp;$A113)="N/A",0,RTD("tos.rtd",,$A$2,"."&amp;N$83&amp;N$1&amp;"C"&amp;$A113))-IF(RTD("tos.rtd",,$A$2,"."&amp;N$83&amp;N$1&amp;"P"&amp;$A113)="N/A",0,RTD("tos.rtd",,$A$2,"."&amp;N$83&amp;N$1&amp;"P"&amp;$A113))</f>
        <v>0</v>
      </c>
      <c r="O113" s="56">
        <f ca="1">IF(RTD("tos.rtd",,$A$2,"."&amp;O$83&amp;O$1&amp;"C"&amp;$A113)="N/A",0,RTD("tos.rtd",,$A$2,"."&amp;O$83&amp;O$1&amp;"C"&amp;$A113))-IF(RTD("tos.rtd",,$A$2,"."&amp;O$83&amp;O$1&amp;"P"&amp;$A113)="N/A",0,RTD("tos.rtd",,$A$2,"."&amp;O$83&amp;O$1&amp;"P"&amp;$A113))</f>
        <v>0</v>
      </c>
      <c r="P113" s="56">
        <f ca="1">IF(RTD("tos.rtd",,$A$2,"."&amp;P$83&amp;P$1&amp;"C"&amp;$A113)="N/A",0,RTD("tos.rtd",,$A$2,"."&amp;P$83&amp;P$1&amp;"C"&amp;$A113))-IF(RTD("tos.rtd",,$A$2,"."&amp;P$83&amp;P$1&amp;"P"&amp;$A113)="N/A",0,RTD("tos.rtd",,$A$2,"."&amp;P$83&amp;P$1&amp;"P"&amp;$A113))</f>
        <v>0</v>
      </c>
      <c r="Q113" s="56">
        <f ca="1">IF(RTD("tos.rtd",,$A$2,"."&amp;Q$83&amp;Q$1&amp;"C"&amp;$A113)="N/A",0,RTD("tos.rtd",,$A$2,"."&amp;Q$83&amp;Q$1&amp;"C"&amp;$A113))-IF(RTD("tos.rtd",,$A$2,"."&amp;Q$83&amp;Q$1&amp;"P"&amp;$A113)="N/A",0,RTD("tos.rtd",,$A$2,"."&amp;Q$83&amp;Q$1&amp;"P"&amp;$A113))</f>
        <v>0</v>
      </c>
      <c r="R113" s="56">
        <f ca="1">IF(RTD("tos.rtd",,$A$2,"."&amp;R$83&amp;R$1&amp;"C"&amp;$A113)="N/A",0,RTD("tos.rtd",,$A$2,"."&amp;R$83&amp;R$1&amp;"C"&amp;$A113))-IF(RTD("tos.rtd",,$A$2,"."&amp;R$83&amp;R$1&amp;"P"&amp;$A113)="N/A",0,RTD("tos.rtd",,$A$2,"."&amp;R$83&amp;R$1&amp;"P"&amp;$A113))</f>
        <v>0</v>
      </c>
      <c r="S113" s="56">
        <f ca="1">IF(RTD("tos.rtd",,$A$2,"."&amp;S$83&amp;S$1&amp;"C"&amp;$A113)="N/A",0,RTD("tos.rtd",,$A$2,"."&amp;S$83&amp;S$1&amp;"C"&amp;$A113))-IF(RTD("tos.rtd",,$A$2,"."&amp;S$83&amp;S$1&amp;"P"&amp;$A113)="N/A",0,RTD("tos.rtd",,$A$2,"."&amp;S$83&amp;S$1&amp;"P"&amp;$A113))</f>
        <v>0</v>
      </c>
      <c r="T113" s="56">
        <f ca="1">IF(RTD("tos.rtd",,$A$2,"."&amp;T$83&amp;T$1&amp;"C"&amp;$A113)="N/A",0,RTD("tos.rtd",,$A$2,"."&amp;T$83&amp;T$1&amp;"C"&amp;$A113))-IF(RTD("tos.rtd",,$A$2,"."&amp;T$83&amp;T$1&amp;"P"&amp;$A113)="N/A",0,RTD("tos.rtd",,$A$2,"."&amp;T$83&amp;T$1&amp;"P"&amp;$A113))</f>
        <v>0</v>
      </c>
      <c r="U113" s="56">
        <f ca="1">IF(RTD("tos.rtd",,$A$2,"."&amp;U$83&amp;U$1&amp;"C"&amp;$A113)="N/A",0,RTD("tos.rtd",,$A$2,"."&amp;U$83&amp;U$1&amp;"C"&amp;$A113))-IF(RTD("tos.rtd",,$A$2,"."&amp;U$83&amp;U$1&amp;"P"&amp;$A113)="N/A",0,RTD("tos.rtd",,$A$2,"."&amp;U$83&amp;U$1&amp;"P"&amp;$A113))</f>
        <v>0</v>
      </c>
      <c r="V113" s="56">
        <f ca="1">IF(RTD("tos.rtd",,$A$2,"."&amp;V$83&amp;V$1&amp;"C"&amp;$A113)="N/A",0,RTD("tos.rtd",,$A$2,"."&amp;V$83&amp;V$1&amp;"C"&amp;$A113))-IF(RTD("tos.rtd",,$A$2,"."&amp;V$83&amp;V$1&amp;"P"&amp;$A113)="N/A",0,RTD("tos.rtd",,$A$2,"."&amp;V$83&amp;V$1&amp;"P"&amp;$A113))</f>
        <v>0</v>
      </c>
      <c r="W113" s="56">
        <f ca="1">IF(RTD("tos.rtd",,$A$2,"."&amp;W$83&amp;W$1&amp;"C"&amp;$A113)="N/A",0,RTD("tos.rtd",,$A$2,"."&amp;W$83&amp;W$1&amp;"C"&amp;$A113))-IF(RTD("tos.rtd",,$A$2,"."&amp;W$83&amp;W$1&amp;"P"&amp;$A113)="N/A",0,RTD("tos.rtd",,$A$2,"."&amp;W$83&amp;W$1&amp;"P"&amp;$A113))</f>
        <v>0</v>
      </c>
      <c r="X113" s="56">
        <f ca="1">IF(RTD("tos.rtd",,$A$2,"."&amp;X$83&amp;X$1&amp;"C"&amp;$A113)="N/A",0,RTD("tos.rtd",,$A$2,"."&amp;X$83&amp;X$1&amp;"C"&amp;$A113))-IF(RTD("tos.rtd",,$A$2,"."&amp;X$83&amp;X$1&amp;"P"&amp;$A113)="N/A",0,RTD("tos.rtd",,$A$2,"."&amp;X$83&amp;X$1&amp;"P"&amp;$A113))</f>
        <v>0</v>
      </c>
      <c r="Y113" s="63">
        <f t="shared" ca="1" si="13"/>
        <v>223</v>
      </c>
    </row>
    <row r="114" spans="1:25" x14ac:dyDescent="0.25">
      <c r="A114" s="58">
        <f>+Hoja1!A113</f>
        <v>6700</v>
      </c>
      <c r="B114" s="56">
        <f ca="1">IF(RTD("tos.rtd",,$A$2,"."&amp;B$83&amp;B$1&amp;"C"&amp;$A114)="N/A",0,RTD("tos.rtd",,$A$2,"."&amp;B$83&amp;B$1&amp;"C"&amp;$A114))-IF(RTD("tos.rtd",,$A$2,"."&amp;B$83&amp;B$1&amp;"P"&amp;$A114)="N/A",0,RTD("tos.rtd",,$A$2,"."&amp;B$83&amp;B$1&amp;"P"&amp;$A114))</f>
        <v>4675</v>
      </c>
      <c r="C114" s="56">
        <f ca="1">IF(RTD("tos.rtd",,$A$2,"."&amp;C$83&amp;C$1&amp;"C"&amp;$A114)="N/A",0,RTD("tos.rtd",,$A$2,"."&amp;C$83&amp;C$1&amp;"C"&amp;$A114))-IF(RTD("tos.rtd",,$A$2,"."&amp;C$83&amp;C$1&amp;"P"&amp;$A114)="N/A",0,RTD("tos.rtd",,$A$2,"."&amp;C$83&amp;C$1&amp;"P"&amp;$A114))</f>
        <v>344</v>
      </c>
      <c r="D114" s="56">
        <f ca="1">IF(RTD("tos.rtd",,$A$2,"."&amp;D$83&amp;D$1&amp;"C"&amp;$A114)="N/A",0,RTD("tos.rtd",,$A$2,"."&amp;D$83&amp;D$1&amp;"C"&amp;$A114))-IF(RTD("tos.rtd",,$A$2,"."&amp;D$83&amp;D$1&amp;"P"&amp;$A114)="N/A",0,RTD("tos.rtd",,$A$2,"."&amp;D$83&amp;D$1&amp;"P"&amp;$A114))</f>
        <v>-43</v>
      </c>
      <c r="E114" s="56">
        <f ca="1">IF(RTD("tos.rtd",,$A$2,"."&amp;E$83&amp;E$1&amp;"C"&amp;$A114)="N/A",0,RTD("tos.rtd",,$A$2,"."&amp;E$83&amp;E$1&amp;"C"&amp;$A114))-IF(RTD("tos.rtd",,$A$2,"."&amp;E$83&amp;E$1&amp;"P"&amp;$A114)="N/A",0,RTD("tos.rtd",,$A$2,"."&amp;E$83&amp;E$1&amp;"P"&amp;$A114))</f>
        <v>2</v>
      </c>
      <c r="F114" s="56">
        <f ca="1">IF(RTD("tos.rtd",,$A$2,"."&amp;F$83&amp;F$1&amp;"C"&amp;$A114)="N/A",0,RTD("tos.rtd",,$A$2,"."&amp;F$83&amp;F$1&amp;"C"&amp;$A114))-IF(RTD("tos.rtd",,$A$2,"."&amp;F$83&amp;F$1&amp;"P"&amp;$A114)="N/A",0,RTD("tos.rtd",,$A$2,"."&amp;F$83&amp;F$1&amp;"P"&amp;$A114))</f>
        <v>0</v>
      </c>
      <c r="G114" s="56">
        <f ca="1">IF(RTD("tos.rtd",,$A$2,"."&amp;G$83&amp;G$1&amp;"C"&amp;$A114)="N/A",0,RTD("tos.rtd",,$A$2,"."&amp;G$83&amp;G$1&amp;"C"&amp;$A114))-IF(RTD("tos.rtd",,$A$2,"."&amp;G$83&amp;G$1&amp;"P"&amp;$A114)="N/A",0,RTD("tos.rtd",,$A$2,"."&amp;G$83&amp;G$1&amp;"P"&amp;$A114))</f>
        <v>0</v>
      </c>
      <c r="H114" s="56">
        <f ca="1">IF(RTD("tos.rtd",,$A$2,"."&amp;H$83&amp;H$1&amp;"C"&amp;$A114)="N/A",0,RTD("tos.rtd",,$A$2,"."&amp;H$83&amp;H$1&amp;"C"&amp;$A114))-IF(RTD("tos.rtd",,$A$2,"."&amp;H$83&amp;H$1&amp;"P"&amp;$A114)="N/A",0,RTD("tos.rtd",,$A$2,"."&amp;H$83&amp;H$1&amp;"P"&amp;$A114))</f>
        <v>-1096</v>
      </c>
      <c r="I114" s="56">
        <f ca="1">IF(RTD("tos.rtd",,$A$2,"."&amp;I$83&amp;I$1&amp;"C"&amp;$A114)="N/A",0,RTD("tos.rtd",,$A$2,"."&amp;I$83&amp;I$1&amp;"C"&amp;$A114))-IF(RTD("tos.rtd",,$A$2,"."&amp;I$83&amp;I$1&amp;"P"&amp;$A114)="N/A",0,RTD("tos.rtd",,$A$2,"."&amp;I$83&amp;I$1&amp;"P"&amp;$A114))</f>
        <v>-156</v>
      </c>
      <c r="J114" s="56">
        <f ca="1">IF(RTD("tos.rtd",,$A$2,"."&amp;J$83&amp;J$1&amp;"C"&amp;$A114)="N/A",0,RTD("tos.rtd",,$A$2,"."&amp;J$83&amp;J$1&amp;"C"&amp;$A114))-IF(RTD("tos.rtd",,$A$2,"."&amp;J$83&amp;J$1&amp;"P"&amp;$A114)="N/A",0,RTD("tos.rtd",,$A$2,"."&amp;J$83&amp;J$1&amp;"P"&amp;$A114))</f>
        <v>-24</v>
      </c>
      <c r="K114" s="56">
        <f ca="1">IF(RTD("tos.rtd",,$A$2,"."&amp;K$83&amp;K$1&amp;"C"&amp;$A114)="N/A",0,RTD("tos.rtd",,$A$2,"."&amp;K$83&amp;K$1&amp;"C"&amp;$A114))-IF(RTD("tos.rtd",,$A$2,"."&amp;K$83&amp;K$1&amp;"P"&amp;$A114)="N/A",0,RTD("tos.rtd",,$A$2,"."&amp;K$83&amp;K$1&amp;"P"&amp;$A114))</f>
        <v>162</v>
      </c>
      <c r="L114" s="56">
        <f ca="1">IF(RTD("tos.rtd",,$A$2,"."&amp;L$83&amp;L$1&amp;"C"&amp;$A114)="N/A",0,RTD("tos.rtd",,$A$2,"."&amp;L$83&amp;L$1&amp;"C"&amp;$A114))-IF(RTD("tos.rtd",,$A$2,"."&amp;L$83&amp;L$1&amp;"P"&amp;$A114)="N/A",0,RTD("tos.rtd",,$A$2,"."&amp;L$83&amp;L$1&amp;"P"&amp;$A114))</f>
        <v>0</v>
      </c>
      <c r="M114" s="56">
        <f ca="1">IF(RTD("tos.rtd",,$A$2,"."&amp;M$83&amp;M$1&amp;"C"&amp;$A114)="N/A",0,RTD("tos.rtd",,$A$2,"."&amp;M$83&amp;M$1&amp;"C"&amp;$A114))-IF(RTD("tos.rtd",,$A$2,"."&amp;M$83&amp;M$1&amp;"P"&amp;$A114)="N/A",0,RTD("tos.rtd",,$A$2,"."&amp;M$83&amp;M$1&amp;"P"&amp;$A114))</f>
        <v>0</v>
      </c>
      <c r="N114" s="56">
        <f ca="1">IF(RTD("tos.rtd",,$A$2,"."&amp;N$83&amp;N$1&amp;"C"&amp;$A114)="N/A",0,RTD("tos.rtd",,$A$2,"."&amp;N$83&amp;N$1&amp;"C"&amp;$A114))-IF(RTD("tos.rtd",,$A$2,"."&amp;N$83&amp;N$1&amp;"P"&amp;$A114)="N/A",0,RTD("tos.rtd",,$A$2,"."&amp;N$83&amp;N$1&amp;"P"&amp;$A114))</f>
        <v>0</v>
      </c>
      <c r="O114" s="56">
        <f ca="1">IF(RTD("tos.rtd",,$A$2,"."&amp;O$83&amp;O$1&amp;"C"&amp;$A114)="N/A",0,RTD("tos.rtd",,$A$2,"."&amp;O$83&amp;O$1&amp;"C"&amp;$A114))-IF(RTD("tos.rtd",,$A$2,"."&amp;O$83&amp;O$1&amp;"P"&amp;$A114)="N/A",0,RTD("tos.rtd",,$A$2,"."&amp;O$83&amp;O$1&amp;"P"&amp;$A114))</f>
        <v>0</v>
      </c>
      <c r="P114" s="56">
        <f ca="1">IF(RTD("tos.rtd",,$A$2,"."&amp;P$83&amp;P$1&amp;"C"&amp;$A114)="N/A",0,RTD("tos.rtd",,$A$2,"."&amp;P$83&amp;P$1&amp;"C"&amp;$A114))-IF(RTD("tos.rtd",,$A$2,"."&amp;P$83&amp;P$1&amp;"P"&amp;$A114)="N/A",0,RTD("tos.rtd",,$A$2,"."&amp;P$83&amp;P$1&amp;"P"&amp;$A114))</f>
        <v>-7</v>
      </c>
      <c r="Q114" s="56">
        <f ca="1">IF(RTD("tos.rtd",,$A$2,"."&amp;Q$83&amp;Q$1&amp;"C"&amp;$A114)="N/A",0,RTD("tos.rtd",,$A$2,"."&amp;Q$83&amp;Q$1&amp;"C"&amp;$A114))-IF(RTD("tos.rtd",,$A$2,"."&amp;Q$83&amp;Q$1&amp;"P"&amp;$A114)="N/A",0,RTD("tos.rtd",,$A$2,"."&amp;Q$83&amp;Q$1&amp;"P"&amp;$A114))</f>
        <v>0</v>
      </c>
      <c r="R114" s="56">
        <f ca="1">IF(RTD("tos.rtd",,$A$2,"."&amp;R$83&amp;R$1&amp;"C"&amp;$A114)="N/A",0,RTD("tos.rtd",,$A$2,"."&amp;R$83&amp;R$1&amp;"C"&amp;$A114))-IF(RTD("tos.rtd",,$A$2,"."&amp;R$83&amp;R$1&amp;"P"&amp;$A114)="N/A",0,RTD("tos.rtd",,$A$2,"."&amp;R$83&amp;R$1&amp;"P"&amp;$A114))</f>
        <v>0</v>
      </c>
      <c r="S114" s="56">
        <f ca="1">IF(RTD("tos.rtd",,$A$2,"."&amp;S$83&amp;S$1&amp;"C"&amp;$A114)="N/A",0,RTD("tos.rtd",,$A$2,"."&amp;S$83&amp;S$1&amp;"C"&amp;$A114))-IF(RTD("tos.rtd",,$A$2,"."&amp;S$83&amp;S$1&amp;"P"&amp;$A114)="N/A",0,RTD("tos.rtd",,$A$2,"."&amp;S$83&amp;S$1&amp;"P"&amp;$A114))</f>
        <v>0</v>
      </c>
      <c r="T114" s="56">
        <f ca="1">IF(RTD("tos.rtd",,$A$2,"."&amp;T$83&amp;T$1&amp;"C"&amp;$A114)="N/A",0,RTD("tos.rtd",,$A$2,"."&amp;T$83&amp;T$1&amp;"C"&amp;$A114))-IF(RTD("tos.rtd",,$A$2,"."&amp;T$83&amp;T$1&amp;"P"&amp;$A114)="N/A",0,RTD("tos.rtd",,$A$2,"."&amp;T$83&amp;T$1&amp;"P"&amp;$A114))</f>
        <v>0</v>
      </c>
      <c r="U114" s="56">
        <f ca="1">IF(RTD("tos.rtd",,$A$2,"."&amp;U$83&amp;U$1&amp;"C"&amp;$A114)="N/A",0,RTD("tos.rtd",,$A$2,"."&amp;U$83&amp;U$1&amp;"C"&amp;$A114))-IF(RTD("tos.rtd",,$A$2,"."&amp;U$83&amp;U$1&amp;"P"&amp;$A114)="N/A",0,RTD("tos.rtd",,$A$2,"."&amp;U$83&amp;U$1&amp;"P"&amp;$A114))</f>
        <v>0</v>
      </c>
      <c r="V114" s="56">
        <f ca="1">IF(RTD("tos.rtd",,$A$2,"."&amp;V$83&amp;V$1&amp;"C"&amp;$A114)="N/A",0,RTD("tos.rtd",,$A$2,"."&amp;V$83&amp;V$1&amp;"C"&amp;$A114))-IF(RTD("tos.rtd",,$A$2,"."&amp;V$83&amp;V$1&amp;"P"&amp;$A114)="N/A",0,RTD("tos.rtd",,$A$2,"."&amp;V$83&amp;V$1&amp;"P"&amp;$A114))</f>
        <v>0</v>
      </c>
      <c r="W114" s="56">
        <f ca="1">IF(RTD("tos.rtd",,$A$2,"."&amp;W$83&amp;W$1&amp;"C"&amp;$A114)="N/A",0,RTD("tos.rtd",,$A$2,"."&amp;W$83&amp;W$1&amp;"C"&amp;$A114))-IF(RTD("tos.rtd",,$A$2,"."&amp;W$83&amp;W$1&amp;"P"&amp;$A114)="N/A",0,RTD("tos.rtd",,$A$2,"."&amp;W$83&amp;W$1&amp;"P"&amp;$A114))</f>
        <v>0</v>
      </c>
      <c r="X114" s="56">
        <f ca="1">IF(RTD("tos.rtd",,$A$2,"."&amp;X$83&amp;X$1&amp;"C"&amp;$A114)="N/A",0,RTD("tos.rtd",,$A$2,"."&amp;X$83&amp;X$1&amp;"C"&amp;$A114))-IF(RTD("tos.rtd",,$A$2,"."&amp;X$83&amp;X$1&amp;"P"&amp;$A114)="N/A",0,RTD("tos.rtd",,$A$2,"."&amp;X$83&amp;X$1&amp;"P"&amp;$A114))</f>
        <v>0</v>
      </c>
      <c r="Y114" s="63">
        <f t="shared" ca="1" si="13"/>
        <v>3857</v>
      </c>
    </row>
    <row r="115" spans="1:25" x14ac:dyDescent="0.25">
      <c r="A115" s="58">
        <f>+Hoja1!A114</f>
        <v>6695</v>
      </c>
      <c r="B115" s="56">
        <f ca="1">IF(RTD("tos.rtd",,$A$2,"."&amp;B$83&amp;B$1&amp;"C"&amp;$A115)="N/A",0,RTD("tos.rtd",,$A$2,"."&amp;B$83&amp;B$1&amp;"C"&amp;$A115))-IF(RTD("tos.rtd",,$A$2,"."&amp;B$83&amp;B$1&amp;"P"&amp;$A115)="N/A",0,RTD("tos.rtd",,$A$2,"."&amp;B$83&amp;B$1&amp;"P"&amp;$A115))</f>
        <v>-1115</v>
      </c>
      <c r="C115" s="56">
        <f ca="1">IF(RTD("tos.rtd",,$A$2,"."&amp;C$83&amp;C$1&amp;"C"&amp;$A115)="N/A",0,RTD("tos.rtd",,$A$2,"."&amp;C$83&amp;C$1&amp;"C"&amp;$A115))-IF(RTD("tos.rtd",,$A$2,"."&amp;C$83&amp;C$1&amp;"P"&amp;$A115)="N/A",0,RTD("tos.rtd",,$A$2,"."&amp;C$83&amp;C$1&amp;"P"&amp;$A115))</f>
        <v>1</v>
      </c>
      <c r="D115" s="56">
        <f ca="1">IF(RTD("tos.rtd",,$A$2,"."&amp;D$83&amp;D$1&amp;"C"&amp;$A115)="N/A",0,RTD("tos.rtd",,$A$2,"."&amp;D$83&amp;D$1&amp;"C"&amp;$A115))-IF(RTD("tos.rtd",,$A$2,"."&amp;D$83&amp;D$1&amp;"P"&amp;$A115)="N/A",0,RTD("tos.rtd",,$A$2,"."&amp;D$83&amp;D$1&amp;"P"&amp;$A115))</f>
        <v>-55</v>
      </c>
      <c r="E115" s="56">
        <f ca="1">IF(RTD("tos.rtd",,$A$2,"."&amp;E$83&amp;E$1&amp;"C"&amp;$A115)="N/A",0,RTD("tos.rtd",,$A$2,"."&amp;E$83&amp;E$1&amp;"C"&amp;$A115))-IF(RTD("tos.rtd",,$A$2,"."&amp;E$83&amp;E$1&amp;"P"&amp;$A115)="N/A",0,RTD("tos.rtd",,$A$2,"."&amp;E$83&amp;E$1&amp;"P"&amp;$A115))</f>
        <v>-13</v>
      </c>
      <c r="F115" s="56">
        <f ca="1">IF(RTD("tos.rtd",,$A$2,"."&amp;F$83&amp;F$1&amp;"C"&amp;$A115)="N/A",0,RTD("tos.rtd",,$A$2,"."&amp;F$83&amp;F$1&amp;"C"&amp;$A115))-IF(RTD("tos.rtd",,$A$2,"."&amp;F$83&amp;F$1&amp;"P"&amp;$A115)="N/A",0,RTD("tos.rtd",,$A$2,"."&amp;F$83&amp;F$1&amp;"P"&amp;$A115))</f>
        <v>0</v>
      </c>
      <c r="G115" s="56">
        <f ca="1">IF(RTD("tos.rtd",,$A$2,"."&amp;G$83&amp;G$1&amp;"C"&amp;$A115)="N/A",0,RTD("tos.rtd",,$A$2,"."&amp;G$83&amp;G$1&amp;"C"&amp;$A115))-IF(RTD("tos.rtd",,$A$2,"."&amp;G$83&amp;G$1&amp;"P"&amp;$A115)="N/A",0,RTD("tos.rtd",,$A$2,"."&amp;G$83&amp;G$1&amp;"P"&amp;$A115))</f>
        <v>0</v>
      </c>
      <c r="H115" s="56">
        <f ca="1">IF(RTD("tos.rtd",,$A$2,"."&amp;H$83&amp;H$1&amp;"C"&amp;$A115)="N/A",0,RTD("tos.rtd",,$A$2,"."&amp;H$83&amp;H$1&amp;"C"&amp;$A115))-IF(RTD("tos.rtd",,$A$2,"."&amp;H$83&amp;H$1&amp;"P"&amp;$A115)="N/A",0,RTD("tos.rtd",,$A$2,"."&amp;H$83&amp;H$1&amp;"P"&amp;$A115))</f>
        <v>-23</v>
      </c>
      <c r="I115" s="56">
        <f ca="1">IF(RTD("tos.rtd",,$A$2,"."&amp;I$83&amp;I$1&amp;"C"&amp;$A115)="N/A",0,RTD("tos.rtd",,$A$2,"."&amp;I$83&amp;I$1&amp;"C"&amp;$A115))-IF(RTD("tos.rtd",,$A$2,"."&amp;I$83&amp;I$1&amp;"P"&amp;$A115)="N/A",0,RTD("tos.rtd",,$A$2,"."&amp;I$83&amp;I$1&amp;"P"&amp;$A115))</f>
        <v>11</v>
      </c>
      <c r="J115" s="56">
        <f ca="1">IF(RTD("tos.rtd",,$A$2,"."&amp;J$83&amp;J$1&amp;"C"&amp;$A115)="N/A",0,RTD("tos.rtd",,$A$2,"."&amp;J$83&amp;J$1&amp;"C"&amp;$A115))-IF(RTD("tos.rtd",,$A$2,"."&amp;J$83&amp;J$1&amp;"P"&amp;$A115)="N/A",0,RTD("tos.rtd",,$A$2,"."&amp;J$83&amp;J$1&amp;"P"&amp;$A115))</f>
        <v>0</v>
      </c>
      <c r="K115" s="56">
        <f ca="1">IF(RTD("tos.rtd",,$A$2,"."&amp;K$83&amp;K$1&amp;"C"&amp;$A115)="N/A",0,RTD("tos.rtd",,$A$2,"."&amp;K$83&amp;K$1&amp;"C"&amp;$A115))-IF(RTD("tos.rtd",,$A$2,"."&amp;K$83&amp;K$1&amp;"P"&amp;$A115)="N/A",0,RTD("tos.rtd",,$A$2,"."&amp;K$83&amp;K$1&amp;"P"&amp;$A115))</f>
        <v>7</v>
      </c>
      <c r="L115" s="56">
        <f ca="1">IF(RTD("tos.rtd",,$A$2,"."&amp;L$83&amp;L$1&amp;"C"&amp;$A115)="N/A",0,RTD("tos.rtd",,$A$2,"."&amp;L$83&amp;L$1&amp;"C"&amp;$A115))-IF(RTD("tos.rtd",,$A$2,"."&amp;L$83&amp;L$1&amp;"P"&amp;$A115)="N/A",0,RTD("tos.rtd",,$A$2,"."&amp;L$83&amp;L$1&amp;"P"&amp;$A115))</f>
        <v>0</v>
      </c>
      <c r="M115" s="56">
        <f ca="1">IF(RTD("tos.rtd",,$A$2,"."&amp;M$83&amp;M$1&amp;"C"&amp;$A115)="N/A",0,RTD("tos.rtd",,$A$2,"."&amp;M$83&amp;M$1&amp;"C"&amp;$A115))-IF(RTD("tos.rtd",,$A$2,"."&amp;M$83&amp;M$1&amp;"P"&amp;$A115)="N/A",0,RTD("tos.rtd",,$A$2,"."&amp;M$83&amp;M$1&amp;"P"&amp;$A115))</f>
        <v>0</v>
      </c>
      <c r="N115" s="56">
        <f ca="1">IF(RTD("tos.rtd",,$A$2,"."&amp;N$83&amp;N$1&amp;"C"&amp;$A115)="N/A",0,RTD("tos.rtd",,$A$2,"."&amp;N$83&amp;N$1&amp;"C"&amp;$A115))-IF(RTD("tos.rtd",,$A$2,"."&amp;N$83&amp;N$1&amp;"P"&amp;$A115)="N/A",0,RTD("tos.rtd",,$A$2,"."&amp;N$83&amp;N$1&amp;"P"&amp;$A115))</f>
        <v>0</v>
      </c>
      <c r="O115" s="56">
        <f ca="1">IF(RTD("tos.rtd",,$A$2,"."&amp;O$83&amp;O$1&amp;"C"&amp;$A115)="N/A",0,RTD("tos.rtd",,$A$2,"."&amp;O$83&amp;O$1&amp;"C"&amp;$A115))-IF(RTD("tos.rtd",,$A$2,"."&amp;O$83&amp;O$1&amp;"P"&amp;$A115)="N/A",0,RTD("tos.rtd",,$A$2,"."&amp;O$83&amp;O$1&amp;"P"&amp;$A115))</f>
        <v>0</v>
      </c>
      <c r="P115" s="56">
        <f ca="1">IF(RTD("tos.rtd",,$A$2,"."&amp;P$83&amp;P$1&amp;"C"&amp;$A115)="N/A",0,RTD("tos.rtd",,$A$2,"."&amp;P$83&amp;P$1&amp;"C"&amp;$A115))-IF(RTD("tos.rtd",,$A$2,"."&amp;P$83&amp;P$1&amp;"P"&amp;$A115)="N/A",0,RTD("tos.rtd",,$A$2,"."&amp;P$83&amp;P$1&amp;"P"&amp;$A115))</f>
        <v>0</v>
      </c>
      <c r="Q115" s="56">
        <f ca="1">IF(RTD("tos.rtd",,$A$2,"."&amp;Q$83&amp;Q$1&amp;"C"&amp;$A115)="N/A",0,RTD("tos.rtd",,$A$2,"."&amp;Q$83&amp;Q$1&amp;"C"&amp;$A115))-IF(RTD("tos.rtd",,$A$2,"."&amp;Q$83&amp;Q$1&amp;"P"&amp;$A115)="N/A",0,RTD("tos.rtd",,$A$2,"."&amp;Q$83&amp;Q$1&amp;"P"&amp;$A115))</f>
        <v>0</v>
      </c>
      <c r="R115" s="56">
        <f ca="1">IF(RTD("tos.rtd",,$A$2,"."&amp;R$83&amp;R$1&amp;"C"&amp;$A115)="N/A",0,RTD("tos.rtd",,$A$2,"."&amp;R$83&amp;R$1&amp;"C"&amp;$A115))-IF(RTD("tos.rtd",,$A$2,"."&amp;R$83&amp;R$1&amp;"P"&amp;$A115)="N/A",0,RTD("tos.rtd",,$A$2,"."&amp;R$83&amp;R$1&amp;"P"&amp;$A115))</f>
        <v>0</v>
      </c>
      <c r="S115" s="56">
        <f ca="1">IF(RTD("tos.rtd",,$A$2,"."&amp;S$83&amp;S$1&amp;"C"&amp;$A115)="N/A",0,RTD("tos.rtd",,$A$2,"."&amp;S$83&amp;S$1&amp;"C"&amp;$A115))-IF(RTD("tos.rtd",,$A$2,"."&amp;S$83&amp;S$1&amp;"P"&amp;$A115)="N/A",0,RTD("tos.rtd",,$A$2,"."&amp;S$83&amp;S$1&amp;"P"&amp;$A115))</f>
        <v>0</v>
      </c>
      <c r="T115" s="56">
        <f ca="1">IF(RTD("tos.rtd",,$A$2,"."&amp;T$83&amp;T$1&amp;"C"&amp;$A115)="N/A",0,RTD("tos.rtd",,$A$2,"."&amp;T$83&amp;T$1&amp;"C"&amp;$A115))-IF(RTD("tos.rtd",,$A$2,"."&amp;T$83&amp;T$1&amp;"P"&amp;$A115)="N/A",0,RTD("tos.rtd",,$A$2,"."&amp;T$83&amp;T$1&amp;"P"&amp;$A115))</f>
        <v>0</v>
      </c>
      <c r="U115" s="56">
        <f ca="1">IF(RTD("tos.rtd",,$A$2,"."&amp;U$83&amp;U$1&amp;"C"&amp;$A115)="N/A",0,RTD("tos.rtd",,$A$2,"."&amp;U$83&amp;U$1&amp;"C"&amp;$A115))-IF(RTD("tos.rtd",,$A$2,"."&amp;U$83&amp;U$1&amp;"P"&amp;$A115)="N/A",0,RTD("tos.rtd",,$A$2,"."&amp;U$83&amp;U$1&amp;"P"&amp;$A115))</f>
        <v>0</v>
      </c>
      <c r="V115" s="56">
        <f ca="1">IF(RTD("tos.rtd",,$A$2,"."&amp;V$83&amp;V$1&amp;"C"&amp;$A115)="N/A",0,RTD("tos.rtd",,$A$2,"."&amp;V$83&amp;V$1&amp;"C"&amp;$A115))-IF(RTD("tos.rtd",,$A$2,"."&amp;V$83&amp;V$1&amp;"P"&amp;$A115)="N/A",0,RTD("tos.rtd",,$A$2,"."&amp;V$83&amp;V$1&amp;"P"&amp;$A115))</f>
        <v>0</v>
      </c>
      <c r="W115" s="56">
        <f ca="1">IF(RTD("tos.rtd",,$A$2,"."&amp;W$83&amp;W$1&amp;"C"&amp;$A115)="N/A",0,RTD("tos.rtd",,$A$2,"."&amp;W$83&amp;W$1&amp;"C"&amp;$A115))-IF(RTD("tos.rtd",,$A$2,"."&amp;W$83&amp;W$1&amp;"P"&amp;$A115)="N/A",0,RTD("tos.rtd",,$A$2,"."&amp;W$83&amp;W$1&amp;"P"&amp;$A115))</f>
        <v>0</v>
      </c>
      <c r="X115" s="56">
        <f ca="1">IF(RTD("tos.rtd",,$A$2,"."&amp;X$83&amp;X$1&amp;"C"&amp;$A115)="N/A",0,RTD("tos.rtd",,$A$2,"."&amp;X$83&amp;X$1&amp;"C"&amp;$A115))-IF(RTD("tos.rtd",,$A$2,"."&amp;X$83&amp;X$1&amp;"P"&amp;$A115)="N/A",0,RTD("tos.rtd",,$A$2,"."&amp;X$83&amp;X$1&amp;"P"&amp;$A115))</f>
        <v>0</v>
      </c>
      <c r="Y115" s="63">
        <f t="shared" ca="1" si="13"/>
        <v>-1187</v>
      </c>
    </row>
    <row r="116" spans="1:25" x14ac:dyDescent="0.25">
      <c r="A116" s="58">
        <f>+Hoja1!A115</f>
        <v>6690</v>
      </c>
      <c r="B116" s="56">
        <f ca="1">IF(RTD("tos.rtd",,$A$2,"."&amp;B$83&amp;B$1&amp;"C"&amp;$A116)="N/A",0,RTD("tos.rtd",,$A$2,"."&amp;B$83&amp;B$1&amp;"C"&amp;$A116))-IF(RTD("tos.rtd",,$A$2,"."&amp;B$83&amp;B$1&amp;"P"&amp;$A116)="N/A",0,RTD("tos.rtd",,$A$2,"."&amp;B$83&amp;B$1&amp;"P"&amp;$A116))</f>
        <v>-1395</v>
      </c>
      <c r="C116" s="56">
        <f ca="1">IF(RTD("tos.rtd",,$A$2,"."&amp;C$83&amp;C$1&amp;"C"&amp;$A116)="N/A",0,RTD("tos.rtd",,$A$2,"."&amp;C$83&amp;C$1&amp;"C"&amp;$A116))-IF(RTD("tos.rtd",,$A$2,"."&amp;C$83&amp;C$1&amp;"P"&amp;$A116)="N/A",0,RTD("tos.rtd",,$A$2,"."&amp;C$83&amp;C$1&amp;"P"&amp;$A116))</f>
        <v>-9</v>
      </c>
      <c r="D116" s="56">
        <f ca="1">IF(RTD("tos.rtd",,$A$2,"."&amp;D$83&amp;D$1&amp;"C"&amp;$A116)="N/A",0,RTD("tos.rtd",,$A$2,"."&amp;D$83&amp;D$1&amp;"C"&amp;$A116))-IF(RTD("tos.rtd",,$A$2,"."&amp;D$83&amp;D$1&amp;"P"&amp;$A116)="N/A",0,RTD("tos.rtd",,$A$2,"."&amp;D$83&amp;D$1&amp;"P"&amp;$A116))</f>
        <v>-248</v>
      </c>
      <c r="E116" s="56">
        <f ca="1">IF(RTD("tos.rtd",,$A$2,"."&amp;E$83&amp;E$1&amp;"C"&amp;$A116)="N/A",0,RTD("tos.rtd",,$A$2,"."&amp;E$83&amp;E$1&amp;"C"&amp;$A116))-IF(RTD("tos.rtd",,$A$2,"."&amp;E$83&amp;E$1&amp;"P"&amp;$A116)="N/A",0,RTD("tos.rtd",,$A$2,"."&amp;E$83&amp;E$1&amp;"P"&amp;$A116))</f>
        <v>66</v>
      </c>
      <c r="F116" s="56">
        <f ca="1">IF(RTD("tos.rtd",,$A$2,"."&amp;F$83&amp;F$1&amp;"C"&amp;$A116)="N/A",0,RTD("tos.rtd",,$A$2,"."&amp;F$83&amp;F$1&amp;"C"&amp;$A116))-IF(RTD("tos.rtd",,$A$2,"."&amp;F$83&amp;F$1&amp;"P"&amp;$A116)="N/A",0,RTD("tos.rtd",,$A$2,"."&amp;F$83&amp;F$1&amp;"P"&amp;$A116))</f>
        <v>0</v>
      </c>
      <c r="G116" s="56">
        <f ca="1">IF(RTD("tos.rtd",,$A$2,"."&amp;G$83&amp;G$1&amp;"C"&amp;$A116)="N/A",0,RTD("tos.rtd",,$A$2,"."&amp;G$83&amp;G$1&amp;"C"&amp;$A116))-IF(RTD("tos.rtd",,$A$2,"."&amp;G$83&amp;G$1&amp;"P"&amp;$A116)="N/A",0,RTD("tos.rtd",,$A$2,"."&amp;G$83&amp;G$1&amp;"P"&amp;$A116))</f>
        <v>0</v>
      </c>
      <c r="H116" s="56">
        <f ca="1">IF(RTD("tos.rtd",,$A$2,"."&amp;H$83&amp;H$1&amp;"C"&amp;$A116)="N/A",0,RTD("tos.rtd",,$A$2,"."&amp;H$83&amp;H$1&amp;"C"&amp;$A116))-IF(RTD("tos.rtd",,$A$2,"."&amp;H$83&amp;H$1&amp;"P"&amp;$A116)="N/A",0,RTD("tos.rtd",,$A$2,"."&amp;H$83&amp;H$1&amp;"P"&amp;$A116))</f>
        <v>-20</v>
      </c>
      <c r="I116" s="56">
        <f ca="1">IF(RTD("tos.rtd",,$A$2,"."&amp;I$83&amp;I$1&amp;"C"&amp;$A116)="N/A",0,RTD("tos.rtd",,$A$2,"."&amp;I$83&amp;I$1&amp;"C"&amp;$A116))-IF(RTD("tos.rtd",,$A$2,"."&amp;I$83&amp;I$1&amp;"P"&amp;$A116)="N/A",0,RTD("tos.rtd",,$A$2,"."&amp;I$83&amp;I$1&amp;"P"&amp;$A116))</f>
        <v>18</v>
      </c>
      <c r="J116" s="56">
        <f ca="1">IF(RTD("tos.rtd",,$A$2,"."&amp;J$83&amp;J$1&amp;"C"&amp;$A116)="N/A",0,RTD("tos.rtd",,$A$2,"."&amp;J$83&amp;J$1&amp;"C"&amp;$A116))-IF(RTD("tos.rtd",,$A$2,"."&amp;J$83&amp;J$1&amp;"P"&amp;$A116)="N/A",0,RTD("tos.rtd",,$A$2,"."&amp;J$83&amp;J$1&amp;"P"&amp;$A116))</f>
        <v>-23</v>
      </c>
      <c r="K116" s="56">
        <f ca="1">IF(RTD("tos.rtd",,$A$2,"."&amp;K$83&amp;K$1&amp;"C"&amp;$A116)="N/A",0,RTD("tos.rtd",,$A$2,"."&amp;K$83&amp;K$1&amp;"C"&amp;$A116))-IF(RTD("tos.rtd",,$A$2,"."&amp;K$83&amp;K$1&amp;"P"&amp;$A116)="N/A",0,RTD("tos.rtd",,$A$2,"."&amp;K$83&amp;K$1&amp;"P"&amp;$A116))</f>
        <v>-10</v>
      </c>
      <c r="L116" s="56">
        <f ca="1">IF(RTD("tos.rtd",,$A$2,"."&amp;L$83&amp;L$1&amp;"C"&amp;$A116)="N/A",0,RTD("tos.rtd",,$A$2,"."&amp;L$83&amp;L$1&amp;"C"&amp;$A116))-IF(RTD("tos.rtd",,$A$2,"."&amp;L$83&amp;L$1&amp;"P"&amp;$A116)="N/A",0,RTD("tos.rtd",,$A$2,"."&amp;L$83&amp;L$1&amp;"P"&amp;$A116))</f>
        <v>0</v>
      </c>
      <c r="M116" s="56">
        <f ca="1">IF(RTD("tos.rtd",,$A$2,"."&amp;M$83&amp;M$1&amp;"C"&amp;$A116)="N/A",0,RTD("tos.rtd",,$A$2,"."&amp;M$83&amp;M$1&amp;"C"&amp;$A116))-IF(RTD("tos.rtd",,$A$2,"."&amp;M$83&amp;M$1&amp;"P"&amp;$A116)="N/A",0,RTD("tos.rtd",,$A$2,"."&amp;M$83&amp;M$1&amp;"P"&amp;$A116))</f>
        <v>0</v>
      </c>
      <c r="N116" s="56">
        <f ca="1">IF(RTD("tos.rtd",,$A$2,"."&amp;N$83&amp;N$1&amp;"C"&amp;$A116)="N/A",0,RTD("tos.rtd",,$A$2,"."&amp;N$83&amp;N$1&amp;"C"&amp;$A116))-IF(RTD("tos.rtd",,$A$2,"."&amp;N$83&amp;N$1&amp;"P"&amp;$A116)="N/A",0,RTD("tos.rtd",,$A$2,"."&amp;N$83&amp;N$1&amp;"P"&amp;$A116))</f>
        <v>0</v>
      </c>
      <c r="O116" s="56">
        <f ca="1">IF(RTD("tos.rtd",,$A$2,"."&amp;O$83&amp;O$1&amp;"C"&amp;$A116)="N/A",0,RTD("tos.rtd",,$A$2,"."&amp;O$83&amp;O$1&amp;"C"&amp;$A116))-IF(RTD("tos.rtd",,$A$2,"."&amp;O$83&amp;O$1&amp;"P"&amp;$A116)="N/A",0,RTD("tos.rtd",,$A$2,"."&amp;O$83&amp;O$1&amp;"P"&amp;$A116))</f>
        <v>0</v>
      </c>
      <c r="P116" s="56">
        <f ca="1">IF(RTD("tos.rtd",,$A$2,"."&amp;P$83&amp;P$1&amp;"C"&amp;$A116)="N/A",0,RTD("tos.rtd",,$A$2,"."&amp;P$83&amp;P$1&amp;"C"&amp;$A116))-IF(RTD("tos.rtd",,$A$2,"."&amp;P$83&amp;P$1&amp;"P"&amp;$A116)="N/A",0,RTD("tos.rtd",,$A$2,"."&amp;P$83&amp;P$1&amp;"P"&amp;$A116))</f>
        <v>0</v>
      </c>
      <c r="Q116" s="56">
        <f ca="1">IF(RTD("tos.rtd",,$A$2,"."&amp;Q$83&amp;Q$1&amp;"C"&amp;$A116)="N/A",0,RTD("tos.rtd",,$A$2,"."&amp;Q$83&amp;Q$1&amp;"C"&amp;$A116))-IF(RTD("tos.rtd",,$A$2,"."&amp;Q$83&amp;Q$1&amp;"P"&amp;$A116)="N/A",0,RTD("tos.rtd",,$A$2,"."&amp;Q$83&amp;Q$1&amp;"P"&amp;$A116))</f>
        <v>0</v>
      </c>
      <c r="R116" s="56">
        <f ca="1">IF(RTD("tos.rtd",,$A$2,"."&amp;R$83&amp;R$1&amp;"C"&amp;$A116)="N/A",0,RTD("tos.rtd",,$A$2,"."&amp;R$83&amp;R$1&amp;"C"&amp;$A116))-IF(RTD("tos.rtd",,$A$2,"."&amp;R$83&amp;R$1&amp;"P"&amp;$A116)="N/A",0,RTD("tos.rtd",,$A$2,"."&amp;R$83&amp;R$1&amp;"P"&amp;$A116))</f>
        <v>0</v>
      </c>
      <c r="S116" s="56">
        <f ca="1">IF(RTD("tos.rtd",,$A$2,"."&amp;S$83&amp;S$1&amp;"C"&amp;$A116)="N/A",0,RTD("tos.rtd",,$A$2,"."&amp;S$83&amp;S$1&amp;"C"&amp;$A116))-IF(RTD("tos.rtd",,$A$2,"."&amp;S$83&amp;S$1&amp;"P"&amp;$A116)="N/A",0,RTD("tos.rtd",,$A$2,"."&amp;S$83&amp;S$1&amp;"P"&amp;$A116))</f>
        <v>0</v>
      </c>
      <c r="T116" s="56">
        <f ca="1">IF(RTD("tos.rtd",,$A$2,"."&amp;T$83&amp;T$1&amp;"C"&amp;$A116)="N/A",0,RTD("tos.rtd",,$A$2,"."&amp;T$83&amp;T$1&amp;"C"&amp;$A116))-IF(RTD("tos.rtd",,$A$2,"."&amp;T$83&amp;T$1&amp;"P"&amp;$A116)="N/A",0,RTD("tos.rtd",,$A$2,"."&amp;T$83&amp;T$1&amp;"P"&amp;$A116))</f>
        <v>0</v>
      </c>
      <c r="U116" s="56">
        <f ca="1">IF(RTD("tos.rtd",,$A$2,"."&amp;U$83&amp;U$1&amp;"C"&amp;$A116)="N/A",0,RTD("tos.rtd",,$A$2,"."&amp;U$83&amp;U$1&amp;"C"&amp;$A116))-IF(RTD("tos.rtd",,$A$2,"."&amp;U$83&amp;U$1&amp;"P"&amp;$A116)="N/A",0,RTD("tos.rtd",,$A$2,"."&amp;U$83&amp;U$1&amp;"P"&amp;$A116))</f>
        <v>0</v>
      </c>
      <c r="V116" s="56">
        <f ca="1">IF(RTD("tos.rtd",,$A$2,"."&amp;V$83&amp;V$1&amp;"C"&amp;$A116)="N/A",0,RTD("tos.rtd",,$A$2,"."&amp;V$83&amp;V$1&amp;"C"&amp;$A116))-IF(RTD("tos.rtd",,$A$2,"."&amp;V$83&amp;V$1&amp;"P"&amp;$A116)="N/A",0,RTD("tos.rtd",,$A$2,"."&amp;V$83&amp;V$1&amp;"P"&amp;$A116))</f>
        <v>0</v>
      </c>
      <c r="W116" s="56">
        <f ca="1">IF(RTD("tos.rtd",,$A$2,"."&amp;W$83&amp;W$1&amp;"C"&amp;$A116)="N/A",0,RTD("tos.rtd",,$A$2,"."&amp;W$83&amp;W$1&amp;"C"&amp;$A116))-IF(RTD("tos.rtd",,$A$2,"."&amp;W$83&amp;W$1&amp;"P"&amp;$A116)="N/A",0,RTD("tos.rtd",,$A$2,"."&amp;W$83&amp;W$1&amp;"P"&amp;$A116))</f>
        <v>0</v>
      </c>
      <c r="X116" s="56">
        <f ca="1">IF(RTD("tos.rtd",,$A$2,"."&amp;X$83&amp;X$1&amp;"C"&amp;$A116)="N/A",0,RTD("tos.rtd",,$A$2,"."&amp;X$83&amp;X$1&amp;"C"&amp;$A116))-IF(RTD("tos.rtd",,$A$2,"."&amp;X$83&amp;X$1&amp;"P"&amp;$A116)="N/A",0,RTD("tos.rtd",,$A$2,"."&amp;X$83&amp;X$1&amp;"P"&amp;$A116))</f>
        <v>0</v>
      </c>
      <c r="Y116" s="63">
        <f t="shared" ca="1" si="13"/>
        <v>-1621</v>
      </c>
    </row>
    <row r="117" spans="1:25" x14ac:dyDescent="0.25">
      <c r="A117" s="58">
        <f>+Hoja1!A116</f>
        <v>6685</v>
      </c>
      <c r="B117" s="56">
        <f ca="1">IF(RTD("tos.rtd",,$A$2,"."&amp;B$83&amp;B$1&amp;"C"&amp;$A117)="N/A",0,RTD("tos.rtd",,$A$2,"."&amp;B$83&amp;B$1&amp;"C"&amp;$A117))-IF(RTD("tos.rtd",,$A$2,"."&amp;B$83&amp;B$1&amp;"P"&amp;$A117)="N/A",0,RTD("tos.rtd",,$A$2,"."&amp;B$83&amp;B$1&amp;"P"&amp;$A117))</f>
        <v>-476</v>
      </c>
      <c r="C117" s="56">
        <f ca="1">IF(RTD("tos.rtd",,$A$2,"."&amp;C$83&amp;C$1&amp;"C"&amp;$A117)="N/A",0,RTD("tos.rtd",,$A$2,"."&amp;C$83&amp;C$1&amp;"C"&amp;$A117))-IF(RTD("tos.rtd",,$A$2,"."&amp;C$83&amp;C$1&amp;"P"&amp;$A117)="N/A",0,RTD("tos.rtd",,$A$2,"."&amp;C$83&amp;C$1&amp;"P"&amp;$A117))</f>
        <v>23</v>
      </c>
      <c r="D117" s="56">
        <f ca="1">IF(RTD("tos.rtd",,$A$2,"."&amp;D$83&amp;D$1&amp;"C"&amp;$A117)="N/A",0,RTD("tos.rtd",,$A$2,"."&amp;D$83&amp;D$1&amp;"C"&amp;$A117))-IF(RTD("tos.rtd",,$A$2,"."&amp;D$83&amp;D$1&amp;"P"&amp;$A117)="N/A",0,RTD("tos.rtd",,$A$2,"."&amp;D$83&amp;D$1&amp;"P"&amp;$A117))</f>
        <v>-133</v>
      </c>
      <c r="E117" s="56">
        <f ca="1">IF(RTD("tos.rtd",,$A$2,"."&amp;E$83&amp;E$1&amp;"C"&amp;$A117)="N/A",0,RTD("tos.rtd",,$A$2,"."&amp;E$83&amp;E$1&amp;"C"&amp;$A117))-IF(RTD("tos.rtd",,$A$2,"."&amp;E$83&amp;E$1&amp;"P"&amp;$A117)="N/A",0,RTD("tos.rtd",,$A$2,"."&amp;E$83&amp;E$1&amp;"P"&amp;$A117))</f>
        <v>-317</v>
      </c>
      <c r="F117" s="56">
        <f ca="1">IF(RTD("tos.rtd",,$A$2,"."&amp;F$83&amp;F$1&amp;"C"&amp;$A117)="N/A",0,RTD("tos.rtd",,$A$2,"."&amp;F$83&amp;F$1&amp;"C"&amp;$A117))-IF(RTD("tos.rtd",,$A$2,"."&amp;F$83&amp;F$1&amp;"P"&amp;$A117)="N/A",0,RTD("tos.rtd",,$A$2,"."&amp;F$83&amp;F$1&amp;"P"&amp;$A117))</f>
        <v>0</v>
      </c>
      <c r="G117" s="56">
        <f ca="1">IF(RTD("tos.rtd",,$A$2,"."&amp;G$83&amp;G$1&amp;"C"&amp;$A117)="N/A",0,RTD("tos.rtd",,$A$2,"."&amp;G$83&amp;G$1&amp;"C"&amp;$A117))-IF(RTD("tos.rtd",,$A$2,"."&amp;G$83&amp;G$1&amp;"P"&amp;$A117)="N/A",0,RTD("tos.rtd",,$A$2,"."&amp;G$83&amp;G$1&amp;"P"&amp;$A117))</f>
        <v>0</v>
      </c>
      <c r="H117" s="56">
        <f ca="1">IF(RTD("tos.rtd",,$A$2,"."&amp;H$83&amp;H$1&amp;"C"&amp;$A117)="N/A",0,RTD("tos.rtd",,$A$2,"."&amp;H$83&amp;H$1&amp;"C"&amp;$A117))-IF(RTD("tos.rtd",,$A$2,"."&amp;H$83&amp;H$1&amp;"P"&amp;$A117)="N/A",0,RTD("tos.rtd",,$A$2,"."&amp;H$83&amp;H$1&amp;"P"&amp;$A117))</f>
        <v>21</v>
      </c>
      <c r="I117" s="56">
        <f ca="1">IF(RTD("tos.rtd",,$A$2,"."&amp;I$83&amp;I$1&amp;"C"&amp;$A117)="N/A",0,RTD("tos.rtd",,$A$2,"."&amp;I$83&amp;I$1&amp;"C"&amp;$A117))-IF(RTD("tos.rtd",,$A$2,"."&amp;I$83&amp;I$1&amp;"P"&amp;$A117)="N/A",0,RTD("tos.rtd",,$A$2,"."&amp;I$83&amp;I$1&amp;"P"&amp;$A117))</f>
        <v>0</v>
      </c>
      <c r="J117" s="56">
        <f ca="1">IF(RTD("tos.rtd",,$A$2,"."&amp;J$83&amp;J$1&amp;"C"&amp;$A117)="N/A",0,RTD("tos.rtd",,$A$2,"."&amp;J$83&amp;J$1&amp;"C"&amp;$A117))-IF(RTD("tos.rtd",,$A$2,"."&amp;J$83&amp;J$1&amp;"P"&amp;$A117)="N/A",0,RTD("tos.rtd",,$A$2,"."&amp;J$83&amp;J$1&amp;"P"&amp;$A117))</f>
        <v>0</v>
      </c>
      <c r="K117" s="56">
        <f ca="1">IF(RTD("tos.rtd",,$A$2,"."&amp;K$83&amp;K$1&amp;"C"&amp;$A117)="N/A",0,RTD("tos.rtd",,$A$2,"."&amp;K$83&amp;K$1&amp;"C"&amp;$A117))-IF(RTD("tos.rtd",,$A$2,"."&amp;K$83&amp;K$1&amp;"P"&amp;$A117)="N/A",0,RTD("tos.rtd",,$A$2,"."&amp;K$83&amp;K$1&amp;"P"&amp;$A117))</f>
        <v>1</v>
      </c>
      <c r="L117" s="56">
        <f ca="1">IF(RTD("tos.rtd",,$A$2,"."&amp;L$83&amp;L$1&amp;"C"&amp;$A117)="N/A",0,RTD("tos.rtd",,$A$2,"."&amp;L$83&amp;L$1&amp;"C"&amp;$A117))-IF(RTD("tos.rtd",,$A$2,"."&amp;L$83&amp;L$1&amp;"P"&amp;$A117)="N/A",0,RTD("tos.rtd",,$A$2,"."&amp;L$83&amp;L$1&amp;"P"&amp;$A117))</f>
        <v>0</v>
      </c>
      <c r="M117" s="56">
        <f ca="1">IF(RTD("tos.rtd",,$A$2,"."&amp;M$83&amp;M$1&amp;"C"&amp;$A117)="N/A",0,RTD("tos.rtd",,$A$2,"."&amp;M$83&amp;M$1&amp;"C"&amp;$A117))-IF(RTD("tos.rtd",,$A$2,"."&amp;M$83&amp;M$1&amp;"P"&amp;$A117)="N/A",0,RTD("tos.rtd",,$A$2,"."&amp;M$83&amp;M$1&amp;"P"&amp;$A117))</f>
        <v>0</v>
      </c>
      <c r="N117" s="56">
        <f ca="1">IF(RTD("tos.rtd",,$A$2,"."&amp;N$83&amp;N$1&amp;"C"&amp;$A117)="N/A",0,RTD("tos.rtd",,$A$2,"."&amp;N$83&amp;N$1&amp;"C"&amp;$A117))-IF(RTD("tos.rtd",,$A$2,"."&amp;N$83&amp;N$1&amp;"P"&amp;$A117)="N/A",0,RTD("tos.rtd",,$A$2,"."&amp;N$83&amp;N$1&amp;"P"&amp;$A117))</f>
        <v>0</v>
      </c>
      <c r="O117" s="56">
        <f ca="1">IF(RTD("tos.rtd",,$A$2,"."&amp;O$83&amp;O$1&amp;"C"&amp;$A117)="N/A",0,RTD("tos.rtd",,$A$2,"."&amp;O$83&amp;O$1&amp;"C"&amp;$A117))-IF(RTD("tos.rtd",,$A$2,"."&amp;O$83&amp;O$1&amp;"P"&amp;$A117)="N/A",0,RTD("tos.rtd",,$A$2,"."&amp;O$83&amp;O$1&amp;"P"&amp;$A117))</f>
        <v>0</v>
      </c>
      <c r="P117" s="56">
        <f ca="1">IF(RTD("tos.rtd",,$A$2,"."&amp;P$83&amp;P$1&amp;"C"&amp;$A117)="N/A",0,RTD("tos.rtd",,$A$2,"."&amp;P$83&amp;P$1&amp;"C"&amp;$A117))-IF(RTD("tos.rtd",,$A$2,"."&amp;P$83&amp;P$1&amp;"P"&amp;$A117)="N/A",0,RTD("tos.rtd",,$A$2,"."&amp;P$83&amp;P$1&amp;"P"&amp;$A117))</f>
        <v>0</v>
      </c>
      <c r="Q117" s="56">
        <f ca="1">IF(RTD("tos.rtd",,$A$2,"."&amp;Q$83&amp;Q$1&amp;"C"&amp;$A117)="N/A",0,RTD("tos.rtd",,$A$2,"."&amp;Q$83&amp;Q$1&amp;"C"&amp;$A117))-IF(RTD("tos.rtd",,$A$2,"."&amp;Q$83&amp;Q$1&amp;"P"&amp;$A117)="N/A",0,RTD("tos.rtd",,$A$2,"."&amp;Q$83&amp;Q$1&amp;"P"&amp;$A117))</f>
        <v>0</v>
      </c>
      <c r="R117" s="56">
        <f ca="1">IF(RTD("tos.rtd",,$A$2,"."&amp;R$83&amp;R$1&amp;"C"&amp;$A117)="N/A",0,RTD("tos.rtd",,$A$2,"."&amp;R$83&amp;R$1&amp;"C"&amp;$A117))-IF(RTD("tos.rtd",,$A$2,"."&amp;R$83&amp;R$1&amp;"P"&amp;$A117)="N/A",0,RTD("tos.rtd",,$A$2,"."&amp;R$83&amp;R$1&amp;"P"&amp;$A117))</f>
        <v>0</v>
      </c>
      <c r="S117" s="56">
        <f ca="1">IF(RTD("tos.rtd",,$A$2,"."&amp;S$83&amp;S$1&amp;"C"&amp;$A117)="N/A",0,RTD("tos.rtd",,$A$2,"."&amp;S$83&amp;S$1&amp;"C"&amp;$A117))-IF(RTD("tos.rtd",,$A$2,"."&amp;S$83&amp;S$1&amp;"P"&amp;$A117)="N/A",0,RTD("tos.rtd",,$A$2,"."&amp;S$83&amp;S$1&amp;"P"&amp;$A117))</f>
        <v>0</v>
      </c>
      <c r="T117" s="56">
        <f ca="1">IF(RTD("tos.rtd",,$A$2,"."&amp;T$83&amp;T$1&amp;"C"&amp;$A117)="N/A",0,RTD("tos.rtd",,$A$2,"."&amp;T$83&amp;T$1&amp;"C"&amp;$A117))-IF(RTD("tos.rtd",,$A$2,"."&amp;T$83&amp;T$1&amp;"P"&amp;$A117)="N/A",0,RTD("tos.rtd",,$A$2,"."&amp;T$83&amp;T$1&amp;"P"&amp;$A117))</f>
        <v>0</v>
      </c>
      <c r="U117" s="56">
        <f ca="1">IF(RTD("tos.rtd",,$A$2,"."&amp;U$83&amp;U$1&amp;"C"&amp;$A117)="N/A",0,RTD("tos.rtd",,$A$2,"."&amp;U$83&amp;U$1&amp;"C"&amp;$A117))-IF(RTD("tos.rtd",,$A$2,"."&amp;U$83&amp;U$1&amp;"P"&amp;$A117)="N/A",0,RTD("tos.rtd",,$A$2,"."&amp;U$83&amp;U$1&amp;"P"&amp;$A117))</f>
        <v>0</v>
      </c>
      <c r="V117" s="56">
        <f ca="1">IF(RTD("tos.rtd",,$A$2,"."&amp;V$83&amp;V$1&amp;"C"&amp;$A117)="N/A",0,RTD("tos.rtd",,$A$2,"."&amp;V$83&amp;V$1&amp;"C"&amp;$A117))-IF(RTD("tos.rtd",,$A$2,"."&amp;V$83&amp;V$1&amp;"P"&amp;$A117)="N/A",0,RTD("tos.rtd",,$A$2,"."&amp;V$83&amp;V$1&amp;"P"&amp;$A117))</f>
        <v>0</v>
      </c>
      <c r="W117" s="56">
        <f ca="1">IF(RTD("tos.rtd",,$A$2,"."&amp;W$83&amp;W$1&amp;"C"&amp;$A117)="N/A",0,RTD("tos.rtd",,$A$2,"."&amp;W$83&amp;W$1&amp;"C"&amp;$A117))-IF(RTD("tos.rtd",,$A$2,"."&amp;W$83&amp;W$1&amp;"P"&amp;$A117)="N/A",0,RTD("tos.rtd",,$A$2,"."&amp;W$83&amp;W$1&amp;"P"&amp;$A117))</f>
        <v>0</v>
      </c>
      <c r="X117" s="56">
        <f ca="1">IF(RTD("tos.rtd",,$A$2,"."&amp;X$83&amp;X$1&amp;"C"&amp;$A117)="N/A",0,RTD("tos.rtd",,$A$2,"."&amp;X$83&amp;X$1&amp;"C"&amp;$A117))-IF(RTD("tos.rtd",,$A$2,"."&amp;X$83&amp;X$1&amp;"P"&amp;$A117)="N/A",0,RTD("tos.rtd",,$A$2,"."&amp;X$83&amp;X$1&amp;"P"&amp;$A117))</f>
        <v>0</v>
      </c>
      <c r="Y117" s="63">
        <f t="shared" ca="1" si="13"/>
        <v>-881</v>
      </c>
    </row>
    <row r="118" spans="1:25" x14ac:dyDescent="0.25">
      <c r="A118" s="58">
        <f>+Hoja1!A117</f>
        <v>6680</v>
      </c>
      <c r="B118" s="56">
        <f ca="1">IF(RTD("tos.rtd",,$A$2,"."&amp;B$83&amp;B$1&amp;"C"&amp;$A118)="N/A",0,RTD("tos.rtd",,$A$2,"."&amp;B$83&amp;B$1&amp;"C"&amp;$A118))-IF(RTD("tos.rtd",,$A$2,"."&amp;B$83&amp;B$1&amp;"P"&amp;$A118)="N/A",0,RTD("tos.rtd",,$A$2,"."&amp;B$83&amp;B$1&amp;"P"&amp;$A118))</f>
        <v>-1668</v>
      </c>
      <c r="C118" s="56">
        <f ca="1">IF(RTD("tos.rtd",,$A$2,"."&amp;C$83&amp;C$1&amp;"C"&amp;$A118)="N/A",0,RTD("tos.rtd",,$A$2,"."&amp;C$83&amp;C$1&amp;"C"&amp;$A118))-IF(RTD("tos.rtd",,$A$2,"."&amp;C$83&amp;C$1&amp;"P"&amp;$A118)="N/A",0,RTD("tos.rtd",,$A$2,"."&amp;C$83&amp;C$1&amp;"P"&amp;$A118))</f>
        <v>51</v>
      </c>
      <c r="D118" s="56">
        <f ca="1">IF(RTD("tos.rtd",,$A$2,"."&amp;D$83&amp;D$1&amp;"C"&amp;$A118)="N/A",0,RTD("tos.rtd",,$A$2,"."&amp;D$83&amp;D$1&amp;"C"&amp;$A118))-IF(RTD("tos.rtd",,$A$2,"."&amp;D$83&amp;D$1&amp;"P"&amp;$A118)="N/A",0,RTD("tos.rtd",,$A$2,"."&amp;D$83&amp;D$1&amp;"P"&amp;$A118))</f>
        <v>-272</v>
      </c>
      <c r="E118" s="56">
        <f ca="1">IF(RTD("tos.rtd",,$A$2,"."&amp;E$83&amp;E$1&amp;"C"&amp;$A118)="N/A",0,RTD("tos.rtd",,$A$2,"."&amp;E$83&amp;E$1&amp;"C"&amp;$A118))-IF(RTD("tos.rtd",,$A$2,"."&amp;E$83&amp;E$1&amp;"P"&amp;$A118)="N/A",0,RTD("tos.rtd",,$A$2,"."&amp;E$83&amp;E$1&amp;"P"&amp;$A118))</f>
        <v>80</v>
      </c>
      <c r="F118" s="56">
        <f ca="1">IF(RTD("tos.rtd",,$A$2,"."&amp;F$83&amp;F$1&amp;"C"&amp;$A118)="N/A",0,RTD("tos.rtd",,$A$2,"."&amp;F$83&amp;F$1&amp;"C"&amp;$A118))-IF(RTD("tos.rtd",,$A$2,"."&amp;F$83&amp;F$1&amp;"P"&amp;$A118)="N/A",0,RTD("tos.rtd",,$A$2,"."&amp;F$83&amp;F$1&amp;"P"&amp;$A118))</f>
        <v>0</v>
      </c>
      <c r="G118" s="56">
        <f ca="1">IF(RTD("tos.rtd",,$A$2,"."&amp;G$83&amp;G$1&amp;"C"&amp;$A118)="N/A",0,RTD("tos.rtd",,$A$2,"."&amp;G$83&amp;G$1&amp;"C"&amp;$A118))-IF(RTD("tos.rtd",,$A$2,"."&amp;G$83&amp;G$1&amp;"P"&amp;$A118)="N/A",0,RTD("tos.rtd",,$A$2,"."&amp;G$83&amp;G$1&amp;"P"&amp;$A118))</f>
        <v>0</v>
      </c>
      <c r="H118" s="56">
        <f ca="1">IF(RTD("tos.rtd",,$A$2,"."&amp;H$83&amp;H$1&amp;"C"&amp;$A118)="N/A",0,RTD("tos.rtd",,$A$2,"."&amp;H$83&amp;H$1&amp;"C"&amp;$A118))-IF(RTD("tos.rtd",,$A$2,"."&amp;H$83&amp;H$1&amp;"P"&amp;$A118)="N/A",0,RTD("tos.rtd",,$A$2,"."&amp;H$83&amp;H$1&amp;"P"&amp;$A118))</f>
        <v>55</v>
      </c>
      <c r="I118" s="56">
        <f ca="1">IF(RTD("tos.rtd",,$A$2,"."&amp;I$83&amp;I$1&amp;"C"&amp;$A118)="N/A",0,RTD("tos.rtd",,$A$2,"."&amp;I$83&amp;I$1&amp;"C"&amp;$A118))-IF(RTD("tos.rtd",,$A$2,"."&amp;I$83&amp;I$1&amp;"P"&amp;$A118)="N/A",0,RTD("tos.rtd",,$A$2,"."&amp;I$83&amp;I$1&amp;"P"&amp;$A118))</f>
        <v>-747</v>
      </c>
      <c r="J118" s="56">
        <f ca="1">IF(RTD("tos.rtd",,$A$2,"."&amp;J$83&amp;J$1&amp;"C"&amp;$A118)="N/A",0,RTD("tos.rtd",,$A$2,"."&amp;J$83&amp;J$1&amp;"C"&amp;$A118))-IF(RTD("tos.rtd",,$A$2,"."&amp;J$83&amp;J$1&amp;"P"&amp;$A118)="N/A",0,RTD("tos.rtd",,$A$2,"."&amp;J$83&amp;J$1&amp;"P"&amp;$A118))</f>
        <v>-13</v>
      </c>
      <c r="K118" s="56">
        <f ca="1">IF(RTD("tos.rtd",,$A$2,"."&amp;K$83&amp;K$1&amp;"C"&amp;$A118)="N/A",0,RTD("tos.rtd",,$A$2,"."&amp;K$83&amp;K$1&amp;"C"&amp;$A118))-IF(RTD("tos.rtd",,$A$2,"."&amp;K$83&amp;K$1&amp;"P"&amp;$A118)="N/A",0,RTD("tos.rtd",,$A$2,"."&amp;K$83&amp;K$1&amp;"P"&amp;$A118))</f>
        <v>-32</v>
      </c>
      <c r="L118" s="56">
        <f ca="1">IF(RTD("tos.rtd",,$A$2,"."&amp;L$83&amp;L$1&amp;"C"&amp;$A118)="N/A",0,RTD("tos.rtd",,$A$2,"."&amp;L$83&amp;L$1&amp;"C"&amp;$A118))-IF(RTD("tos.rtd",,$A$2,"."&amp;L$83&amp;L$1&amp;"P"&amp;$A118)="N/A",0,RTD("tos.rtd",,$A$2,"."&amp;L$83&amp;L$1&amp;"P"&amp;$A118))</f>
        <v>0</v>
      </c>
      <c r="M118" s="56">
        <f ca="1">IF(RTD("tos.rtd",,$A$2,"."&amp;M$83&amp;M$1&amp;"C"&amp;$A118)="N/A",0,RTD("tos.rtd",,$A$2,"."&amp;M$83&amp;M$1&amp;"C"&amp;$A118))-IF(RTD("tos.rtd",,$A$2,"."&amp;M$83&amp;M$1&amp;"P"&amp;$A118)="N/A",0,RTD("tos.rtd",,$A$2,"."&amp;M$83&amp;M$1&amp;"P"&amp;$A118))</f>
        <v>0</v>
      </c>
      <c r="N118" s="56">
        <f ca="1">IF(RTD("tos.rtd",,$A$2,"."&amp;N$83&amp;N$1&amp;"C"&amp;$A118)="N/A",0,RTD("tos.rtd",,$A$2,"."&amp;N$83&amp;N$1&amp;"C"&amp;$A118))-IF(RTD("tos.rtd",,$A$2,"."&amp;N$83&amp;N$1&amp;"P"&amp;$A118)="N/A",0,RTD("tos.rtd",,$A$2,"."&amp;N$83&amp;N$1&amp;"P"&amp;$A118))</f>
        <v>0</v>
      </c>
      <c r="O118" s="56">
        <f ca="1">IF(RTD("tos.rtd",,$A$2,"."&amp;O$83&amp;O$1&amp;"C"&amp;$A118)="N/A",0,RTD("tos.rtd",,$A$2,"."&amp;O$83&amp;O$1&amp;"C"&amp;$A118))-IF(RTD("tos.rtd",,$A$2,"."&amp;O$83&amp;O$1&amp;"P"&amp;$A118)="N/A",0,RTD("tos.rtd",,$A$2,"."&amp;O$83&amp;O$1&amp;"P"&amp;$A118))</f>
        <v>0</v>
      </c>
      <c r="P118" s="56">
        <f ca="1">IF(RTD("tos.rtd",,$A$2,"."&amp;P$83&amp;P$1&amp;"C"&amp;$A118)="N/A",0,RTD("tos.rtd",,$A$2,"."&amp;P$83&amp;P$1&amp;"C"&amp;$A118))-IF(RTD("tos.rtd",,$A$2,"."&amp;P$83&amp;P$1&amp;"P"&amp;$A118)="N/A",0,RTD("tos.rtd",,$A$2,"."&amp;P$83&amp;P$1&amp;"P"&amp;$A118))</f>
        <v>-2</v>
      </c>
      <c r="Q118" s="56">
        <f ca="1">IF(RTD("tos.rtd",,$A$2,"."&amp;Q$83&amp;Q$1&amp;"C"&amp;$A118)="N/A",0,RTD("tos.rtd",,$A$2,"."&amp;Q$83&amp;Q$1&amp;"C"&amp;$A118))-IF(RTD("tos.rtd",,$A$2,"."&amp;Q$83&amp;Q$1&amp;"P"&amp;$A118)="N/A",0,RTD("tos.rtd",,$A$2,"."&amp;Q$83&amp;Q$1&amp;"P"&amp;$A118))</f>
        <v>0</v>
      </c>
      <c r="R118" s="56">
        <f ca="1">IF(RTD("tos.rtd",,$A$2,"."&amp;R$83&amp;R$1&amp;"C"&amp;$A118)="N/A",0,RTD("tos.rtd",,$A$2,"."&amp;R$83&amp;R$1&amp;"C"&amp;$A118))-IF(RTD("tos.rtd",,$A$2,"."&amp;R$83&amp;R$1&amp;"P"&amp;$A118)="N/A",0,RTD("tos.rtd",,$A$2,"."&amp;R$83&amp;R$1&amp;"P"&amp;$A118))</f>
        <v>0</v>
      </c>
      <c r="S118" s="56">
        <f ca="1">IF(RTD("tos.rtd",,$A$2,"."&amp;S$83&amp;S$1&amp;"C"&amp;$A118)="N/A",0,RTD("tos.rtd",,$A$2,"."&amp;S$83&amp;S$1&amp;"C"&amp;$A118))-IF(RTD("tos.rtd",,$A$2,"."&amp;S$83&amp;S$1&amp;"P"&amp;$A118)="N/A",0,RTD("tos.rtd",,$A$2,"."&amp;S$83&amp;S$1&amp;"P"&amp;$A118))</f>
        <v>0</v>
      </c>
      <c r="T118" s="56">
        <f ca="1">IF(RTD("tos.rtd",,$A$2,"."&amp;T$83&amp;T$1&amp;"C"&amp;$A118)="N/A",0,RTD("tos.rtd",,$A$2,"."&amp;T$83&amp;T$1&amp;"C"&amp;$A118))-IF(RTD("tos.rtd",,$A$2,"."&amp;T$83&amp;T$1&amp;"P"&amp;$A118)="N/A",0,RTD("tos.rtd",,$A$2,"."&amp;T$83&amp;T$1&amp;"P"&amp;$A118))</f>
        <v>0</v>
      </c>
      <c r="U118" s="56">
        <f ca="1">IF(RTD("tos.rtd",,$A$2,"."&amp;U$83&amp;U$1&amp;"C"&amp;$A118)="N/A",0,RTD("tos.rtd",,$A$2,"."&amp;U$83&amp;U$1&amp;"C"&amp;$A118))-IF(RTD("tos.rtd",,$A$2,"."&amp;U$83&amp;U$1&amp;"P"&amp;$A118)="N/A",0,RTD("tos.rtd",,$A$2,"."&amp;U$83&amp;U$1&amp;"P"&amp;$A118))</f>
        <v>0</v>
      </c>
      <c r="V118" s="56">
        <f ca="1">IF(RTD("tos.rtd",,$A$2,"."&amp;V$83&amp;V$1&amp;"C"&amp;$A118)="N/A",0,RTD("tos.rtd",,$A$2,"."&amp;V$83&amp;V$1&amp;"C"&amp;$A118))-IF(RTD("tos.rtd",,$A$2,"."&amp;V$83&amp;V$1&amp;"P"&amp;$A118)="N/A",0,RTD("tos.rtd",,$A$2,"."&amp;V$83&amp;V$1&amp;"P"&amp;$A118))</f>
        <v>0</v>
      </c>
      <c r="W118" s="56">
        <f ca="1">IF(RTD("tos.rtd",,$A$2,"."&amp;W$83&amp;W$1&amp;"C"&amp;$A118)="N/A",0,RTD("tos.rtd",,$A$2,"."&amp;W$83&amp;W$1&amp;"C"&amp;$A118))-IF(RTD("tos.rtd",,$A$2,"."&amp;W$83&amp;W$1&amp;"P"&amp;$A118)="N/A",0,RTD("tos.rtd",,$A$2,"."&amp;W$83&amp;W$1&amp;"P"&amp;$A118))</f>
        <v>0</v>
      </c>
      <c r="X118" s="56">
        <f ca="1">IF(RTD("tos.rtd",,$A$2,"."&amp;X$83&amp;X$1&amp;"C"&amp;$A118)="N/A",0,RTD("tos.rtd",,$A$2,"."&amp;X$83&amp;X$1&amp;"C"&amp;$A118))-IF(RTD("tos.rtd",,$A$2,"."&amp;X$83&amp;X$1&amp;"P"&amp;$A118)="N/A",0,RTD("tos.rtd",,$A$2,"."&amp;X$83&amp;X$1&amp;"P"&amp;$A118))</f>
        <v>0</v>
      </c>
      <c r="Y118" s="63">
        <f t="shared" ca="1" si="13"/>
        <v>-2548</v>
      </c>
    </row>
    <row r="119" spans="1:25" x14ac:dyDescent="0.25">
      <c r="A119" s="58">
        <f>+Hoja1!A118</f>
        <v>6675</v>
      </c>
      <c r="B119" s="56">
        <f ca="1">IF(RTD("tos.rtd",,$A$2,"."&amp;B$83&amp;B$1&amp;"C"&amp;$A119)="N/A",0,RTD("tos.rtd",,$A$2,"."&amp;B$83&amp;B$1&amp;"C"&amp;$A119))-IF(RTD("tos.rtd",,$A$2,"."&amp;B$83&amp;B$1&amp;"P"&amp;$A119)="N/A",0,RTD("tos.rtd",,$A$2,"."&amp;B$83&amp;B$1&amp;"P"&amp;$A119))</f>
        <v>-4005</v>
      </c>
      <c r="C119" s="56">
        <f ca="1">IF(RTD("tos.rtd",,$A$2,"."&amp;C$83&amp;C$1&amp;"C"&amp;$A119)="N/A",0,RTD("tos.rtd",,$A$2,"."&amp;C$83&amp;C$1&amp;"C"&amp;$A119))-IF(RTD("tos.rtd",,$A$2,"."&amp;C$83&amp;C$1&amp;"P"&amp;$A119)="N/A",0,RTD("tos.rtd",,$A$2,"."&amp;C$83&amp;C$1&amp;"P"&amp;$A119))</f>
        <v>-154</v>
      </c>
      <c r="D119" s="56">
        <f ca="1">IF(RTD("tos.rtd",,$A$2,"."&amp;D$83&amp;D$1&amp;"C"&amp;$A119)="N/A",0,RTD("tos.rtd",,$A$2,"."&amp;D$83&amp;D$1&amp;"C"&amp;$A119))-IF(RTD("tos.rtd",,$A$2,"."&amp;D$83&amp;D$1&amp;"P"&amp;$A119)="N/A",0,RTD("tos.rtd",,$A$2,"."&amp;D$83&amp;D$1&amp;"P"&amp;$A119))</f>
        <v>-287</v>
      </c>
      <c r="E119" s="56">
        <f ca="1">IF(RTD("tos.rtd",,$A$2,"."&amp;E$83&amp;E$1&amp;"C"&amp;$A119)="N/A",0,RTD("tos.rtd",,$A$2,"."&amp;E$83&amp;E$1&amp;"C"&amp;$A119))-IF(RTD("tos.rtd",,$A$2,"."&amp;E$83&amp;E$1&amp;"P"&amp;$A119)="N/A",0,RTD("tos.rtd",,$A$2,"."&amp;E$83&amp;E$1&amp;"P"&amp;$A119))</f>
        <v>-68</v>
      </c>
      <c r="F119" s="56">
        <f ca="1">IF(RTD("tos.rtd",,$A$2,"."&amp;F$83&amp;F$1&amp;"C"&amp;$A119)="N/A",0,RTD("tos.rtd",,$A$2,"."&amp;F$83&amp;F$1&amp;"C"&amp;$A119))-IF(RTD("tos.rtd",,$A$2,"."&amp;F$83&amp;F$1&amp;"P"&amp;$A119)="N/A",0,RTD("tos.rtd",,$A$2,"."&amp;F$83&amp;F$1&amp;"P"&amp;$A119))</f>
        <v>0</v>
      </c>
      <c r="G119" s="56">
        <f ca="1">IF(RTD("tos.rtd",,$A$2,"."&amp;G$83&amp;G$1&amp;"C"&amp;$A119)="N/A",0,RTD("tos.rtd",,$A$2,"."&amp;G$83&amp;G$1&amp;"C"&amp;$A119))-IF(RTD("tos.rtd",,$A$2,"."&amp;G$83&amp;G$1&amp;"P"&amp;$A119)="N/A",0,RTD("tos.rtd",,$A$2,"."&amp;G$83&amp;G$1&amp;"P"&amp;$A119))</f>
        <v>0</v>
      </c>
      <c r="H119" s="56">
        <f ca="1">IF(RTD("tos.rtd",,$A$2,"."&amp;H$83&amp;H$1&amp;"C"&amp;$A119)="N/A",0,RTD("tos.rtd",,$A$2,"."&amp;H$83&amp;H$1&amp;"C"&amp;$A119))-IF(RTD("tos.rtd",,$A$2,"."&amp;H$83&amp;H$1&amp;"P"&amp;$A119)="N/A",0,RTD("tos.rtd",,$A$2,"."&amp;H$83&amp;H$1&amp;"P"&amp;$A119))</f>
        <v>-6</v>
      </c>
      <c r="I119" s="56">
        <f ca="1">IF(RTD("tos.rtd",,$A$2,"."&amp;I$83&amp;I$1&amp;"C"&amp;$A119)="N/A",0,RTD("tos.rtd",,$A$2,"."&amp;I$83&amp;I$1&amp;"C"&amp;$A119))-IF(RTD("tos.rtd",,$A$2,"."&amp;I$83&amp;I$1&amp;"P"&amp;$A119)="N/A",0,RTD("tos.rtd",,$A$2,"."&amp;I$83&amp;I$1&amp;"P"&amp;$A119))</f>
        <v>1</v>
      </c>
      <c r="J119" s="56">
        <f ca="1">IF(RTD("tos.rtd",,$A$2,"."&amp;J$83&amp;J$1&amp;"C"&amp;$A119)="N/A",0,RTD("tos.rtd",,$A$2,"."&amp;J$83&amp;J$1&amp;"C"&amp;$A119))-IF(RTD("tos.rtd",,$A$2,"."&amp;J$83&amp;J$1&amp;"P"&amp;$A119)="N/A",0,RTD("tos.rtd",,$A$2,"."&amp;J$83&amp;J$1&amp;"P"&amp;$A119))</f>
        <v>-27</v>
      </c>
      <c r="K119" s="56">
        <f ca="1">IF(RTD("tos.rtd",,$A$2,"."&amp;K$83&amp;K$1&amp;"C"&amp;$A119)="N/A",0,RTD("tos.rtd",,$A$2,"."&amp;K$83&amp;K$1&amp;"C"&amp;$A119))-IF(RTD("tos.rtd",,$A$2,"."&amp;K$83&amp;K$1&amp;"P"&amp;$A119)="N/A",0,RTD("tos.rtd",,$A$2,"."&amp;K$83&amp;K$1&amp;"P"&amp;$A119))</f>
        <v>-6</v>
      </c>
      <c r="L119" s="56">
        <f ca="1">IF(RTD("tos.rtd",,$A$2,"."&amp;L$83&amp;L$1&amp;"C"&amp;$A119)="N/A",0,RTD("tos.rtd",,$A$2,"."&amp;L$83&amp;L$1&amp;"C"&amp;$A119))-IF(RTD("tos.rtd",,$A$2,"."&amp;L$83&amp;L$1&amp;"P"&amp;$A119)="N/A",0,RTD("tos.rtd",,$A$2,"."&amp;L$83&amp;L$1&amp;"P"&amp;$A119))</f>
        <v>0</v>
      </c>
      <c r="M119" s="56">
        <f ca="1">IF(RTD("tos.rtd",,$A$2,"."&amp;M$83&amp;M$1&amp;"C"&amp;$A119)="N/A",0,RTD("tos.rtd",,$A$2,"."&amp;M$83&amp;M$1&amp;"C"&amp;$A119))-IF(RTD("tos.rtd",,$A$2,"."&amp;M$83&amp;M$1&amp;"P"&amp;$A119)="N/A",0,RTD("tos.rtd",,$A$2,"."&amp;M$83&amp;M$1&amp;"P"&amp;$A119))</f>
        <v>0</v>
      </c>
      <c r="N119" s="56">
        <f ca="1">IF(RTD("tos.rtd",,$A$2,"."&amp;N$83&amp;N$1&amp;"C"&amp;$A119)="N/A",0,RTD("tos.rtd",,$A$2,"."&amp;N$83&amp;N$1&amp;"C"&amp;$A119))-IF(RTD("tos.rtd",,$A$2,"."&amp;N$83&amp;N$1&amp;"P"&amp;$A119)="N/A",0,RTD("tos.rtd",,$A$2,"."&amp;N$83&amp;N$1&amp;"P"&amp;$A119))</f>
        <v>0</v>
      </c>
      <c r="O119" s="56">
        <f ca="1">IF(RTD("tos.rtd",,$A$2,"."&amp;O$83&amp;O$1&amp;"C"&amp;$A119)="N/A",0,RTD("tos.rtd",,$A$2,"."&amp;O$83&amp;O$1&amp;"C"&amp;$A119))-IF(RTD("tos.rtd",,$A$2,"."&amp;O$83&amp;O$1&amp;"P"&amp;$A119)="N/A",0,RTD("tos.rtd",,$A$2,"."&amp;O$83&amp;O$1&amp;"P"&amp;$A119))</f>
        <v>0</v>
      </c>
      <c r="P119" s="56">
        <f ca="1">IF(RTD("tos.rtd",,$A$2,"."&amp;P$83&amp;P$1&amp;"C"&amp;$A119)="N/A",0,RTD("tos.rtd",,$A$2,"."&amp;P$83&amp;P$1&amp;"C"&amp;$A119))-IF(RTD("tos.rtd",,$A$2,"."&amp;P$83&amp;P$1&amp;"P"&amp;$A119)="N/A",0,RTD("tos.rtd",,$A$2,"."&amp;P$83&amp;P$1&amp;"P"&amp;$A119))</f>
        <v>-18</v>
      </c>
      <c r="Q119" s="56">
        <f ca="1">IF(RTD("tos.rtd",,$A$2,"."&amp;Q$83&amp;Q$1&amp;"C"&amp;$A119)="N/A",0,RTD("tos.rtd",,$A$2,"."&amp;Q$83&amp;Q$1&amp;"C"&amp;$A119))-IF(RTD("tos.rtd",,$A$2,"."&amp;Q$83&amp;Q$1&amp;"P"&amp;$A119)="N/A",0,RTD("tos.rtd",,$A$2,"."&amp;Q$83&amp;Q$1&amp;"P"&amp;$A119))</f>
        <v>0</v>
      </c>
      <c r="R119" s="56">
        <f ca="1">IF(RTD("tos.rtd",,$A$2,"."&amp;R$83&amp;R$1&amp;"C"&amp;$A119)="N/A",0,RTD("tos.rtd",,$A$2,"."&amp;R$83&amp;R$1&amp;"C"&amp;$A119))-IF(RTD("tos.rtd",,$A$2,"."&amp;R$83&amp;R$1&amp;"P"&amp;$A119)="N/A",0,RTD("tos.rtd",,$A$2,"."&amp;R$83&amp;R$1&amp;"P"&amp;$A119))</f>
        <v>0</v>
      </c>
      <c r="S119" s="56">
        <f ca="1">IF(RTD("tos.rtd",,$A$2,"."&amp;S$83&amp;S$1&amp;"C"&amp;$A119)="N/A",0,RTD("tos.rtd",,$A$2,"."&amp;S$83&amp;S$1&amp;"C"&amp;$A119))-IF(RTD("tos.rtd",,$A$2,"."&amp;S$83&amp;S$1&amp;"P"&amp;$A119)="N/A",0,RTD("tos.rtd",,$A$2,"."&amp;S$83&amp;S$1&amp;"P"&amp;$A119))</f>
        <v>0</v>
      </c>
      <c r="T119" s="56">
        <f ca="1">IF(RTD("tos.rtd",,$A$2,"."&amp;T$83&amp;T$1&amp;"C"&amp;$A119)="N/A",0,RTD("tos.rtd",,$A$2,"."&amp;T$83&amp;T$1&amp;"C"&amp;$A119))-IF(RTD("tos.rtd",,$A$2,"."&amp;T$83&amp;T$1&amp;"P"&amp;$A119)="N/A",0,RTD("tos.rtd",,$A$2,"."&amp;T$83&amp;T$1&amp;"P"&amp;$A119))</f>
        <v>0</v>
      </c>
      <c r="U119" s="56">
        <f ca="1">IF(RTD("tos.rtd",,$A$2,"."&amp;U$83&amp;U$1&amp;"C"&amp;$A119)="N/A",0,RTD("tos.rtd",,$A$2,"."&amp;U$83&amp;U$1&amp;"C"&amp;$A119))-IF(RTD("tos.rtd",,$A$2,"."&amp;U$83&amp;U$1&amp;"P"&amp;$A119)="N/A",0,RTD("tos.rtd",,$A$2,"."&amp;U$83&amp;U$1&amp;"P"&amp;$A119))</f>
        <v>0</v>
      </c>
      <c r="V119" s="56">
        <f ca="1">IF(RTD("tos.rtd",,$A$2,"."&amp;V$83&amp;V$1&amp;"C"&amp;$A119)="N/A",0,RTD("tos.rtd",,$A$2,"."&amp;V$83&amp;V$1&amp;"C"&amp;$A119))-IF(RTD("tos.rtd",,$A$2,"."&amp;V$83&amp;V$1&amp;"P"&amp;$A119)="N/A",0,RTD("tos.rtd",,$A$2,"."&amp;V$83&amp;V$1&amp;"P"&amp;$A119))</f>
        <v>0</v>
      </c>
      <c r="W119" s="56">
        <f ca="1">IF(RTD("tos.rtd",,$A$2,"."&amp;W$83&amp;W$1&amp;"C"&amp;$A119)="N/A",0,RTD("tos.rtd",,$A$2,"."&amp;W$83&amp;W$1&amp;"C"&amp;$A119))-IF(RTD("tos.rtd",,$A$2,"."&amp;W$83&amp;W$1&amp;"P"&amp;$A119)="N/A",0,RTD("tos.rtd",,$A$2,"."&amp;W$83&amp;W$1&amp;"P"&amp;$A119))</f>
        <v>0</v>
      </c>
      <c r="X119" s="56">
        <f ca="1">IF(RTD("tos.rtd",,$A$2,"."&amp;X$83&amp;X$1&amp;"C"&amp;$A119)="N/A",0,RTD("tos.rtd",,$A$2,"."&amp;X$83&amp;X$1&amp;"C"&amp;$A119))-IF(RTD("tos.rtd",,$A$2,"."&amp;X$83&amp;X$1&amp;"P"&amp;$A119)="N/A",0,RTD("tos.rtd",,$A$2,"."&amp;X$83&amp;X$1&amp;"P"&amp;$A119))</f>
        <v>0</v>
      </c>
      <c r="Y119" s="63">
        <f t="shared" ca="1" si="13"/>
        <v>-4570</v>
      </c>
    </row>
    <row r="120" spans="1:25" x14ac:dyDescent="0.25">
      <c r="A120" s="58">
        <f>+Hoja1!A119</f>
        <v>6670</v>
      </c>
      <c r="B120" s="56">
        <f ca="1">IF(RTD("tos.rtd",,$A$2,"."&amp;B$83&amp;B$1&amp;"C"&amp;$A120)="N/A",0,RTD("tos.rtd",,$A$2,"."&amp;B$83&amp;B$1&amp;"C"&amp;$A120))-IF(RTD("tos.rtd",,$A$2,"."&amp;B$83&amp;B$1&amp;"P"&amp;$A120)="N/A",0,RTD("tos.rtd",,$A$2,"."&amp;B$83&amp;B$1&amp;"P"&amp;$A120))</f>
        <v>-2223</v>
      </c>
      <c r="C120" s="56">
        <f ca="1">IF(RTD("tos.rtd",,$A$2,"."&amp;C$83&amp;C$1&amp;"C"&amp;$A120)="N/A",0,RTD("tos.rtd",,$A$2,"."&amp;C$83&amp;C$1&amp;"C"&amp;$A120))-IF(RTD("tos.rtd",,$A$2,"."&amp;C$83&amp;C$1&amp;"P"&amp;$A120)="N/A",0,RTD("tos.rtd",,$A$2,"."&amp;C$83&amp;C$1&amp;"P"&amp;$A120))</f>
        <v>366</v>
      </c>
      <c r="D120" s="56">
        <f ca="1">IF(RTD("tos.rtd",,$A$2,"."&amp;D$83&amp;D$1&amp;"C"&amp;$A120)="N/A",0,RTD("tos.rtd",,$A$2,"."&amp;D$83&amp;D$1&amp;"C"&amp;$A120))-IF(RTD("tos.rtd",,$A$2,"."&amp;D$83&amp;D$1&amp;"P"&amp;$A120)="N/A",0,RTD("tos.rtd",,$A$2,"."&amp;D$83&amp;D$1&amp;"P"&amp;$A120))</f>
        <v>-407</v>
      </c>
      <c r="E120" s="56">
        <f ca="1">IF(RTD("tos.rtd",,$A$2,"."&amp;E$83&amp;E$1&amp;"C"&amp;$A120)="N/A",0,RTD("tos.rtd",,$A$2,"."&amp;E$83&amp;E$1&amp;"C"&amp;$A120))-IF(RTD("tos.rtd",,$A$2,"."&amp;E$83&amp;E$1&amp;"P"&amp;$A120)="N/A",0,RTD("tos.rtd",,$A$2,"."&amp;E$83&amp;E$1&amp;"P"&amp;$A120))</f>
        <v>133</v>
      </c>
      <c r="F120" s="56">
        <f ca="1">IF(RTD("tos.rtd",,$A$2,"."&amp;F$83&amp;F$1&amp;"C"&amp;$A120)="N/A",0,RTD("tos.rtd",,$A$2,"."&amp;F$83&amp;F$1&amp;"C"&amp;$A120))-IF(RTD("tos.rtd",,$A$2,"."&amp;F$83&amp;F$1&amp;"P"&amp;$A120)="N/A",0,RTD("tos.rtd",,$A$2,"."&amp;F$83&amp;F$1&amp;"P"&amp;$A120))</f>
        <v>0</v>
      </c>
      <c r="G120" s="56">
        <f ca="1">IF(RTD("tos.rtd",,$A$2,"."&amp;G$83&amp;G$1&amp;"C"&amp;$A120)="N/A",0,RTD("tos.rtd",,$A$2,"."&amp;G$83&amp;G$1&amp;"C"&amp;$A120))-IF(RTD("tos.rtd",,$A$2,"."&amp;G$83&amp;G$1&amp;"P"&amp;$A120)="N/A",0,RTD("tos.rtd",,$A$2,"."&amp;G$83&amp;G$1&amp;"P"&amp;$A120))</f>
        <v>0</v>
      </c>
      <c r="H120" s="56">
        <f ca="1">IF(RTD("tos.rtd",,$A$2,"."&amp;H$83&amp;H$1&amp;"C"&amp;$A120)="N/A",0,RTD("tos.rtd",,$A$2,"."&amp;H$83&amp;H$1&amp;"C"&amp;$A120))-IF(RTD("tos.rtd",,$A$2,"."&amp;H$83&amp;H$1&amp;"P"&amp;$A120)="N/A",0,RTD("tos.rtd",,$A$2,"."&amp;H$83&amp;H$1&amp;"P"&amp;$A120))</f>
        <v>-39</v>
      </c>
      <c r="I120" s="56">
        <f ca="1">IF(RTD("tos.rtd",,$A$2,"."&amp;I$83&amp;I$1&amp;"C"&amp;$A120)="N/A",0,RTD("tos.rtd",,$A$2,"."&amp;I$83&amp;I$1&amp;"C"&amp;$A120))-IF(RTD("tos.rtd",,$A$2,"."&amp;I$83&amp;I$1&amp;"P"&amp;$A120)="N/A",0,RTD("tos.rtd",,$A$2,"."&amp;I$83&amp;I$1&amp;"P"&amp;$A120))</f>
        <v>-8</v>
      </c>
      <c r="J120" s="56">
        <f ca="1">IF(RTD("tos.rtd",,$A$2,"."&amp;J$83&amp;J$1&amp;"C"&amp;$A120)="N/A",0,RTD("tos.rtd",,$A$2,"."&amp;J$83&amp;J$1&amp;"C"&amp;$A120))-IF(RTD("tos.rtd",,$A$2,"."&amp;J$83&amp;J$1&amp;"P"&amp;$A120)="N/A",0,RTD("tos.rtd",,$A$2,"."&amp;J$83&amp;J$1&amp;"P"&amp;$A120))</f>
        <v>15</v>
      </c>
      <c r="K120" s="56">
        <f ca="1">IF(RTD("tos.rtd",,$A$2,"."&amp;K$83&amp;K$1&amp;"C"&amp;$A120)="N/A",0,RTD("tos.rtd",,$A$2,"."&amp;K$83&amp;K$1&amp;"C"&amp;$A120))-IF(RTD("tos.rtd",,$A$2,"."&amp;K$83&amp;K$1&amp;"P"&amp;$A120)="N/A",0,RTD("tos.rtd",,$A$2,"."&amp;K$83&amp;K$1&amp;"P"&amp;$A120))</f>
        <v>-1</v>
      </c>
      <c r="L120" s="56">
        <f ca="1">IF(RTD("tos.rtd",,$A$2,"."&amp;L$83&amp;L$1&amp;"C"&amp;$A120)="N/A",0,RTD("tos.rtd",,$A$2,"."&amp;L$83&amp;L$1&amp;"C"&amp;$A120))-IF(RTD("tos.rtd",,$A$2,"."&amp;L$83&amp;L$1&amp;"P"&amp;$A120)="N/A",0,RTD("tos.rtd",,$A$2,"."&amp;L$83&amp;L$1&amp;"P"&amp;$A120))</f>
        <v>0</v>
      </c>
      <c r="M120" s="56">
        <f ca="1">IF(RTD("tos.rtd",,$A$2,"."&amp;M$83&amp;M$1&amp;"C"&amp;$A120)="N/A",0,RTD("tos.rtd",,$A$2,"."&amp;M$83&amp;M$1&amp;"C"&amp;$A120))-IF(RTD("tos.rtd",,$A$2,"."&amp;M$83&amp;M$1&amp;"P"&amp;$A120)="N/A",0,RTD("tos.rtd",,$A$2,"."&amp;M$83&amp;M$1&amp;"P"&amp;$A120))</f>
        <v>0</v>
      </c>
      <c r="N120" s="56">
        <f ca="1">IF(RTD("tos.rtd",,$A$2,"."&amp;N$83&amp;N$1&amp;"C"&amp;$A120)="N/A",0,RTD("tos.rtd",,$A$2,"."&amp;N$83&amp;N$1&amp;"C"&amp;$A120))-IF(RTD("tos.rtd",,$A$2,"."&amp;N$83&amp;N$1&amp;"P"&amp;$A120)="N/A",0,RTD("tos.rtd",,$A$2,"."&amp;N$83&amp;N$1&amp;"P"&amp;$A120))</f>
        <v>0</v>
      </c>
      <c r="O120" s="56">
        <f ca="1">IF(RTD("tos.rtd",,$A$2,"."&amp;O$83&amp;O$1&amp;"C"&amp;$A120)="N/A",0,RTD("tos.rtd",,$A$2,"."&amp;O$83&amp;O$1&amp;"C"&amp;$A120))-IF(RTD("tos.rtd",,$A$2,"."&amp;O$83&amp;O$1&amp;"P"&amp;$A120)="N/A",0,RTD("tos.rtd",,$A$2,"."&amp;O$83&amp;O$1&amp;"P"&amp;$A120))</f>
        <v>0</v>
      </c>
      <c r="P120" s="56">
        <f ca="1">IF(RTD("tos.rtd",,$A$2,"."&amp;P$83&amp;P$1&amp;"C"&amp;$A120)="N/A",0,RTD("tos.rtd",,$A$2,"."&amp;P$83&amp;P$1&amp;"C"&amp;$A120))-IF(RTD("tos.rtd",,$A$2,"."&amp;P$83&amp;P$1&amp;"P"&amp;$A120)="N/A",0,RTD("tos.rtd",,$A$2,"."&amp;P$83&amp;P$1&amp;"P"&amp;$A120))</f>
        <v>1</v>
      </c>
      <c r="Q120" s="56">
        <f ca="1">IF(RTD("tos.rtd",,$A$2,"."&amp;Q$83&amp;Q$1&amp;"C"&amp;$A120)="N/A",0,RTD("tos.rtd",,$A$2,"."&amp;Q$83&amp;Q$1&amp;"C"&amp;$A120))-IF(RTD("tos.rtd",,$A$2,"."&amp;Q$83&amp;Q$1&amp;"P"&amp;$A120)="N/A",0,RTD("tos.rtd",,$A$2,"."&amp;Q$83&amp;Q$1&amp;"P"&amp;$A120))</f>
        <v>0</v>
      </c>
      <c r="R120" s="56">
        <f ca="1">IF(RTD("tos.rtd",,$A$2,"."&amp;R$83&amp;R$1&amp;"C"&amp;$A120)="N/A",0,RTD("tos.rtd",,$A$2,"."&amp;R$83&amp;R$1&amp;"C"&amp;$A120))-IF(RTD("tos.rtd",,$A$2,"."&amp;R$83&amp;R$1&amp;"P"&amp;$A120)="N/A",0,RTD("tos.rtd",,$A$2,"."&amp;R$83&amp;R$1&amp;"P"&amp;$A120))</f>
        <v>0</v>
      </c>
      <c r="S120" s="56">
        <f ca="1">IF(RTD("tos.rtd",,$A$2,"."&amp;S$83&amp;S$1&amp;"C"&amp;$A120)="N/A",0,RTD("tos.rtd",,$A$2,"."&amp;S$83&amp;S$1&amp;"C"&amp;$A120))-IF(RTD("tos.rtd",,$A$2,"."&amp;S$83&amp;S$1&amp;"P"&amp;$A120)="N/A",0,RTD("tos.rtd",,$A$2,"."&amp;S$83&amp;S$1&amp;"P"&amp;$A120))</f>
        <v>0</v>
      </c>
      <c r="T120" s="56">
        <f ca="1">IF(RTD("tos.rtd",,$A$2,"."&amp;T$83&amp;T$1&amp;"C"&amp;$A120)="N/A",0,RTD("tos.rtd",,$A$2,"."&amp;T$83&amp;T$1&amp;"C"&amp;$A120))-IF(RTD("tos.rtd",,$A$2,"."&amp;T$83&amp;T$1&amp;"P"&amp;$A120)="N/A",0,RTD("tos.rtd",,$A$2,"."&amp;T$83&amp;T$1&amp;"P"&amp;$A120))</f>
        <v>0</v>
      </c>
      <c r="U120" s="56">
        <f ca="1">IF(RTD("tos.rtd",,$A$2,"."&amp;U$83&amp;U$1&amp;"C"&amp;$A120)="N/A",0,RTD("tos.rtd",,$A$2,"."&amp;U$83&amp;U$1&amp;"C"&amp;$A120))-IF(RTD("tos.rtd",,$A$2,"."&amp;U$83&amp;U$1&amp;"P"&amp;$A120)="N/A",0,RTD("tos.rtd",,$A$2,"."&amp;U$83&amp;U$1&amp;"P"&amp;$A120))</f>
        <v>0</v>
      </c>
      <c r="V120" s="56">
        <f ca="1">IF(RTD("tos.rtd",,$A$2,"."&amp;V$83&amp;V$1&amp;"C"&amp;$A120)="N/A",0,RTD("tos.rtd",,$A$2,"."&amp;V$83&amp;V$1&amp;"C"&amp;$A120))-IF(RTD("tos.rtd",,$A$2,"."&amp;V$83&amp;V$1&amp;"P"&amp;$A120)="N/A",0,RTD("tos.rtd",,$A$2,"."&amp;V$83&amp;V$1&amp;"P"&amp;$A120))</f>
        <v>0</v>
      </c>
      <c r="W120" s="56">
        <f ca="1">IF(RTD("tos.rtd",,$A$2,"."&amp;W$83&amp;W$1&amp;"C"&amp;$A120)="N/A",0,RTD("tos.rtd",,$A$2,"."&amp;W$83&amp;W$1&amp;"C"&amp;$A120))-IF(RTD("tos.rtd",,$A$2,"."&amp;W$83&amp;W$1&amp;"P"&amp;$A120)="N/A",0,RTD("tos.rtd",,$A$2,"."&amp;W$83&amp;W$1&amp;"P"&amp;$A120))</f>
        <v>0</v>
      </c>
      <c r="X120" s="56">
        <f ca="1">IF(RTD("tos.rtd",,$A$2,"."&amp;X$83&amp;X$1&amp;"C"&amp;$A120)="N/A",0,RTD("tos.rtd",,$A$2,"."&amp;X$83&amp;X$1&amp;"C"&amp;$A120))-IF(RTD("tos.rtd",,$A$2,"."&amp;X$83&amp;X$1&amp;"P"&amp;$A120)="N/A",0,RTD("tos.rtd",,$A$2,"."&amp;X$83&amp;X$1&amp;"P"&amp;$A120))</f>
        <v>0</v>
      </c>
      <c r="Y120" s="63">
        <f t="shared" ca="1" si="13"/>
        <v>-2163</v>
      </c>
    </row>
    <row r="121" spans="1:25" x14ac:dyDescent="0.25">
      <c r="A121" s="58">
        <f>+Hoja1!A120</f>
        <v>6665</v>
      </c>
      <c r="B121" s="56">
        <f ca="1">IF(RTD("tos.rtd",,$A$2,"."&amp;B$83&amp;B$1&amp;"C"&amp;$A121)="N/A",0,RTD("tos.rtd",,$A$2,"."&amp;B$83&amp;B$1&amp;"C"&amp;$A121))-IF(RTD("tos.rtd",,$A$2,"."&amp;B$83&amp;B$1&amp;"P"&amp;$A121)="N/A",0,RTD("tos.rtd",,$A$2,"."&amp;B$83&amp;B$1&amp;"P"&amp;$A121))</f>
        <v>-3223</v>
      </c>
      <c r="C121" s="56">
        <f ca="1">IF(RTD("tos.rtd",,$A$2,"."&amp;C$83&amp;C$1&amp;"C"&amp;$A121)="N/A",0,RTD("tos.rtd",,$A$2,"."&amp;C$83&amp;C$1&amp;"C"&amp;$A121))-IF(RTD("tos.rtd",,$A$2,"."&amp;C$83&amp;C$1&amp;"P"&amp;$A121)="N/A",0,RTD("tos.rtd",,$A$2,"."&amp;C$83&amp;C$1&amp;"P"&amp;$A121))</f>
        <v>-171</v>
      </c>
      <c r="D121" s="56">
        <f ca="1">IF(RTD("tos.rtd",,$A$2,"."&amp;D$83&amp;D$1&amp;"C"&amp;$A121)="N/A",0,RTD("tos.rtd",,$A$2,"."&amp;D$83&amp;D$1&amp;"C"&amp;$A121))-IF(RTD("tos.rtd",,$A$2,"."&amp;D$83&amp;D$1&amp;"P"&amp;$A121)="N/A",0,RTD("tos.rtd",,$A$2,"."&amp;D$83&amp;D$1&amp;"P"&amp;$A121))</f>
        <v>-29</v>
      </c>
      <c r="E121" s="56">
        <f ca="1">IF(RTD("tos.rtd",,$A$2,"."&amp;E$83&amp;E$1&amp;"C"&amp;$A121)="N/A",0,RTD("tos.rtd",,$A$2,"."&amp;E$83&amp;E$1&amp;"C"&amp;$A121))-IF(RTD("tos.rtd",,$A$2,"."&amp;E$83&amp;E$1&amp;"P"&amp;$A121)="N/A",0,RTD("tos.rtd",,$A$2,"."&amp;E$83&amp;E$1&amp;"P"&amp;$A121))</f>
        <v>-69</v>
      </c>
      <c r="F121" s="56">
        <f ca="1">IF(RTD("tos.rtd",,$A$2,"."&amp;F$83&amp;F$1&amp;"C"&amp;$A121)="N/A",0,RTD("tos.rtd",,$A$2,"."&amp;F$83&amp;F$1&amp;"C"&amp;$A121))-IF(RTD("tos.rtd",,$A$2,"."&amp;F$83&amp;F$1&amp;"P"&amp;$A121)="N/A",0,RTD("tos.rtd",,$A$2,"."&amp;F$83&amp;F$1&amp;"P"&amp;$A121))</f>
        <v>0</v>
      </c>
      <c r="G121" s="56">
        <f ca="1">IF(RTD("tos.rtd",,$A$2,"."&amp;G$83&amp;G$1&amp;"C"&amp;$A121)="N/A",0,RTD("tos.rtd",,$A$2,"."&amp;G$83&amp;G$1&amp;"C"&amp;$A121))-IF(RTD("tos.rtd",,$A$2,"."&amp;G$83&amp;G$1&amp;"P"&amp;$A121)="N/A",0,RTD("tos.rtd",,$A$2,"."&amp;G$83&amp;G$1&amp;"P"&amp;$A121))</f>
        <v>0</v>
      </c>
      <c r="H121" s="56">
        <f ca="1">IF(RTD("tos.rtd",,$A$2,"."&amp;H$83&amp;H$1&amp;"C"&amp;$A121)="N/A",0,RTD("tos.rtd",,$A$2,"."&amp;H$83&amp;H$1&amp;"C"&amp;$A121))-IF(RTD("tos.rtd",,$A$2,"."&amp;H$83&amp;H$1&amp;"P"&amp;$A121)="N/A",0,RTD("tos.rtd",,$A$2,"."&amp;H$83&amp;H$1&amp;"P"&amp;$A121))</f>
        <v>16</v>
      </c>
      <c r="I121" s="56">
        <f ca="1">IF(RTD("tos.rtd",,$A$2,"."&amp;I$83&amp;I$1&amp;"C"&amp;$A121)="N/A",0,RTD("tos.rtd",,$A$2,"."&amp;I$83&amp;I$1&amp;"C"&amp;$A121))-IF(RTD("tos.rtd",,$A$2,"."&amp;I$83&amp;I$1&amp;"P"&amp;$A121)="N/A",0,RTD("tos.rtd",,$A$2,"."&amp;I$83&amp;I$1&amp;"P"&amp;$A121))</f>
        <v>-17</v>
      </c>
      <c r="J121" s="56">
        <f ca="1">IF(RTD("tos.rtd",,$A$2,"."&amp;J$83&amp;J$1&amp;"C"&amp;$A121)="N/A",0,RTD("tos.rtd",,$A$2,"."&amp;J$83&amp;J$1&amp;"C"&amp;$A121))-IF(RTD("tos.rtd",,$A$2,"."&amp;J$83&amp;J$1&amp;"P"&amp;$A121)="N/A",0,RTD("tos.rtd",,$A$2,"."&amp;J$83&amp;J$1&amp;"P"&amp;$A121))</f>
        <v>0</v>
      </c>
      <c r="K121" s="56">
        <f ca="1">IF(RTD("tos.rtd",,$A$2,"."&amp;K$83&amp;K$1&amp;"C"&amp;$A121)="N/A",0,RTD("tos.rtd",,$A$2,"."&amp;K$83&amp;K$1&amp;"C"&amp;$A121))-IF(RTD("tos.rtd",,$A$2,"."&amp;K$83&amp;K$1&amp;"P"&amp;$A121)="N/A",0,RTD("tos.rtd",,$A$2,"."&amp;K$83&amp;K$1&amp;"P"&amp;$A121))</f>
        <v>-29</v>
      </c>
      <c r="L121" s="56">
        <f ca="1">IF(RTD("tos.rtd",,$A$2,"."&amp;L$83&amp;L$1&amp;"C"&amp;$A121)="N/A",0,RTD("tos.rtd",,$A$2,"."&amp;L$83&amp;L$1&amp;"C"&amp;$A121))-IF(RTD("tos.rtd",,$A$2,"."&amp;L$83&amp;L$1&amp;"P"&amp;$A121)="N/A",0,RTD("tos.rtd",,$A$2,"."&amp;L$83&amp;L$1&amp;"P"&amp;$A121))</f>
        <v>0</v>
      </c>
      <c r="M121" s="56">
        <f ca="1">IF(RTD("tos.rtd",,$A$2,"."&amp;M$83&amp;M$1&amp;"C"&amp;$A121)="N/A",0,RTD("tos.rtd",,$A$2,"."&amp;M$83&amp;M$1&amp;"C"&amp;$A121))-IF(RTD("tos.rtd",,$A$2,"."&amp;M$83&amp;M$1&amp;"P"&amp;$A121)="N/A",0,RTD("tos.rtd",,$A$2,"."&amp;M$83&amp;M$1&amp;"P"&amp;$A121))</f>
        <v>0</v>
      </c>
      <c r="N121" s="56">
        <f ca="1">IF(RTD("tos.rtd",,$A$2,"."&amp;N$83&amp;N$1&amp;"C"&amp;$A121)="N/A",0,RTD("tos.rtd",,$A$2,"."&amp;N$83&amp;N$1&amp;"C"&amp;$A121))-IF(RTD("tos.rtd",,$A$2,"."&amp;N$83&amp;N$1&amp;"P"&amp;$A121)="N/A",0,RTD("tos.rtd",,$A$2,"."&amp;N$83&amp;N$1&amp;"P"&amp;$A121))</f>
        <v>0</v>
      </c>
      <c r="O121" s="56">
        <f ca="1">IF(RTD("tos.rtd",,$A$2,"."&amp;O$83&amp;O$1&amp;"C"&amp;$A121)="N/A",0,RTD("tos.rtd",,$A$2,"."&amp;O$83&amp;O$1&amp;"C"&amp;$A121))-IF(RTD("tos.rtd",,$A$2,"."&amp;O$83&amp;O$1&amp;"P"&amp;$A121)="N/A",0,RTD("tos.rtd",,$A$2,"."&amp;O$83&amp;O$1&amp;"P"&amp;$A121))</f>
        <v>0</v>
      </c>
      <c r="P121" s="56">
        <f ca="1">IF(RTD("tos.rtd",,$A$2,"."&amp;P$83&amp;P$1&amp;"C"&amp;$A121)="N/A",0,RTD("tos.rtd",,$A$2,"."&amp;P$83&amp;P$1&amp;"C"&amp;$A121))-IF(RTD("tos.rtd",,$A$2,"."&amp;P$83&amp;P$1&amp;"P"&amp;$A121)="N/A",0,RTD("tos.rtd",,$A$2,"."&amp;P$83&amp;P$1&amp;"P"&amp;$A121))</f>
        <v>0</v>
      </c>
      <c r="Q121" s="56">
        <f ca="1">IF(RTD("tos.rtd",,$A$2,"."&amp;Q$83&amp;Q$1&amp;"C"&amp;$A121)="N/A",0,RTD("tos.rtd",,$A$2,"."&amp;Q$83&amp;Q$1&amp;"C"&amp;$A121))-IF(RTD("tos.rtd",,$A$2,"."&amp;Q$83&amp;Q$1&amp;"P"&amp;$A121)="N/A",0,RTD("tos.rtd",,$A$2,"."&amp;Q$83&amp;Q$1&amp;"P"&amp;$A121))</f>
        <v>0</v>
      </c>
      <c r="R121" s="56">
        <f ca="1">IF(RTD("tos.rtd",,$A$2,"."&amp;R$83&amp;R$1&amp;"C"&amp;$A121)="N/A",0,RTD("tos.rtd",,$A$2,"."&amp;R$83&amp;R$1&amp;"C"&amp;$A121))-IF(RTD("tos.rtd",,$A$2,"."&amp;R$83&amp;R$1&amp;"P"&amp;$A121)="N/A",0,RTD("tos.rtd",,$A$2,"."&amp;R$83&amp;R$1&amp;"P"&amp;$A121))</f>
        <v>0</v>
      </c>
      <c r="S121" s="56">
        <f ca="1">IF(RTD("tos.rtd",,$A$2,"."&amp;S$83&amp;S$1&amp;"C"&amp;$A121)="N/A",0,RTD("tos.rtd",,$A$2,"."&amp;S$83&amp;S$1&amp;"C"&amp;$A121))-IF(RTD("tos.rtd",,$A$2,"."&amp;S$83&amp;S$1&amp;"P"&amp;$A121)="N/A",0,RTD("tos.rtd",,$A$2,"."&amp;S$83&amp;S$1&amp;"P"&amp;$A121))</f>
        <v>0</v>
      </c>
      <c r="T121" s="56">
        <f ca="1">IF(RTD("tos.rtd",,$A$2,"."&amp;T$83&amp;T$1&amp;"C"&amp;$A121)="N/A",0,RTD("tos.rtd",,$A$2,"."&amp;T$83&amp;T$1&amp;"C"&amp;$A121))-IF(RTD("tos.rtd",,$A$2,"."&amp;T$83&amp;T$1&amp;"P"&amp;$A121)="N/A",0,RTD("tos.rtd",,$A$2,"."&amp;T$83&amp;T$1&amp;"P"&amp;$A121))</f>
        <v>0</v>
      </c>
      <c r="U121" s="56">
        <f ca="1">IF(RTD("tos.rtd",,$A$2,"."&amp;U$83&amp;U$1&amp;"C"&amp;$A121)="N/A",0,RTD("tos.rtd",,$A$2,"."&amp;U$83&amp;U$1&amp;"C"&amp;$A121))-IF(RTD("tos.rtd",,$A$2,"."&amp;U$83&amp;U$1&amp;"P"&amp;$A121)="N/A",0,RTD("tos.rtd",,$A$2,"."&amp;U$83&amp;U$1&amp;"P"&amp;$A121))</f>
        <v>0</v>
      </c>
      <c r="V121" s="56">
        <f ca="1">IF(RTD("tos.rtd",,$A$2,"."&amp;V$83&amp;V$1&amp;"C"&amp;$A121)="N/A",0,RTD("tos.rtd",,$A$2,"."&amp;V$83&amp;V$1&amp;"C"&amp;$A121))-IF(RTD("tos.rtd",,$A$2,"."&amp;V$83&amp;V$1&amp;"P"&amp;$A121)="N/A",0,RTD("tos.rtd",,$A$2,"."&amp;V$83&amp;V$1&amp;"P"&amp;$A121))</f>
        <v>0</v>
      </c>
      <c r="W121" s="56">
        <f ca="1">IF(RTD("tos.rtd",,$A$2,"."&amp;W$83&amp;W$1&amp;"C"&amp;$A121)="N/A",0,RTD("tos.rtd",,$A$2,"."&amp;W$83&amp;W$1&amp;"C"&amp;$A121))-IF(RTD("tos.rtd",,$A$2,"."&amp;W$83&amp;W$1&amp;"P"&amp;$A121)="N/A",0,RTD("tos.rtd",,$A$2,"."&amp;W$83&amp;W$1&amp;"P"&amp;$A121))</f>
        <v>0</v>
      </c>
      <c r="X121" s="56">
        <f ca="1">IF(RTD("tos.rtd",,$A$2,"."&amp;X$83&amp;X$1&amp;"C"&amp;$A121)="N/A",0,RTD("tos.rtd",,$A$2,"."&amp;X$83&amp;X$1&amp;"C"&amp;$A121))-IF(RTD("tos.rtd",,$A$2,"."&amp;X$83&amp;X$1&amp;"P"&amp;$A121)="N/A",0,RTD("tos.rtd",,$A$2,"."&amp;X$83&amp;X$1&amp;"P"&amp;$A121))</f>
        <v>0</v>
      </c>
      <c r="Y121" s="63">
        <f t="shared" ca="1" si="13"/>
        <v>-3522</v>
      </c>
    </row>
    <row r="122" spans="1:25" x14ac:dyDescent="0.25">
      <c r="A122" s="58">
        <f>+Hoja1!A121</f>
        <v>6660</v>
      </c>
      <c r="B122" s="56">
        <f ca="1">IF(RTD("tos.rtd",,$A$2,"."&amp;B$83&amp;B$1&amp;"C"&amp;$A122)="N/A",0,RTD("tos.rtd",,$A$2,"."&amp;B$83&amp;B$1&amp;"C"&amp;$A122))-IF(RTD("tos.rtd",,$A$2,"."&amp;B$83&amp;B$1&amp;"P"&amp;$A122)="N/A",0,RTD("tos.rtd",,$A$2,"."&amp;B$83&amp;B$1&amp;"P"&amp;$A122))</f>
        <v>-5281</v>
      </c>
      <c r="C122" s="56">
        <f ca="1">IF(RTD("tos.rtd",,$A$2,"."&amp;C$83&amp;C$1&amp;"C"&amp;$A122)="N/A",0,RTD("tos.rtd",,$A$2,"."&amp;C$83&amp;C$1&amp;"C"&amp;$A122))-IF(RTD("tos.rtd",,$A$2,"."&amp;C$83&amp;C$1&amp;"P"&amp;$A122)="N/A",0,RTD("tos.rtd",,$A$2,"."&amp;C$83&amp;C$1&amp;"P"&amp;$A122))</f>
        <v>-113</v>
      </c>
      <c r="D122" s="56">
        <f ca="1">IF(RTD("tos.rtd",,$A$2,"."&amp;D$83&amp;D$1&amp;"C"&amp;$A122)="N/A",0,RTD("tos.rtd",,$A$2,"."&amp;D$83&amp;D$1&amp;"C"&amp;$A122))-IF(RTD("tos.rtd",,$A$2,"."&amp;D$83&amp;D$1&amp;"P"&amp;$A122)="N/A",0,RTD("tos.rtd",,$A$2,"."&amp;D$83&amp;D$1&amp;"P"&amp;$A122))</f>
        <v>-86</v>
      </c>
      <c r="E122" s="56">
        <f ca="1">IF(RTD("tos.rtd",,$A$2,"."&amp;E$83&amp;E$1&amp;"C"&amp;$A122)="N/A",0,RTD("tos.rtd",,$A$2,"."&amp;E$83&amp;E$1&amp;"C"&amp;$A122))-IF(RTD("tos.rtd",,$A$2,"."&amp;E$83&amp;E$1&amp;"P"&amp;$A122)="N/A",0,RTD("tos.rtd",,$A$2,"."&amp;E$83&amp;E$1&amp;"P"&amp;$A122))</f>
        <v>-318</v>
      </c>
      <c r="F122" s="56">
        <f ca="1">IF(RTD("tos.rtd",,$A$2,"."&amp;F$83&amp;F$1&amp;"C"&amp;$A122)="N/A",0,RTD("tos.rtd",,$A$2,"."&amp;F$83&amp;F$1&amp;"C"&amp;$A122))-IF(RTD("tos.rtd",,$A$2,"."&amp;F$83&amp;F$1&amp;"P"&amp;$A122)="N/A",0,RTD("tos.rtd",,$A$2,"."&amp;F$83&amp;F$1&amp;"P"&amp;$A122))</f>
        <v>0</v>
      </c>
      <c r="G122" s="56">
        <f ca="1">IF(RTD("tos.rtd",,$A$2,"."&amp;G$83&amp;G$1&amp;"C"&amp;$A122)="N/A",0,RTD("tos.rtd",,$A$2,"."&amp;G$83&amp;G$1&amp;"C"&amp;$A122))-IF(RTD("tos.rtd",,$A$2,"."&amp;G$83&amp;G$1&amp;"P"&amp;$A122)="N/A",0,RTD("tos.rtd",,$A$2,"."&amp;G$83&amp;G$1&amp;"P"&amp;$A122))</f>
        <v>0</v>
      </c>
      <c r="H122" s="56">
        <f ca="1">IF(RTD("tos.rtd",,$A$2,"."&amp;H$83&amp;H$1&amp;"C"&amp;$A122)="N/A",0,RTD("tos.rtd",,$A$2,"."&amp;H$83&amp;H$1&amp;"C"&amp;$A122))-IF(RTD("tos.rtd",,$A$2,"."&amp;H$83&amp;H$1&amp;"P"&amp;$A122)="N/A",0,RTD("tos.rtd",,$A$2,"."&amp;H$83&amp;H$1&amp;"P"&amp;$A122))</f>
        <v>18</v>
      </c>
      <c r="I122" s="56">
        <f ca="1">IF(RTD("tos.rtd",,$A$2,"."&amp;I$83&amp;I$1&amp;"C"&amp;$A122)="N/A",0,RTD("tos.rtd",,$A$2,"."&amp;I$83&amp;I$1&amp;"C"&amp;$A122))-IF(RTD("tos.rtd",,$A$2,"."&amp;I$83&amp;I$1&amp;"P"&amp;$A122)="N/A",0,RTD("tos.rtd",,$A$2,"."&amp;I$83&amp;I$1&amp;"P"&amp;$A122))</f>
        <v>-16</v>
      </c>
      <c r="J122" s="56">
        <f ca="1">IF(RTD("tos.rtd",,$A$2,"."&amp;J$83&amp;J$1&amp;"C"&amp;$A122)="N/A",0,RTD("tos.rtd",,$A$2,"."&amp;J$83&amp;J$1&amp;"C"&amp;$A122))-IF(RTD("tos.rtd",,$A$2,"."&amp;J$83&amp;J$1&amp;"P"&amp;$A122)="N/A",0,RTD("tos.rtd",,$A$2,"."&amp;J$83&amp;J$1&amp;"P"&amp;$A122))</f>
        <v>-186</v>
      </c>
      <c r="K122" s="56">
        <f ca="1">IF(RTD("tos.rtd",,$A$2,"."&amp;K$83&amp;K$1&amp;"C"&amp;$A122)="N/A",0,RTD("tos.rtd",,$A$2,"."&amp;K$83&amp;K$1&amp;"C"&amp;$A122))-IF(RTD("tos.rtd",,$A$2,"."&amp;K$83&amp;K$1&amp;"P"&amp;$A122)="N/A",0,RTD("tos.rtd",,$A$2,"."&amp;K$83&amp;K$1&amp;"P"&amp;$A122))</f>
        <v>-58</v>
      </c>
      <c r="L122" s="56">
        <f ca="1">IF(RTD("tos.rtd",,$A$2,"."&amp;L$83&amp;L$1&amp;"C"&amp;$A122)="N/A",0,RTD("tos.rtd",,$A$2,"."&amp;L$83&amp;L$1&amp;"C"&amp;$A122))-IF(RTD("tos.rtd",,$A$2,"."&amp;L$83&amp;L$1&amp;"P"&amp;$A122)="N/A",0,RTD("tos.rtd",,$A$2,"."&amp;L$83&amp;L$1&amp;"P"&amp;$A122))</f>
        <v>0</v>
      </c>
      <c r="M122" s="56">
        <f ca="1">IF(RTD("tos.rtd",,$A$2,"."&amp;M$83&amp;M$1&amp;"C"&amp;$A122)="N/A",0,RTD("tos.rtd",,$A$2,"."&amp;M$83&amp;M$1&amp;"C"&amp;$A122))-IF(RTD("tos.rtd",,$A$2,"."&amp;M$83&amp;M$1&amp;"P"&amp;$A122)="N/A",0,RTD("tos.rtd",,$A$2,"."&amp;M$83&amp;M$1&amp;"P"&amp;$A122))</f>
        <v>0</v>
      </c>
      <c r="N122" s="56">
        <f ca="1">IF(RTD("tos.rtd",,$A$2,"."&amp;N$83&amp;N$1&amp;"C"&amp;$A122)="N/A",0,RTD("tos.rtd",,$A$2,"."&amp;N$83&amp;N$1&amp;"C"&amp;$A122))-IF(RTD("tos.rtd",,$A$2,"."&amp;N$83&amp;N$1&amp;"P"&amp;$A122)="N/A",0,RTD("tos.rtd",,$A$2,"."&amp;N$83&amp;N$1&amp;"P"&amp;$A122))</f>
        <v>0</v>
      </c>
      <c r="O122" s="56">
        <f ca="1">IF(RTD("tos.rtd",,$A$2,"."&amp;O$83&amp;O$1&amp;"C"&amp;$A122)="N/A",0,RTD("tos.rtd",,$A$2,"."&amp;O$83&amp;O$1&amp;"C"&amp;$A122))-IF(RTD("tos.rtd",,$A$2,"."&amp;O$83&amp;O$1&amp;"P"&amp;$A122)="N/A",0,RTD("tos.rtd",,$A$2,"."&amp;O$83&amp;O$1&amp;"P"&amp;$A122))</f>
        <v>0</v>
      </c>
      <c r="P122" s="56">
        <f ca="1">IF(RTD("tos.rtd",,$A$2,"."&amp;P$83&amp;P$1&amp;"C"&amp;$A122)="N/A",0,RTD("tos.rtd",,$A$2,"."&amp;P$83&amp;P$1&amp;"C"&amp;$A122))-IF(RTD("tos.rtd",,$A$2,"."&amp;P$83&amp;P$1&amp;"P"&amp;$A122)="N/A",0,RTD("tos.rtd",,$A$2,"."&amp;P$83&amp;P$1&amp;"P"&amp;$A122))</f>
        <v>-1</v>
      </c>
      <c r="Q122" s="56">
        <f ca="1">IF(RTD("tos.rtd",,$A$2,"."&amp;Q$83&amp;Q$1&amp;"C"&amp;$A122)="N/A",0,RTD("tos.rtd",,$A$2,"."&amp;Q$83&amp;Q$1&amp;"C"&amp;$A122))-IF(RTD("tos.rtd",,$A$2,"."&amp;Q$83&amp;Q$1&amp;"P"&amp;$A122)="N/A",0,RTD("tos.rtd",,$A$2,"."&amp;Q$83&amp;Q$1&amp;"P"&amp;$A122))</f>
        <v>0</v>
      </c>
      <c r="R122" s="56">
        <f ca="1">IF(RTD("tos.rtd",,$A$2,"."&amp;R$83&amp;R$1&amp;"C"&amp;$A122)="N/A",0,RTD("tos.rtd",,$A$2,"."&amp;R$83&amp;R$1&amp;"C"&amp;$A122))-IF(RTD("tos.rtd",,$A$2,"."&amp;R$83&amp;R$1&amp;"P"&amp;$A122)="N/A",0,RTD("tos.rtd",,$A$2,"."&amp;R$83&amp;R$1&amp;"P"&amp;$A122))</f>
        <v>0</v>
      </c>
      <c r="S122" s="56">
        <f ca="1">IF(RTD("tos.rtd",,$A$2,"."&amp;S$83&amp;S$1&amp;"C"&amp;$A122)="N/A",0,RTD("tos.rtd",,$A$2,"."&amp;S$83&amp;S$1&amp;"C"&amp;$A122))-IF(RTD("tos.rtd",,$A$2,"."&amp;S$83&amp;S$1&amp;"P"&amp;$A122)="N/A",0,RTD("tos.rtd",,$A$2,"."&amp;S$83&amp;S$1&amp;"P"&amp;$A122))</f>
        <v>0</v>
      </c>
      <c r="T122" s="56">
        <f ca="1">IF(RTD("tos.rtd",,$A$2,"."&amp;T$83&amp;T$1&amp;"C"&amp;$A122)="N/A",0,RTD("tos.rtd",,$A$2,"."&amp;T$83&amp;T$1&amp;"C"&amp;$A122))-IF(RTD("tos.rtd",,$A$2,"."&amp;T$83&amp;T$1&amp;"P"&amp;$A122)="N/A",0,RTD("tos.rtd",,$A$2,"."&amp;T$83&amp;T$1&amp;"P"&amp;$A122))</f>
        <v>0</v>
      </c>
      <c r="U122" s="56">
        <f ca="1">IF(RTD("tos.rtd",,$A$2,"."&amp;U$83&amp;U$1&amp;"C"&amp;$A122)="N/A",0,RTD("tos.rtd",,$A$2,"."&amp;U$83&amp;U$1&amp;"C"&amp;$A122))-IF(RTD("tos.rtd",,$A$2,"."&amp;U$83&amp;U$1&amp;"P"&amp;$A122)="N/A",0,RTD("tos.rtd",,$A$2,"."&amp;U$83&amp;U$1&amp;"P"&amp;$A122))</f>
        <v>0</v>
      </c>
      <c r="V122" s="56">
        <f ca="1">IF(RTD("tos.rtd",,$A$2,"."&amp;V$83&amp;V$1&amp;"C"&amp;$A122)="N/A",0,RTD("tos.rtd",,$A$2,"."&amp;V$83&amp;V$1&amp;"C"&amp;$A122))-IF(RTD("tos.rtd",,$A$2,"."&amp;V$83&amp;V$1&amp;"P"&amp;$A122)="N/A",0,RTD("tos.rtd",,$A$2,"."&amp;V$83&amp;V$1&amp;"P"&amp;$A122))</f>
        <v>0</v>
      </c>
      <c r="W122" s="56">
        <f ca="1">IF(RTD("tos.rtd",,$A$2,"."&amp;W$83&amp;W$1&amp;"C"&amp;$A122)="N/A",0,RTD("tos.rtd",,$A$2,"."&amp;W$83&amp;W$1&amp;"C"&amp;$A122))-IF(RTD("tos.rtd",,$A$2,"."&amp;W$83&amp;W$1&amp;"P"&amp;$A122)="N/A",0,RTD("tos.rtd",,$A$2,"."&amp;W$83&amp;W$1&amp;"P"&amp;$A122))</f>
        <v>0</v>
      </c>
      <c r="X122" s="56">
        <f ca="1">IF(RTD("tos.rtd",,$A$2,"."&amp;X$83&amp;X$1&amp;"C"&amp;$A122)="N/A",0,RTD("tos.rtd",,$A$2,"."&amp;X$83&amp;X$1&amp;"C"&amp;$A122))-IF(RTD("tos.rtd",,$A$2,"."&amp;X$83&amp;X$1&amp;"P"&amp;$A122)="N/A",0,RTD("tos.rtd",,$A$2,"."&amp;X$83&amp;X$1&amp;"P"&amp;$A122))</f>
        <v>0</v>
      </c>
      <c r="Y122" s="63">
        <f t="shared" ca="1" si="13"/>
        <v>-6041</v>
      </c>
    </row>
    <row r="123" spans="1:25" x14ac:dyDescent="0.25">
      <c r="A123" s="58">
        <f>+Hoja1!A122</f>
        <v>6655</v>
      </c>
      <c r="B123" s="56">
        <f ca="1">IF(RTD("tos.rtd",,$A$2,"."&amp;B$83&amp;B$1&amp;"C"&amp;$A123)="N/A",0,RTD("tos.rtd",,$A$2,"."&amp;B$83&amp;B$1&amp;"C"&amp;$A123))-IF(RTD("tos.rtd",,$A$2,"."&amp;B$83&amp;B$1&amp;"P"&amp;$A123)="N/A",0,RTD("tos.rtd",,$A$2,"."&amp;B$83&amp;B$1&amp;"P"&amp;$A123))</f>
        <v>-3737</v>
      </c>
      <c r="C123" s="56">
        <f ca="1">IF(RTD("tos.rtd",,$A$2,"."&amp;C$83&amp;C$1&amp;"C"&amp;$A123)="N/A",0,RTD("tos.rtd",,$A$2,"."&amp;C$83&amp;C$1&amp;"C"&amp;$A123))-IF(RTD("tos.rtd",,$A$2,"."&amp;C$83&amp;C$1&amp;"P"&amp;$A123)="N/A",0,RTD("tos.rtd",,$A$2,"."&amp;C$83&amp;C$1&amp;"P"&amp;$A123))</f>
        <v>475</v>
      </c>
      <c r="D123" s="56">
        <f ca="1">IF(RTD("tos.rtd",,$A$2,"."&amp;D$83&amp;D$1&amp;"C"&amp;$A123)="N/A",0,RTD("tos.rtd",,$A$2,"."&amp;D$83&amp;D$1&amp;"C"&amp;$A123))-IF(RTD("tos.rtd",,$A$2,"."&amp;D$83&amp;D$1&amp;"P"&amp;$A123)="N/A",0,RTD("tos.rtd",,$A$2,"."&amp;D$83&amp;D$1&amp;"P"&amp;$A123))</f>
        <v>-88</v>
      </c>
      <c r="E123" s="56">
        <f ca="1">IF(RTD("tos.rtd",,$A$2,"."&amp;E$83&amp;E$1&amp;"C"&amp;$A123)="N/A",0,RTD("tos.rtd",,$A$2,"."&amp;E$83&amp;E$1&amp;"C"&amp;$A123))-IF(RTD("tos.rtd",,$A$2,"."&amp;E$83&amp;E$1&amp;"P"&amp;$A123)="N/A",0,RTD("tos.rtd",,$A$2,"."&amp;E$83&amp;E$1&amp;"P"&amp;$A123))</f>
        <v>14</v>
      </c>
      <c r="F123" s="56">
        <f ca="1">IF(RTD("tos.rtd",,$A$2,"."&amp;F$83&amp;F$1&amp;"C"&amp;$A123)="N/A",0,RTD("tos.rtd",,$A$2,"."&amp;F$83&amp;F$1&amp;"C"&amp;$A123))-IF(RTD("tos.rtd",,$A$2,"."&amp;F$83&amp;F$1&amp;"P"&amp;$A123)="N/A",0,RTD("tos.rtd",,$A$2,"."&amp;F$83&amp;F$1&amp;"P"&amp;$A123))</f>
        <v>0</v>
      </c>
      <c r="G123" s="56">
        <f ca="1">IF(RTD("tos.rtd",,$A$2,"."&amp;G$83&amp;G$1&amp;"C"&amp;$A123)="N/A",0,RTD("tos.rtd",,$A$2,"."&amp;G$83&amp;G$1&amp;"C"&amp;$A123))-IF(RTD("tos.rtd",,$A$2,"."&amp;G$83&amp;G$1&amp;"P"&amp;$A123)="N/A",0,RTD("tos.rtd",,$A$2,"."&amp;G$83&amp;G$1&amp;"P"&amp;$A123))</f>
        <v>0</v>
      </c>
      <c r="H123" s="56">
        <f ca="1">IF(RTD("tos.rtd",,$A$2,"."&amp;H$83&amp;H$1&amp;"C"&amp;$A123)="N/A",0,RTD("tos.rtd",,$A$2,"."&amp;H$83&amp;H$1&amp;"C"&amp;$A123))-IF(RTD("tos.rtd",,$A$2,"."&amp;H$83&amp;H$1&amp;"P"&amp;$A123)="N/A",0,RTD("tos.rtd",,$A$2,"."&amp;H$83&amp;H$1&amp;"P"&amp;$A123))</f>
        <v>-24</v>
      </c>
      <c r="I123" s="56">
        <f ca="1">IF(RTD("tos.rtd",,$A$2,"."&amp;I$83&amp;I$1&amp;"C"&amp;$A123)="N/A",0,RTD("tos.rtd",,$A$2,"."&amp;I$83&amp;I$1&amp;"C"&amp;$A123))-IF(RTD("tos.rtd",,$A$2,"."&amp;I$83&amp;I$1&amp;"P"&amp;$A123)="N/A",0,RTD("tos.rtd",,$A$2,"."&amp;I$83&amp;I$1&amp;"P"&amp;$A123))</f>
        <v>3</v>
      </c>
      <c r="J123" s="56">
        <f ca="1">IF(RTD("tos.rtd",,$A$2,"."&amp;J$83&amp;J$1&amp;"C"&amp;$A123)="N/A",0,RTD("tos.rtd",,$A$2,"."&amp;J$83&amp;J$1&amp;"C"&amp;$A123))-IF(RTD("tos.rtd",,$A$2,"."&amp;J$83&amp;J$1&amp;"P"&amp;$A123)="N/A",0,RTD("tos.rtd",,$A$2,"."&amp;J$83&amp;J$1&amp;"P"&amp;$A123))</f>
        <v>0</v>
      </c>
      <c r="K123" s="56">
        <f ca="1">IF(RTD("tos.rtd",,$A$2,"."&amp;K$83&amp;K$1&amp;"C"&amp;$A123)="N/A",0,RTD("tos.rtd",,$A$2,"."&amp;K$83&amp;K$1&amp;"C"&amp;$A123))-IF(RTD("tos.rtd",,$A$2,"."&amp;K$83&amp;K$1&amp;"P"&amp;$A123)="N/A",0,RTD("tos.rtd",,$A$2,"."&amp;K$83&amp;K$1&amp;"P"&amp;$A123))</f>
        <v>-18</v>
      </c>
      <c r="L123" s="56">
        <f ca="1">IF(RTD("tos.rtd",,$A$2,"."&amp;L$83&amp;L$1&amp;"C"&amp;$A123)="N/A",0,RTD("tos.rtd",,$A$2,"."&amp;L$83&amp;L$1&amp;"C"&amp;$A123))-IF(RTD("tos.rtd",,$A$2,"."&amp;L$83&amp;L$1&amp;"P"&amp;$A123)="N/A",0,RTD("tos.rtd",,$A$2,"."&amp;L$83&amp;L$1&amp;"P"&amp;$A123))</f>
        <v>0</v>
      </c>
      <c r="M123" s="56">
        <f ca="1">IF(RTD("tos.rtd",,$A$2,"."&amp;M$83&amp;M$1&amp;"C"&amp;$A123)="N/A",0,RTD("tos.rtd",,$A$2,"."&amp;M$83&amp;M$1&amp;"C"&amp;$A123))-IF(RTD("tos.rtd",,$A$2,"."&amp;M$83&amp;M$1&amp;"P"&amp;$A123)="N/A",0,RTD("tos.rtd",,$A$2,"."&amp;M$83&amp;M$1&amp;"P"&amp;$A123))</f>
        <v>0</v>
      </c>
      <c r="N123" s="56">
        <f ca="1">IF(RTD("tos.rtd",,$A$2,"."&amp;N$83&amp;N$1&amp;"C"&amp;$A123)="N/A",0,RTD("tos.rtd",,$A$2,"."&amp;N$83&amp;N$1&amp;"C"&amp;$A123))-IF(RTD("tos.rtd",,$A$2,"."&amp;N$83&amp;N$1&amp;"P"&amp;$A123)="N/A",0,RTD("tos.rtd",,$A$2,"."&amp;N$83&amp;N$1&amp;"P"&amp;$A123))</f>
        <v>0</v>
      </c>
      <c r="O123" s="56">
        <f ca="1">IF(RTD("tos.rtd",,$A$2,"."&amp;O$83&amp;O$1&amp;"C"&amp;$A123)="N/A",0,RTD("tos.rtd",,$A$2,"."&amp;O$83&amp;O$1&amp;"C"&amp;$A123))-IF(RTD("tos.rtd",,$A$2,"."&amp;O$83&amp;O$1&amp;"P"&amp;$A123)="N/A",0,RTD("tos.rtd",,$A$2,"."&amp;O$83&amp;O$1&amp;"P"&amp;$A123))</f>
        <v>0</v>
      </c>
      <c r="P123" s="56">
        <f ca="1">IF(RTD("tos.rtd",,$A$2,"."&amp;P$83&amp;P$1&amp;"C"&amp;$A123)="N/A",0,RTD("tos.rtd",,$A$2,"."&amp;P$83&amp;P$1&amp;"C"&amp;$A123))-IF(RTD("tos.rtd",,$A$2,"."&amp;P$83&amp;P$1&amp;"P"&amp;$A123)="N/A",0,RTD("tos.rtd",,$A$2,"."&amp;P$83&amp;P$1&amp;"P"&amp;$A123))</f>
        <v>0</v>
      </c>
      <c r="Q123" s="56">
        <f ca="1">IF(RTD("tos.rtd",,$A$2,"."&amp;Q$83&amp;Q$1&amp;"C"&amp;$A123)="N/A",0,RTD("tos.rtd",,$A$2,"."&amp;Q$83&amp;Q$1&amp;"C"&amp;$A123))-IF(RTD("tos.rtd",,$A$2,"."&amp;Q$83&amp;Q$1&amp;"P"&amp;$A123)="N/A",0,RTD("tos.rtd",,$A$2,"."&amp;Q$83&amp;Q$1&amp;"P"&amp;$A123))</f>
        <v>0</v>
      </c>
      <c r="R123" s="56">
        <f ca="1">IF(RTD("tos.rtd",,$A$2,"."&amp;R$83&amp;R$1&amp;"C"&amp;$A123)="N/A",0,RTD("tos.rtd",,$A$2,"."&amp;R$83&amp;R$1&amp;"C"&amp;$A123))-IF(RTD("tos.rtd",,$A$2,"."&amp;R$83&amp;R$1&amp;"P"&amp;$A123)="N/A",0,RTD("tos.rtd",,$A$2,"."&amp;R$83&amp;R$1&amp;"P"&amp;$A123))</f>
        <v>0</v>
      </c>
      <c r="S123" s="56">
        <f ca="1">IF(RTD("tos.rtd",,$A$2,"."&amp;S$83&amp;S$1&amp;"C"&amp;$A123)="N/A",0,RTD("tos.rtd",,$A$2,"."&amp;S$83&amp;S$1&amp;"C"&amp;$A123))-IF(RTD("tos.rtd",,$A$2,"."&amp;S$83&amp;S$1&amp;"P"&amp;$A123)="N/A",0,RTD("tos.rtd",,$A$2,"."&amp;S$83&amp;S$1&amp;"P"&amp;$A123))</f>
        <v>0</v>
      </c>
      <c r="T123" s="56">
        <f ca="1">IF(RTD("tos.rtd",,$A$2,"."&amp;T$83&amp;T$1&amp;"C"&amp;$A123)="N/A",0,RTD("tos.rtd",,$A$2,"."&amp;T$83&amp;T$1&amp;"C"&amp;$A123))-IF(RTD("tos.rtd",,$A$2,"."&amp;T$83&amp;T$1&amp;"P"&amp;$A123)="N/A",0,RTD("tos.rtd",,$A$2,"."&amp;T$83&amp;T$1&amp;"P"&amp;$A123))</f>
        <v>0</v>
      </c>
      <c r="U123" s="56">
        <f ca="1">IF(RTD("tos.rtd",,$A$2,"."&amp;U$83&amp;U$1&amp;"C"&amp;$A123)="N/A",0,RTD("tos.rtd",,$A$2,"."&amp;U$83&amp;U$1&amp;"C"&amp;$A123))-IF(RTD("tos.rtd",,$A$2,"."&amp;U$83&amp;U$1&amp;"P"&amp;$A123)="N/A",0,RTD("tos.rtd",,$A$2,"."&amp;U$83&amp;U$1&amp;"P"&amp;$A123))</f>
        <v>0</v>
      </c>
      <c r="V123" s="56">
        <f ca="1">IF(RTD("tos.rtd",,$A$2,"."&amp;V$83&amp;V$1&amp;"C"&amp;$A123)="N/A",0,RTD("tos.rtd",,$A$2,"."&amp;V$83&amp;V$1&amp;"C"&amp;$A123))-IF(RTD("tos.rtd",,$A$2,"."&amp;V$83&amp;V$1&amp;"P"&amp;$A123)="N/A",0,RTD("tos.rtd",,$A$2,"."&amp;V$83&amp;V$1&amp;"P"&amp;$A123))</f>
        <v>0</v>
      </c>
      <c r="W123" s="56">
        <f ca="1">IF(RTD("tos.rtd",,$A$2,"."&amp;W$83&amp;W$1&amp;"C"&amp;$A123)="N/A",0,RTD("tos.rtd",,$A$2,"."&amp;W$83&amp;W$1&amp;"C"&amp;$A123))-IF(RTD("tos.rtd",,$A$2,"."&amp;W$83&amp;W$1&amp;"P"&amp;$A123)="N/A",0,RTD("tos.rtd",,$A$2,"."&amp;W$83&amp;W$1&amp;"P"&amp;$A123))</f>
        <v>0</v>
      </c>
      <c r="X123" s="56">
        <f ca="1">IF(RTD("tos.rtd",,$A$2,"."&amp;X$83&amp;X$1&amp;"C"&amp;$A123)="N/A",0,RTD("tos.rtd",,$A$2,"."&amp;X$83&amp;X$1&amp;"C"&amp;$A123))-IF(RTD("tos.rtd",,$A$2,"."&amp;X$83&amp;X$1&amp;"P"&amp;$A123)="N/A",0,RTD("tos.rtd",,$A$2,"."&amp;X$83&amp;X$1&amp;"P"&amp;$A123))</f>
        <v>0</v>
      </c>
      <c r="Y123" s="63">
        <f t="shared" ca="1" si="13"/>
        <v>-3375</v>
      </c>
    </row>
    <row r="124" spans="1:25" x14ac:dyDescent="0.25">
      <c r="A124" s="58">
        <f>+Hoja1!A123</f>
        <v>6650</v>
      </c>
      <c r="B124" s="56">
        <f ca="1">IF(RTD("tos.rtd",,$A$2,"."&amp;B$83&amp;B$1&amp;"C"&amp;$A124)="N/A",0,RTD("tos.rtd",,$A$2,"."&amp;B$83&amp;B$1&amp;"C"&amp;$A124))-IF(RTD("tos.rtd",,$A$2,"."&amp;B$83&amp;B$1&amp;"P"&amp;$A124)="N/A",0,RTD("tos.rtd",,$A$2,"."&amp;B$83&amp;B$1&amp;"P"&amp;$A124))</f>
        <v>-10888</v>
      </c>
      <c r="C124" s="56">
        <f ca="1">IF(RTD("tos.rtd",,$A$2,"."&amp;C$83&amp;C$1&amp;"C"&amp;$A124)="N/A",0,RTD("tos.rtd",,$A$2,"."&amp;C$83&amp;C$1&amp;"C"&amp;$A124))-IF(RTD("tos.rtd",,$A$2,"."&amp;C$83&amp;C$1&amp;"P"&amp;$A124)="N/A",0,RTD("tos.rtd",,$A$2,"."&amp;C$83&amp;C$1&amp;"P"&amp;$A124))</f>
        <v>-2549</v>
      </c>
      <c r="D124" s="56">
        <f ca="1">IF(RTD("tos.rtd",,$A$2,"."&amp;D$83&amp;D$1&amp;"C"&amp;$A124)="N/A",0,RTD("tos.rtd",,$A$2,"."&amp;D$83&amp;D$1&amp;"C"&amp;$A124))-IF(RTD("tos.rtd",,$A$2,"."&amp;D$83&amp;D$1&amp;"P"&amp;$A124)="N/A",0,RTD("tos.rtd",,$A$2,"."&amp;D$83&amp;D$1&amp;"P"&amp;$A124))</f>
        <v>-713</v>
      </c>
      <c r="E124" s="56">
        <f ca="1">IF(RTD("tos.rtd",,$A$2,"."&amp;E$83&amp;E$1&amp;"C"&amp;$A124)="N/A",0,RTD("tos.rtd",,$A$2,"."&amp;E$83&amp;E$1&amp;"C"&amp;$A124))-IF(RTD("tos.rtd",,$A$2,"."&amp;E$83&amp;E$1&amp;"P"&amp;$A124)="N/A",0,RTD("tos.rtd",,$A$2,"."&amp;E$83&amp;E$1&amp;"P"&amp;$A124))</f>
        <v>-213</v>
      </c>
      <c r="F124" s="56">
        <f ca="1">IF(RTD("tos.rtd",,$A$2,"."&amp;F$83&amp;F$1&amp;"C"&amp;$A124)="N/A",0,RTD("tos.rtd",,$A$2,"."&amp;F$83&amp;F$1&amp;"C"&amp;$A124))-IF(RTD("tos.rtd",,$A$2,"."&amp;F$83&amp;F$1&amp;"P"&amp;$A124)="N/A",0,RTD("tos.rtd",,$A$2,"."&amp;F$83&amp;F$1&amp;"P"&amp;$A124))</f>
        <v>0</v>
      </c>
      <c r="G124" s="56">
        <f ca="1">IF(RTD("tos.rtd",,$A$2,"."&amp;G$83&amp;G$1&amp;"C"&amp;$A124)="N/A",0,RTD("tos.rtd",,$A$2,"."&amp;G$83&amp;G$1&amp;"C"&amp;$A124))-IF(RTD("tos.rtd",,$A$2,"."&amp;G$83&amp;G$1&amp;"P"&amp;$A124)="N/A",0,RTD("tos.rtd",,$A$2,"."&amp;G$83&amp;G$1&amp;"P"&amp;$A124))</f>
        <v>0</v>
      </c>
      <c r="H124" s="56">
        <f ca="1">IF(RTD("tos.rtd",,$A$2,"."&amp;H$83&amp;H$1&amp;"C"&amp;$A124)="N/A",0,RTD("tos.rtd",,$A$2,"."&amp;H$83&amp;H$1&amp;"C"&amp;$A124))-IF(RTD("tos.rtd",,$A$2,"."&amp;H$83&amp;H$1&amp;"P"&amp;$A124)="N/A",0,RTD("tos.rtd",,$A$2,"."&amp;H$83&amp;H$1&amp;"P"&amp;$A124))</f>
        <v>-2253</v>
      </c>
      <c r="I124" s="56">
        <f ca="1">IF(RTD("tos.rtd",,$A$2,"."&amp;I$83&amp;I$1&amp;"C"&amp;$A124)="N/A",0,RTD("tos.rtd",,$A$2,"."&amp;I$83&amp;I$1&amp;"C"&amp;$A124))-IF(RTD("tos.rtd",,$A$2,"."&amp;I$83&amp;I$1&amp;"P"&amp;$A124)="N/A",0,RTD("tos.rtd",,$A$2,"."&amp;I$83&amp;I$1&amp;"P"&amp;$A124))</f>
        <v>-89</v>
      </c>
      <c r="J124" s="56">
        <f ca="1">IF(RTD("tos.rtd",,$A$2,"."&amp;J$83&amp;J$1&amp;"C"&amp;$A124)="N/A",0,RTD("tos.rtd",,$A$2,"."&amp;J$83&amp;J$1&amp;"C"&amp;$A124))-IF(RTD("tos.rtd",,$A$2,"."&amp;J$83&amp;J$1&amp;"P"&amp;$A124)="N/A",0,RTD("tos.rtd",,$A$2,"."&amp;J$83&amp;J$1&amp;"P"&amp;$A124))</f>
        <v>-19</v>
      </c>
      <c r="K124" s="56">
        <f ca="1">IF(RTD("tos.rtd",,$A$2,"."&amp;K$83&amp;K$1&amp;"C"&amp;$A124)="N/A",0,RTD("tos.rtd",,$A$2,"."&amp;K$83&amp;K$1&amp;"C"&amp;$A124))-IF(RTD("tos.rtd",,$A$2,"."&amp;K$83&amp;K$1&amp;"P"&amp;$A124)="N/A",0,RTD("tos.rtd",,$A$2,"."&amp;K$83&amp;K$1&amp;"P"&amp;$A124))</f>
        <v>-63</v>
      </c>
      <c r="L124" s="56">
        <f ca="1">IF(RTD("tos.rtd",,$A$2,"."&amp;L$83&amp;L$1&amp;"C"&amp;$A124)="N/A",0,RTD("tos.rtd",,$A$2,"."&amp;L$83&amp;L$1&amp;"C"&amp;$A124))-IF(RTD("tos.rtd",,$A$2,"."&amp;L$83&amp;L$1&amp;"P"&amp;$A124)="N/A",0,RTD("tos.rtd",,$A$2,"."&amp;L$83&amp;L$1&amp;"P"&amp;$A124))</f>
        <v>0</v>
      </c>
      <c r="M124" s="56">
        <f ca="1">IF(RTD("tos.rtd",,$A$2,"."&amp;M$83&amp;M$1&amp;"C"&amp;$A124)="N/A",0,RTD("tos.rtd",,$A$2,"."&amp;M$83&amp;M$1&amp;"C"&amp;$A124))-IF(RTD("tos.rtd",,$A$2,"."&amp;M$83&amp;M$1&amp;"P"&amp;$A124)="N/A",0,RTD("tos.rtd",,$A$2,"."&amp;M$83&amp;M$1&amp;"P"&amp;$A124))</f>
        <v>0</v>
      </c>
      <c r="N124" s="56">
        <f ca="1">IF(RTD("tos.rtd",,$A$2,"."&amp;N$83&amp;N$1&amp;"C"&amp;$A124)="N/A",0,RTD("tos.rtd",,$A$2,"."&amp;N$83&amp;N$1&amp;"C"&amp;$A124))-IF(RTD("tos.rtd",,$A$2,"."&amp;N$83&amp;N$1&amp;"P"&amp;$A124)="N/A",0,RTD("tos.rtd",,$A$2,"."&amp;N$83&amp;N$1&amp;"P"&amp;$A124))</f>
        <v>0</v>
      </c>
      <c r="O124" s="56">
        <f ca="1">IF(RTD("tos.rtd",,$A$2,"."&amp;O$83&amp;O$1&amp;"C"&amp;$A124)="N/A",0,RTD("tos.rtd",,$A$2,"."&amp;O$83&amp;O$1&amp;"C"&amp;$A124))-IF(RTD("tos.rtd",,$A$2,"."&amp;O$83&amp;O$1&amp;"P"&amp;$A124)="N/A",0,RTD("tos.rtd",,$A$2,"."&amp;O$83&amp;O$1&amp;"P"&amp;$A124))</f>
        <v>0</v>
      </c>
      <c r="P124" s="56">
        <f ca="1">IF(RTD("tos.rtd",,$A$2,"."&amp;P$83&amp;P$1&amp;"C"&amp;$A124)="N/A",0,RTD("tos.rtd",,$A$2,"."&amp;P$83&amp;P$1&amp;"C"&amp;$A124))-IF(RTD("tos.rtd",,$A$2,"."&amp;P$83&amp;P$1&amp;"P"&amp;$A124)="N/A",0,RTD("tos.rtd",,$A$2,"."&amp;P$83&amp;P$1&amp;"P"&amp;$A124))</f>
        <v>-19</v>
      </c>
      <c r="Q124" s="56">
        <f ca="1">IF(RTD("tos.rtd",,$A$2,"."&amp;Q$83&amp;Q$1&amp;"C"&amp;$A124)="N/A",0,RTD("tos.rtd",,$A$2,"."&amp;Q$83&amp;Q$1&amp;"C"&amp;$A124))-IF(RTD("tos.rtd",,$A$2,"."&amp;Q$83&amp;Q$1&amp;"P"&amp;$A124)="N/A",0,RTD("tos.rtd",,$A$2,"."&amp;Q$83&amp;Q$1&amp;"P"&amp;$A124))</f>
        <v>0</v>
      </c>
      <c r="R124" s="56">
        <f ca="1">IF(RTD("tos.rtd",,$A$2,"."&amp;R$83&amp;R$1&amp;"C"&amp;$A124)="N/A",0,RTD("tos.rtd",,$A$2,"."&amp;R$83&amp;R$1&amp;"C"&amp;$A124))-IF(RTD("tos.rtd",,$A$2,"."&amp;R$83&amp;R$1&amp;"P"&amp;$A124)="N/A",0,RTD("tos.rtd",,$A$2,"."&amp;R$83&amp;R$1&amp;"P"&amp;$A124))</f>
        <v>0</v>
      </c>
      <c r="S124" s="56">
        <f ca="1">IF(RTD("tos.rtd",,$A$2,"."&amp;S$83&amp;S$1&amp;"C"&amp;$A124)="N/A",0,RTD("tos.rtd",,$A$2,"."&amp;S$83&amp;S$1&amp;"C"&amp;$A124))-IF(RTD("tos.rtd",,$A$2,"."&amp;S$83&amp;S$1&amp;"P"&amp;$A124)="N/A",0,RTD("tos.rtd",,$A$2,"."&amp;S$83&amp;S$1&amp;"P"&amp;$A124))</f>
        <v>0</v>
      </c>
      <c r="T124" s="56">
        <f ca="1">IF(RTD("tos.rtd",,$A$2,"."&amp;T$83&amp;T$1&amp;"C"&amp;$A124)="N/A",0,RTD("tos.rtd",,$A$2,"."&amp;T$83&amp;T$1&amp;"C"&amp;$A124))-IF(RTD("tos.rtd",,$A$2,"."&amp;T$83&amp;T$1&amp;"P"&amp;$A124)="N/A",0,RTD("tos.rtd",,$A$2,"."&amp;T$83&amp;T$1&amp;"P"&amp;$A124))</f>
        <v>0</v>
      </c>
      <c r="U124" s="56">
        <f ca="1">IF(RTD("tos.rtd",,$A$2,"."&amp;U$83&amp;U$1&amp;"C"&amp;$A124)="N/A",0,RTD("tos.rtd",,$A$2,"."&amp;U$83&amp;U$1&amp;"C"&amp;$A124))-IF(RTD("tos.rtd",,$A$2,"."&amp;U$83&amp;U$1&amp;"P"&amp;$A124)="N/A",0,RTD("tos.rtd",,$A$2,"."&amp;U$83&amp;U$1&amp;"P"&amp;$A124))</f>
        <v>0</v>
      </c>
      <c r="V124" s="56">
        <f ca="1">IF(RTD("tos.rtd",,$A$2,"."&amp;V$83&amp;V$1&amp;"C"&amp;$A124)="N/A",0,RTD("tos.rtd",,$A$2,"."&amp;V$83&amp;V$1&amp;"C"&amp;$A124))-IF(RTD("tos.rtd",,$A$2,"."&amp;V$83&amp;V$1&amp;"P"&amp;$A124)="N/A",0,RTD("tos.rtd",,$A$2,"."&amp;V$83&amp;V$1&amp;"P"&amp;$A124))</f>
        <v>0</v>
      </c>
      <c r="W124" s="56">
        <f ca="1">IF(RTD("tos.rtd",,$A$2,"."&amp;W$83&amp;W$1&amp;"C"&amp;$A124)="N/A",0,RTD("tos.rtd",,$A$2,"."&amp;W$83&amp;W$1&amp;"C"&amp;$A124))-IF(RTD("tos.rtd",,$A$2,"."&amp;W$83&amp;W$1&amp;"P"&amp;$A124)="N/A",0,RTD("tos.rtd",,$A$2,"."&amp;W$83&amp;W$1&amp;"P"&amp;$A124))</f>
        <v>0</v>
      </c>
      <c r="X124" s="56">
        <f ca="1">IF(RTD("tos.rtd",,$A$2,"."&amp;X$83&amp;X$1&amp;"C"&amp;$A124)="N/A",0,RTD("tos.rtd",,$A$2,"."&amp;X$83&amp;X$1&amp;"C"&amp;$A124))-IF(RTD("tos.rtd",,$A$2,"."&amp;X$83&amp;X$1&amp;"P"&amp;$A124)="N/A",0,RTD("tos.rtd",,$A$2,"."&amp;X$83&amp;X$1&amp;"P"&amp;$A124))</f>
        <v>0</v>
      </c>
      <c r="Y124" s="63">
        <f t="shared" ca="1" si="13"/>
        <v>-16806</v>
      </c>
    </row>
    <row r="125" spans="1:25" x14ac:dyDescent="0.25">
      <c r="A125" s="58">
        <f>+Hoja1!A124</f>
        <v>6645</v>
      </c>
      <c r="B125" s="56">
        <f ca="1">IF(RTD("tos.rtd",,$A$2,"."&amp;B$83&amp;B$1&amp;"C"&amp;$A125)="N/A",0,RTD("tos.rtd",,$A$2,"."&amp;B$83&amp;B$1&amp;"C"&amp;$A125))-IF(RTD("tos.rtd",,$A$2,"."&amp;B$83&amp;B$1&amp;"P"&amp;$A125)="N/A",0,RTD("tos.rtd",,$A$2,"."&amp;B$83&amp;B$1&amp;"P"&amp;$A125))</f>
        <v>-5356</v>
      </c>
      <c r="C125" s="56">
        <f ca="1">IF(RTD("tos.rtd",,$A$2,"."&amp;C$83&amp;C$1&amp;"C"&amp;$A125)="N/A",0,RTD("tos.rtd",,$A$2,"."&amp;C$83&amp;C$1&amp;"C"&amp;$A125))-IF(RTD("tos.rtd",,$A$2,"."&amp;C$83&amp;C$1&amp;"P"&amp;$A125)="N/A",0,RTD("tos.rtd",,$A$2,"."&amp;C$83&amp;C$1&amp;"P"&amp;$A125))</f>
        <v>-187</v>
      </c>
      <c r="D125" s="56">
        <f ca="1">IF(RTD("tos.rtd",,$A$2,"."&amp;D$83&amp;D$1&amp;"C"&amp;$A125)="N/A",0,RTD("tos.rtd",,$A$2,"."&amp;D$83&amp;D$1&amp;"C"&amp;$A125))-IF(RTD("tos.rtd",,$A$2,"."&amp;D$83&amp;D$1&amp;"P"&amp;$A125)="N/A",0,RTD("tos.rtd",,$A$2,"."&amp;D$83&amp;D$1&amp;"P"&amp;$A125))</f>
        <v>-96</v>
      </c>
      <c r="E125" s="56">
        <f ca="1">IF(RTD("tos.rtd",,$A$2,"."&amp;E$83&amp;E$1&amp;"C"&amp;$A125)="N/A",0,RTD("tos.rtd",,$A$2,"."&amp;E$83&amp;E$1&amp;"C"&amp;$A125))-IF(RTD("tos.rtd",,$A$2,"."&amp;E$83&amp;E$1&amp;"P"&amp;$A125)="N/A",0,RTD("tos.rtd",,$A$2,"."&amp;E$83&amp;E$1&amp;"P"&amp;$A125))</f>
        <v>535</v>
      </c>
      <c r="F125" s="56">
        <f ca="1">IF(RTD("tos.rtd",,$A$2,"."&amp;F$83&amp;F$1&amp;"C"&amp;$A125)="N/A",0,RTD("tos.rtd",,$A$2,"."&amp;F$83&amp;F$1&amp;"C"&amp;$A125))-IF(RTD("tos.rtd",,$A$2,"."&amp;F$83&amp;F$1&amp;"P"&amp;$A125)="N/A",0,RTD("tos.rtd",,$A$2,"."&amp;F$83&amp;F$1&amp;"P"&amp;$A125))</f>
        <v>0</v>
      </c>
      <c r="G125" s="56">
        <f ca="1">IF(RTD("tos.rtd",,$A$2,"."&amp;G$83&amp;G$1&amp;"C"&amp;$A125)="N/A",0,RTD("tos.rtd",,$A$2,"."&amp;G$83&amp;G$1&amp;"C"&amp;$A125))-IF(RTD("tos.rtd",,$A$2,"."&amp;G$83&amp;G$1&amp;"P"&amp;$A125)="N/A",0,RTD("tos.rtd",,$A$2,"."&amp;G$83&amp;G$1&amp;"P"&amp;$A125))</f>
        <v>0</v>
      </c>
      <c r="H125" s="56">
        <f ca="1">IF(RTD("tos.rtd",,$A$2,"."&amp;H$83&amp;H$1&amp;"C"&amp;$A125)="N/A",0,RTD("tos.rtd",,$A$2,"."&amp;H$83&amp;H$1&amp;"C"&amp;$A125))-IF(RTD("tos.rtd",,$A$2,"."&amp;H$83&amp;H$1&amp;"P"&amp;$A125)="N/A",0,RTD("tos.rtd",,$A$2,"."&amp;H$83&amp;H$1&amp;"P"&amp;$A125))</f>
        <v>-24</v>
      </c>
      <c r="I125" s="56">
        <f ca="1">IF(RTD("tos.rtd",,$A$2,"."&amp;I$83&amp;I$1&amp;"C"&amp;$A125)="N/A",0,RTD("tos.rtd",,$A$2,"."&amp;I$83&amp;I$1&amp;"C"&amp;$A125))-IF(RTD("tos.rtd",,$A$2,"."&amp;I$83&amp;I$1&amp;"P"&amp;$A125)="N/A",0,RTD("tos.rtd",,$A$2,"."&amp;I$83&amp;I$1&amp;"P"&amp;$A125))</f>
        <v>-24</v>
      </c>
      <c r="J125" s="56">
        <f ca="1">IF(RTD("tos.rtd",,$A$2,"."&amp;J$83&amp;J$1&amp;"C"&amp;$A125)="N/A",0,RTD("tos.rtd",,$A$2,"."&amp;J$83&amp;J$1&amp;"C"&amp;$A125))-IF(RTD("tos.rtd",,$A$2,"."&amp;J$83&amp;J$1&amp;"P"&amp;$A125)="N/A",0,RTD("tos.rtd",,$A$2,"."&amp;J$83&amp;J$1&amp;"P"&amp;$A125))</f>
        <v>0</v>
      </c>
      <c r="K125" s="56">
        <f ca="1">IF(RTD("tos.rtd",,$A$2,"."&amp;K$83&amp;K$1&amp;"C"&amp;$A125)="N/A",0,RTD("tos.rtd",,$A$2,"."&amp;K$83&amp;K$1&amp;"C"&amp;$A125))-IF(RTD("tos.rtd",,$A$2,"."&amp;K$83&amp;K$1&amp;"P"&amp;$A125)="N/A",0,RTD("tos.rtd",,$A$2,"."&amp;K$83&amp;K$1&amp;"P"&amp;$A125))</f>
        <v>-19</v>
      </c>
      <c r="L125" s="56">
        <f ca="1">IF(RTD("tos.rtd",,$A$2,"."&amp;L$83&amp;L$1&amp;"C"&amp;$A125)="N/A",0,RTD("tos.rtd",,$A$2,"."&amp;L$83&amp;L$1&amp;"C"&amp;$A125))-IF(RTD("tos.rtd",,$A$2,"."&amp;L$83&amp;L$1&amp;"P"&amp;$A125)="N/A",0,RTD("tos.rtd",,$A$2,"."&amp;L$83&amp;L$1&amp;"P"&amp;$A125))</f>
        <v>0</v>
      </c>
      <c r="M125" s="56">
        <f ca="1">IF(RTD("tos.rtd",,$A$2,"."&amp;M$83&amp;M$1&amp;"C"&amp;$A125)="N/A",0,RTD("tos.rtd",,$A$2,"."&amp;M$83&amp;M$1&amp;"C"&amp;$A125))-IF(RTD("tos.rtd",,$A$2,"."&amp;M$83&amp;M$1&amp;"P"&amp;$A125)="N/A",0,RTD("tos.rtd",,$A$2,"."&amp;M$83&amp;M$1&amp;"P"&amp;$A125))</f>
        <v>0</v>
      </c>
      <c r="N125" s="56">
        <f ca="1">IF(RTD("tos.rtd",,$A$2,"."&amp;N$83&amp;N$1&amp;"C"&amp;$A125)="N/A",0,RTD("tos.rtd",,$A$2,"."&amp;N$83&amp;N$1&amp;"C"&amp;$A125))-IF(RTD("tos.rtd",,$A$2,"."&amp;N$83&amp;N$1&amp;"P"&amp;$A125)="N/A",0,RTD("tos.rtd",,$A$2,"."&amp;N$83&amp;N$1&amp;"P"&amp;$A125))</f>
        <v>0</v>
      </c>
      <c r="O125" s="56">
        <f ca="1">IF(RTD("tos.rtd",,$A$2,"."&amp;O$83&amp;O$1&amp;"C"&amp;$A125)="N/A",0,RTD("tos.rtd",,$A$2,"."&amp;O$83&amp;O$1&amp;"C"&amp;$A125))-IF(RTD("tos.rtd",,$A$2,"."&amp;O$83&amp;O$1&amp;"P"&amp;$A125)="N/A",0,RTD("tos.rtd",,$A$2,"."&amp;O$83&amp;O$1&amp;"P"&amp;$A125))</f>
        <v>0</v>
      </c>
      <c r="P125" s="56">
        <f ca="1">IF(RTD("tos.rtd",,$A$2,"."&amp;P$83&amp;P$1&amp;"C"&amp;$A125)="N/A",0,RTD("tos.rtd",,$A$2,"."&amp;P$83&amp;P$1&amp;"C"&amp;$A125))-IF(RTD("tos.rtd",,$A$2,"."&amp;P$83&amp;P$1&amp;"P"&amp;$A125)="N/A",0,RTD("tos.rtd",,$A$2,"."&amp;P$83&amp;P$1&amp;"P"&amp;$A125))</f>
        <v>0</v>
      </c>
      <c r="Q125" s="56">
        <f ca="1">IF(RTD("tos.rtd",,$A$2,"."&amp;Q$83&amp;Q$1&amp;"C"&amp;$A125)="N/A",0,RTD("tos.rtd",,$A$2,"."&amp;Q$83&amp;Q$1&amp;"C"&amp;$A125))-IF(RTD("tos.rtd",,$A$2,"."&amp;Q$83&amp;Q$1&amp;"P"&amp;$A125)="N/A",0,RTD("tos.rtd",,$A$2,"."&amp;Q$83&amp;Q$1&amp;"P"&amp;$A125))</f>
        <v>0</v>
      </c>
      <c r="R125" s="56">
        <f ca="1">IF(RTD("tos.rtd",,$A$2,"."&amp;R$83&amp;R$1&amp;"C"&amp;$A125)="N/A",0,RTD("tos.rtd",,$A$2,"."&amp;R$83&amp;R$1&amp;"C"&amp;$A125))-IF(RTD("tos.rtd",,$A$2,"."&amp;R$83&amp;R$1&amp;"P"&amp;$A125)="N/A",0,RTD("tos.rtd",,$A$2,"."&amp;R$83&amp;R$1&amp;"P"&amp;$A125))</f>
        <v>0</v>
      </c>
      <c r="S125" s="56">
        <f ca="1">IF(RTD("tos.rtd",,$A$2,"."&amp;S$83&amp;S$1&amp;"C"&amp;$A125)="N/A",0,RTD("tos.rtd",,$A$2,"."&amp;S$83&amp;S$1&amp;"C"&amp;$A125))-IF(RTD("tos.rtd",,$A$2,"."&amp;S$83&amp;S$1&amp;"P"&amp;$A125)="N/A",0,RTD("tos.rtd",,$A$2,"."&amp;S$83&amp;S$1&amp;"P"&amp;$A125))</f>
        <v>0</v>
      </c>
      <c r="T125" s="56">
        <f ca="1">IF(RTD("tos.rtd",,$A$2,"."&amp;T$83&amp;T$1&amp;"C"&amp;$A125)="N/A",0,RTD("tos.rtd",,$A$2,"."&amp;T$83&amp;T$1&amp;"C"&amp;$A125))-IF(RTD("tos.rtd",,$A$2,"."&amp;T$83&amp;T$1&amp;"P"&amp;$A125)="N/A",0,RTD("tos.rtd",,$A$2,"."&amp;T$83&amp;T$1&amp;"P"&amp;$A125))</f>
        <v>0</v>
      </c>
      <c r="U125" s="56">
        <f ca="1">IF(RTD("tos.rtd",,$A$2,"."&amp;U$83&amp;U$1&amp;"C"&amp;$A125)="N/A",0,RTD("tos.rtd",,$A$2,"."&amp;U$83&amp;U$1&amp;"C"&amp;$A125))-IF(RTD("tos.rtd",,$A$2,"."&amp;U$83&amp;U$1&amp;"P"&amp;$A125)="N/A",0,RTD("tos.rtd",,$A$2,"."&amp;U$83&amp;U$1&amp;"P"&amp;$A125))</f>
        <v>0</v>
      </c>
      <c r="V125" s="56">
        <f ca="1">IF(RTD("tos.rtd",,$A$2,"."&amp;V$83&amp;V$1&amp;"C"&amp;$A125)="N/A",0,RTD("tos.rtd",,$A$2,"."&amp;V$83&amp;V$1&amp;"C"&amp;$A125))-IF(RTD("tos.rtd",,$A$2,"."&amp;V$83&amp;V$1&amp;"P"&amp;$A125)="N/A",0,RTD("tos.rtd",,$A$2,"."&amp;V$83&amp;V$1&amp;"P"&amp;$A125))</f>
        <v>0</v>
      </c>
      <c r="W125" s="56">
        <f ca="1">IF(RTD("tos.rtd",,$A$2,"."&amp;W$83&amp;W$1&amp;"C"&amp;$A125)="N/A",0,RTD("tos.rtd",,$A$2,"."&amp;W$83&amp;W$1&amp;"C"&amp;$A125))-IF(RTD("tos.rtd",,$A$2,"."&amp;W$83&amp;W$1&amp;"P"&amp;$A125)="N/A",0,RTD("tos.rtd",,$A$2,"."&amp;W$83&amp;W$1&amp;"P"&amp;$A125))</f>
        <v>0</v>
      </c>
      <c r="X125" s="56">
        <f ca="1">IF(RTD("tos.rtd",,$A$2,"."&amp;X$83&amp;X$1&amp;"C"&amp;$A125)="N/A",0,RTD("tos.rtd",,$A$2,"."&amp;X$83&amp;X$1&amp;"C"&amp;$A125))-IF(RTD("tos.rtd",,$A$2,"."&amp;X$83&amp;X$1&amp;"P"&amp;$A125)="N/A",0,RTD("tos.rtd",,$A$2,"."&amp;X$83&amp;X$1&amp;"P"&amp;$A125))</f>
        <v>0</v>
      </c>
      <c r="Y125" s="63">
        <f t="shared" ca="1" si="13"/>
        <v>-5171</v>
      </c>
    </row>
    <row r="126" spans="1:25" x14ac:dyDescent="0.25">
      <c r="A126" s="58">
        <f>+Hoja1!A125</f>
        <v>6640</v>
      </c>
      <c r="B126" s="56">
        <f ca="1">IF(RTD("tos.rtd",,$A$2,"."&amp;B$83&amp;B$1&amp;"C"&amp;$A126)="N/A",0,RTD("tos.rtd",,$A$2,"."&amp;B$83&amp;B$1&amp;"C"&amp;$A126))-IF(RTD("tos.rtd",,$A$2,"."&amp;B$83&amp;B$1&amp;"P"&amp;$A126)="N/A",0,RTD("tos.rtd",,$A$2,"."&amp;B$83&amp;B$1&amp;"P"&amp;$A126))</f>
        <v>-5792</v>
      </c>
      <c r="C126" s="56">
        <f ca="1">IF(RTD("tos.rtd",,$A$2,"."&amp;C$83&amp;C$1&amp;"C"&amp;$A126)="N/A",0,RTD("tos.rtd",,$A$2,"."&amp;C$83&amp;C$1&amp;"C"&amp;$A126))-IF(RTD("tos.rtd",,$A$2,"."&amp;C$83&amp;C$1&amp;"P"&amp;$A126)="N/A",0,RTD("tos.rtd",,$A$2,"."&amp;C$83&amp;C$1&amp;"P"&amp;$A126))</f>
        <v>-464</v>
      </c>
      <c r="D126" s="56">
        <f ca="1">IF(RTD("tos.rtd",,$A$2,"."&amp;D$83&amp;D$1&amp;"C"&amp;$A126)="N/A",0,RTD("tos.rtd",,$A$2,"."&amp;D$83&amp;D$1&amp;"C"&amp;$A126))-IF(RTD("tos.rtd",,$A$2,"."&amp;D$83&amp;D$1&amp;"P"&amp;$A126)="N/A",0,RTD("tos.rtd",,$A$2,"."&amp;D$83&amp;D$1&amp;"P"&amp;$A126))</f>
        <v>-123</v>
      </c>
      <c r="E126" s="56">
        <f ca="1">IF(RTD("tos.rtd",,$A$2,"."&amp;E$83&amp;E$1&amp;"C"&amp;$A126)="N/A",0,RTD("tos.rtd",,$A$2,"."&amp;E$83&amp;E$1&amp;"C"&amp;$A126))-IF(RTD("tos.rtd",,$A$2,"."&amp;E$83&amp;E$1&amp;"P"&amp;$A126)="N/A",0,RTD("tos.rtd",,$A$2,"."&amp;E$83&amp;E$1&amp;"P"&amp;$A126))</f>
        <v>-190</v>
      </c>
      <c r="F126" s="56">
        <f ca="1">IF(RTD("tos.rtd",,$A$2,"."&amp;F$83&amp;F$1&amp;"C"&amp;$A126)="N/A",0,RTD("tos.rtd",,$A$2,"."&amp;F$83&amp;F$1&amp;"C"&amp;$A126))-IF(RTD("tos.rtd",,$A$2,"."&amp;F$83&amp;F$1&amp;"P"&amp;$A126)="N/A",0,RTD("tos.rtd",,$A$2,"."&amp;F$83&amp;F$1&amp;"P"&amp;$A126))</f>
        <v>0</v>
      </c>
      <c r="G126" s="56">
        <f ca="1">IF(RTD("tos.rtd",,$A$2,"."&amp;G$83&amp;G$1&amp;"C"&amp;$A126)="N/A",0,RTD("tos.rtd",,$A$2,"."&amp;G$83&amp;G$1&amp;"C"&amp;$A126))-IF(RTD("tos.rtd",,$A$2,"."&amp;G$83&amp;G$1&amp;"P"&amp;$A126)="N/A",0,RTD("tos.rtd",,$A$2,"."&amp;G$83&amp;G$1&amp;"P"&amp;$A126))</f>
        <v>0</v>
      </c>
      <c r="H126" s="56">
        <f ca="1">IF(RTD("tos.rtd",,$A$2,"."&amp;H$83&amp;H$1&amp;"C"&amp;$A126)="N/A",0,RTD("tos.rtd",,$A$2,"."&amp;H$83&amp;H$1&amp;"C"&amp;$A126))-IF(RTD("tos.rtd",,$A$2,"."&amp;H$83&amp;H$1&amp;"P"&amp;$A126)="N/A",0,RTD("tos.rtd",,$A$2,"."&amp;H$83&amp;H$1&amp;"P"&amp;$A126))</f>
        <v>-33</v>
      </c>
      <c r="I126" s="56">
        <f ca="1">IF(RTD("tos.rtd",,$A$2,"."&amp;I$83&amp;I$1&amp;"C"&amp;$A126)="N/A",0,RTD("tos.rtd",,$A$2,"."&amp;I$83&amp;I$1&amp;"C"&amp;$A126))-IF(RTD("tos.rtd",,$A$2,"."&amp;I$83&amp;I$1&amp;"P"&amp;$A126)="N/A",0,RTD("tos.rtd",,$A$2,"."&amp;I$83&amp;I$1&amp;"P"&amp;$A126))</f>
        <v>-28</v>
      </c>
      <c r="J126" s="56">
        <f ca="1">IF(RTD("tos.rtd",,$A$2,"."&amp;J$83&amp;J$1&amp;"C"&amp;$A126)="N/A",0,RTD("tos.rtd",,$A$2,"."&amp;J$83&amp;J$1&amp;"C"&amp;$A126))-IF(RTD("tos.rtd",,$A$2,"."&amp;J$83&amp;J$1&amp;"P"&amp;$A126)="N/A",0,RTD("tos.rtd",,$A$2,"."&amp;J$83&amp;J$1&amp;"P"&amp;$A126))</f>
        <v>-64</v>
      </c>
      <c r="K126" s="56">
        <f ca="1">IF(RTD("tos.rtd",,$A$2,"."&amp;K$83&amp;K$1&amp;"C"&amp;$A126)="N/A",0,RTD("tos.rtd",,$A$2,"."&amp;K$83&amp;K$1&amp;"C"&amp;$A126))-IF(RTD("tos.rtd",,$A$2,"."&amp;K$83&amp;K$1&amp;"P"&amp;$A126)="N/A",0,RTD("tos.rtd",,$A$2,"."&amp;K$83&amp;K$1&amp;"P"&amp;$A126))</f>
        <v>1</v>
      </c>
      <c r="L126" s="56">
        <f ca="1">IF(RTD("tos.rtd",,$A$2,"."&amp;L$83&amp;L$1&amp;"C"&amp;$A126)="N/A",0,RTD("tos.rtd",,$A$2,"."&amp;L$83&amp;L$1&amp;"C"&amp;$A126))-IF(RTD("tos.rtd",,$A$2,"."&amp;L$83&amp;L$1&amp;"P"&amp;$A126)="N/A",0,RTD("tos.rtd",,$A$2,"."&amp;L$83&amp;L$1&amp;"P"&amp;$A126))</f>
        <v>0</v>
      </c>
      <c r="M126" s="56">
        <f ca="1">IF(RTD("tos.rtd",,$A$2,"."&amp;M$83&amp;M$1&amp;"C"&amp;$A126)="N/A",0,RTD("tos.rtd",,$A$2,"."&amp;M$83&amp;M$1&amp;"C"&amp;$A126))-IF(RTD("tos.rtd",,$A$2,"."&amp;M$83&amp;M$1&amp;"P"&amp;$A126)="N/A",0,RTD("tos.rtd",,$A$2,"."&amp;M$83&amp;M$1&amp;"P"&amp;$A126))</f>
        <v>0</v>
      </c>
      <c r="N126" s="56">
        <f ca="1">IF(RTD("tos.rtd",,$A$2,"."&amp;N$83&amp;N$1&amp;"C"&amp;$A126)="N/A",0,RTD("tos.rtd",,$A$2,"."&amp;N$83&amp;N$1&amp;"C"&amp;$A126))-IF(RTD("tos.rtd",,$A$2,"."&amp;N$83&amp;N$1&amp;"P"&amp;$A126)="N/A",0,RTD("tos.rtd",,$A$2,"."&amp;N$83&amp;N$1&amp;"P"&amp;$A126))</f>
        <v>0</v>
      </c>
      <c r="O126" s="56">
        <f ca="1">IF(RTD("tos.rtd",,$A$2,"."&amp;O$83&amp;O$1&amp;"C"&amp;$A126)="N/A",0,RTD("tos.rtd",,$A$2,"."&amp;O$83&amp;O$1&amp;"C"&amp;$A126))-IF(RTD("tos.rtd",,$A$2,"."&amp;O$83&amp;O$1&amp;"P"&amp;$A126)="N/A",0,RTD("tos.rtd",,$A$2,"."&amp;O$83&amp;O$1&amp;"P"&amp;$A126))</f>
        <v>0</v>
      </c>
      <c r="P126" s="56">
        <f ca="1">IF(RTD("tos.rtd",,$A$2,"."&amp;P$83&amp;P$1&amp;"C"&amp;$A126)="N/A",0,RTD("tos.rtd",,$A$2,"."&amp;P$83&amp;P$1&amp;"C"&amp;$A126))-IF(RTD("tos.rtd",,$A$2,"."&amp;P$83&amp;P$1&amp;"P"&amp;$A126)="N/A",0,RTD("tos.rtd",,$A$2,"."&amp;P$83&amp;P$1&amp;"P"&amp;$A126))</f>
        <v>-3</v>
      </c>
      <c r="Q126" s="56">
        <f ca="1">IF(RTD("tos.rtd",,$A$2,"."&amp;Q$83&amp;Q$1&amp;"C"&amp;$A126)="N/A",0,RTD("tos.rtd",,$A$2,"."&amp;Q$83&amp;Q$1&amp;"C"&amp;$A126))-IF(RTD("tos.rtd",,$A$2,"."&amp;Q$83&amp;Q$1&amp;"P"&amp;$A126)="N/A",0,RTD("tos.rtd",,$A$2,"."&amp;Q$83&amp;Q$1&amp;"P"&amp;$A126))</f>
        <v>0</v>
      </c>
      <c r="R126" s="56">
        <f ca="1">IF(RTD("tos.rtd",,$A$2,"."&amp;R$83&amp;R$1&amp;"C"&amp;$A126)="N/A",0,RTD("tos.rtd",,$A$2,"."&amp;R$83&amp;R$1&amp;"C"&amp;$A126))-IF(RTD("tos.rtd",,$A$2,"."&amp;R$83&amp;R$1&amp;"P"&amp;$A126)="N/A",0,RTD("tos.rtd",,$A$2,"."&amp;R$83&amp;R$1&amp;"P"&amp;$A126))</f>
        <v>0</v>
      </c>
      <c r="S126" s="56">
        <f ca="1">IF(RTD("tos.rtd",,$A$2,"."&amp;S$83&amp;S$1&amp;"C"&amp;$A126)="N/A",0,RTD("tos.rtd",,$A$2,"."&amp;S$83&amp;S$1&amp;"C"&amp;$A126))-IF(RTD("tos.rtd",,$A$2,"."&amp;S$83&amp;S$1&amp;"P"&amp;$A126)="N/A",0,RTD("tos.rtd",,$A$2,"."&amp;S$83&amp;S$1&amp;"P"&amp;$A126))</f>
        <v>0</v>
      </c>
      <c r="T126" s="56">
        <f ca="1">IF(RTD("tos.rtd",,$A$2,"."&amp;T$83&amp;T$1&amp;"C"&amp;$A126)="N/A",0,RTD("tos.rtd",,$A$2,"."&amp;T$83&amp;T$1&amp;"C"&amp;$A126))-IF(RTD("tos.rtd",,$A$2,"."&amp;T$83&amp;T$1&amp;"P"&amp;$A126)="N/A",0,RTD("tos.rtd",,$A$2,"."&amp;T$83&amp;T$1&amp;"P"&amp;$A126))</f>
        <v>0</v>
      </c>
      <c r="U126" s="56">
        <f ca="1">IF(RTD("tos.rtd",,$A$2,"."&amp;U$83&amp;U$1&amp;"C"&amp;$A126)="N/A",0,RTD("tos.rtd",,$A$2,"."&amp;U$83&amp;U$1&amp;"C"&amp;$A126))-IF(RTD("tos.rtd",,$A$2,"."&amp;U$83&amp;U$1&amp;"P"&amp;$A126)="N/A",0,RTD("tos.rtd",,$A$2,"."&amp;U$83&amp;U$1&amp;"P"&amp;$A126))</f>
        <v>0</v>
      </c>
      <c r="V126" s="56">
        <f ca="1">IF(RTD("tos.rtd",,$A$2,"."&amp;V$83&amp;V$1&amp;"C"&amp;$A126)="N/A",0,RTD("tos.rtd",,$A$2,"."&amp;V$83&amp;V$1&amp;"C"&amp;$A126))-IF(RTD("tos.rtd",,$A$2,"."&amp;V$83&amp;V$1&amp;"P"&amp;$A126)="N/A",0,RTD("tos.rtd",,$A$2,"."&amp;V$83&amp;V$1&amp;"P"&amp;$A126))</f>
        <v>0</v>
      </c>
      <c r="W126" s="56">
        <f ca="1">IF(RTD("tos.rtd",,$A$2,"."&amp;W$83&amp;W$1&amp;"C"&amp;$A126)="N/A",0,RTD("tos.rtd",,$A$2,"."&amp;W$83&amp;W$1&amp;"C"&amp;$A126))-IF(RTD("tos.rtd",,$A$2,"."&amp;W$83&amp;W$1&amp;"P"&amp;$A126)="N/A",0,RTD("tos.rtd",,$A$2,"."&amp;W$83&amp;W$1&amp;"P"&amp;$A126))</f>
        <v>0</v>
      </c>
      <c r="X126" s="56">
        <f ca="1">IF(RTD("tos.rtd",,$A$2,"."&amp;X$83&amp;X$1&amp;"C"&amp;$A126)="N/A",0,RTD("tos.rtd",,$A$2,"."&amp;X$83&amp;X$1&amp;"C"&amp;$A126))-IF(RTD("tos.rtd",,$A$2,"."&amp;X$83&amp;X$1&amp;"P"&amp;$A126)="N/A",0,RTD("tos.rtd",,$A$2,"."&amp;X$83&amp;X$1&amp;"P"&amp;$A126))</f>
        <v>0</v>
      </c>
      <c r="Y126" s="63">
        <f t="shared" ca="1" si="13"/>
        <v>-6696</v>
      </c>
    </row>
    <row r="127" spans="1:25" x14ac:dyDescent="0.25">
      <c r="A127" s="58">
        <f>+Hoja1!A126</f>
        <v>6635</v>
      </c>
      <c r="B127" s="56">
        <f ca="1">IF(RTD("tos.rtd",,$A$2,"."&amp;B$83&amp;B$1&amp;"C"&amp;$A127)="N/A",0,RTD("tos.rtd",,$A$2,"."&amp;B$83&amp;B$1&amp;"C"&amp;$A127))-IF(RTD("tos.rtd",,$A$2,"."&amp;B$83&amp;B$1&amp;"P"&amp;$A127)="N/A",0,RTD("tos.rtd",,$A$2,"."&amp;B$83&amp;B$1&amp;"P"&amp;$A127))</f>
        <v>-4142</v>
      </c>
      <c r="C127" s="56">
        <f ca="1">IF(RTD("tos.rtd",,$A$2,"."&amp;C$83&amp;C$1&amp;"C"&amp;$A127)="N/A",0,RTD("tos.rtd",,$A$2,"."&amp;C$83&amp;C$1&amp;"C"&amp;$A127))-IF(RTD("tos.rtd",,$A$2,"."&amp;C$83&amp;C$1&amp;"P"&amp;$A127)="N/A",0,RTD("tos.rtd",,$A$2,"."&amp;C$83&amp;C$1&amp;"P"&amp;$A127))</f>
        <v>-235</v>
      </c>
      <c r="D127" s="56">
        <f ca="1">IF(RTD("tos.rtd",,$A$2,"."&amp;D$83&amp;D$1&amp;"C"&amp;$A127)="N/A",0,RTD("tos.rtd",,$A$2,"."&amp;D$83&amp;D$1&amp;"C"&amp;$A127))-IF(RTD("tos.rtd",,$A$2,"."&amp;D$83&amp;D$1&amp;"P"&amp;$A127)="N/A",0,RTD("tos.rtd",,$A$2,"."&amp;D$83&amp;D$1&amp;"P"&amp;$A127))</f>
        <v>-108</v>
      </c>
      <c r="E127" s="56">
        <f ca="1">IF(RTD("tos.rtd",,$A$2,"."&amp;E$83&amp;E$1&amp;"C"&amp;$A127)="N/A",0,RTD("tos.rtd",,$A$2,"."&amp;E$83&amp;E$1&amp;"C"&amp;$A127))-IF(RTD("tos.rtd",,$A$2,"."&amp;E$83&amp;E$1&amp;"P"&amp;$A127)="N/A",0,RTD("tos.rtd",,$A$2,"."&amp;E$83&amp;E$1&amp;"P"&amp;$A127))</f>
        <v>-49</v>
      </c>
      <c r="F127" s="56">
        <f ca="1">IF(RTD("tos.rtd",,$A$2,"."&amp;F$83&amp;F$1&amp;"C"&amp;$A127)="N/A",0,RTD("tos.rtd",,$A$2,"."&amp;F$83&amp;F$1&amp;"C"&amp;$A127))-IF(RTD("tos.rtd",,$A$2,"."&amp;F$83&amp;F$1&amp;"P"&amp;$A127)="N/A",0,RTD("tos.rtd",,$A$2,"."&amp;F$83&amp;F$1&amp;"P"&amp;$A127))</f>
        <v>0</v>
      </c>
      <c r="G127" s="56">
        <f ca="1">IF(RTD("tos.rtd",,$A$2,"."&amp;G$83&amp;G$1&amp;"C"&amp;$A127)="N/A",0,RTD("tos.rtd",,$A$2,"."&amp;G$83&amp;G$1&amp;"C"&amp;$A127))-IF(RTD("tos.rtd",,$A$2,"."&amp;G$83&amp;G$1&amp;"P"&amp;$A127)="N/A",0,RTD("tos.rtd",,$A$2,"."&amp;G$83&amp;G$1&amp;"P"&amp;$A127))</f>
        <v>0</v>
      </c>
      <c r="H127" s="56">
        <f ca="1">IF(RTD("tos.rtd",,$A$2,"."&amp;H$83&amp;H$1&amp;"C"&amp;$A127)="N/A",0,RTD("tos.rtd",,$A$2,"."&amp;H$83&amp;H$1&amp;"C"&amp;$A127))-IF(RTD("tos.rtd",,$A$2,"."&amp;H$83&amp;H$1&amp;"P"&amp;$A127)="N/A",0,RTD("tos.rtd",,$A$2,"."&amp;H$83&amp;H$1&amp;"P"&amp;$A127))</f>
        <v>-20</v>
      </c>
      <c r="I127" s="56">
        <f ca="1">IF(RTD("tos.rtd",,$A$2,"."&amp;I$83&amp;I$1&amp;"C"&amp;$A127)="N/A",0,RTD("tos.rtd",,$A$2,"."&amp;I$83&amp;I$1&amp;"C"&amp;$A127))-IF(RTD("tos.rtd",,$A$2,"."&amp;I$83&amp;I$1&amp;"P"&amp;$A127)="N/A",0,RTD("tos.rtd",,$A$2,"."&amp;I$83&amp;I$1&amp;"P"&amp;$A127))</f>
        <v>5</v>
      </c>
      <c r="J127" s="56">
        <f ca="1">IF(RTD("tos.rtd",,$A$2,"."&amp;J$83&amp;J$1&amp;"C"&amp;$A127)="N/A",0,RTD("tos.rtd",,$A$2,"."&amp;J$83&amp;J$1&amp;"C"&amp;$A127))-IF(RTD("tos.rtd",,$A$2,"."&amp;J$83&amp;J$1&amp;"P"&amp;$A127)="N/A",0,RTD("tos.rtd",,$A$2,"."&amp;J$83&amp;J$1&amp;"P"&amp;$A127))</f>
        <v>0</v>
      </c>
      <c r="K127" s="56">
        <f ca="1">IF(RTD("tos.rtd",,$A$2,"."&amp;K$83&amp;K$1&amp;"C"&amp;$A127)="N/A",0,RTD("tos.rtd",,$A$2,"."&amp;K$83&amp;K$1&amp;"C"&amp;$A127))-IF(RTD("tos.rtd",,$A$2,"."&amp;K$83&amp;K$1&amp;"P"&amp;$A127)="N/A",0,RTD("tos.rtd",,$A$2,"."&amp;K$83&amp;K$1&amp;"P"&amp;$A127))</f>
        <v>-32</v>
      </c>
      <c r="L127" s="56">
        <f ca="1">IF(RTD("tos.rtd",,$A$2,"."&amp;L$83&amp;L$1&amp;"C"&amp;$A127)="N/A",0,RTD("tos.rtd",,$A$2,"."&amp;L$83&amp;L$1&amp;"C"&amp;$A127))-IF(RTD("tos.rtd",,$A$2,"."&amp;L$83&amp;L$1&amp;"P"&amp;$A127)="N/A",0,RTD("tos.rtd",,$A$2,"."&amp;L$83&amp;L$1&amp;"P"&amp;$A127))</f>
        <v>0</v>
      </c>
      <c r="M127" s="56">
        <f ca="1">IF(RTD("tos.rtd",,$A$2,"."&amp;M$83&amp;M$1&amp;"C"&amp;$A127)="N/A",0,RTD("tos.rtd",,$A$2,"."&amp;M$83&amp;M$1&amp;"C"&amp;$A127))-IF(RTD("tos.rtd",,$A$2,"."&amp;M$83&amp;M$1&amp;"P"&amp;$A127)="N/A",0,RTD("tos.rtd",,$A$2,"."&amp;M$83&amp;M$1&amp;"P"&amp;$A127))</f>
        <v>0</v>
      </c>
      <c r="N127" s="56">
        <f ca="1">IF(RTD("tos.rtd",,$A$2,"."&amp;N$83&amp;N$1&amp;"C"&amp;$A127)="N/A",0,RTD("tos.rtd",,$A$2,"."&amp;N$83&amp;N$1&amp;"C"&amp;$A127))-IF(RTD("tos.rtd",,$A$2,"."&amp;N$83&amp;N$1&amp;"P"&amp;$A127)="N/A",0,RTD("tos.rtd",,$A$2,"."&amp;N$83&amp;N$1&amp;"P"&amp;$A127))</f>
        <v>0</v>
      </c>
      <c r="O127" s="56">
        <f ca="1">IF(RTD("tos.rtd",,$A$2,"."&amp;O$83&amp;O$1&amp;"C"&amp;$A127)="N/A",0,RTD("tos.rtd",,$A$2,"."&amp;O$83&amp;O$1&amp;"C"&amp;$A127))-IF(RTD("tos.rtd",,$A$2,"."&amp;O$83&amp;O$1&amp;"P"&amp;$A127)="N/A",0,RTD("tos.rtd",,$A$2,"."&amp;O$83&amp;O$1&amp;"P"&amp;$A127))</f>
        <v>0</v>
      </c>
      <c r="P127" s="56">
        <f ca="1">IF(RTD("tos.rtd",,$A$2,"."&amp;P$83&amp;P$1&amp;"C"&amp;$A127)="N/A",0,RTD("tos.rtd",,$A$2,"."&amp;P$83&amp;P$1&amp;"C"&amp;$A127))-IF(RTD("tos.rtd",,$A$2,"."&amp;P$83&amp;P$1&amp;"P"&amp;$A127)="N/A",0,RTD("tos.rtd",,$A$2,"."&amp;P$83&amp;P$1&amp;"P"&amp;$A127))</f>
        <v>0</v>
      </c>
      <c r="Q127" s="56">
        <f ca="1">IF(RTD("tos.rtd",,$A$2,"."&amp;Q$83&amp;Q$1&amp;"C"&amp;$A127)="N/A",0,RTD("tos.rtd",,$A$2,"."&amp;Q$83&amp;Q$1&amp;"C"&amp;$A127))-IF(RTD("tos.rtd",,$A$2,"."&amp;Q$83&amp;Q$1&amp;"P"&amp;$A127)="N/A",0,RTD("tos.rtd",,$A$2,"."&amp;Q$83&amp;Q$1&amp;"P"&amp;$A127))</f>
        <v>0</v>
      </c>
      <c r="R127" s="56">
        <f ca="1">IF(RTD("tos.rtd",,$A$2,"."&amp;R$83&amp;R$1&amp;"C"&amp;$A127)="N/A",0,RTD("tos.rtd",,$A$2,"."&amp;R$83&amp;R$1&amp;"C"&amp;$A127))-IF(RTD("tos.rtd",,$A$2,"."&amp;R$83&amp;R$1&amp;"P"&amp;$A127)="N/A",0,RTD("tos.rtd",,$A$2,"."&amp;R$83&amp;R$1&amp;"P"&amp;$A127))</f>
        <v>0</v>
      </c>
      <c r="S127" s="56">
        <f ca="1">IF(RTD("tos.rtd",,$A$2,"."&amp;S$83&amp;S$1&amp;"C"&amp;$A127)="N/A",0,RTD("tos.rtd",,$A$2,"."&amp;S$83&amp;S$1&amp;"C"&amp;$A127))-IF(RTD("tos.rtd",,$A$2,"."&amp;S$83&amp;S$1&amp;"P"&amp;$A127)="N/A",0,RTD("tos.rtd",,$A$2,"."&amp;S$83&amp;S$1&amp;"P"&amp;$A127))</f>
        <v>0</v>
      </c>
      <c r="T127" s="56">
        <f ca="1">IF(RTD("tos.rtd",,$A$2,"."&amp;T$83&amp;T$1&amp;"C"&amp;$A127)="N/A",0,RTD("tos.rtd",,$A$2,"."&amp;T$83&amp;T$1&amp;"C"&amp;$A127))-IF(RTD("tos.rtd",,$A$2,"."&amp;T$83&amp;T$1&amp;"P"&amp;$A127)="N/A",0,RTD("tos.rtd",,$A$2,"."&amp;T$83&amp;T$1&amp;"P"&amp;$A127))</f>
        <v>0</v>
      </c>
      <c r="U127" s="56">
        <f ca="1">IF(RTD("tos.rtd",,$A$2,"."&amp;U$83&amp;U$1&amp;"C"&amp;$A127)="N/A",0,RTD("tos.rtd",,$A$2,"."&amp;U$83&amp;U$1&amp;"C"&amp;$A127))-IF(RTD("tos.rtd",,$A$2,"."&amp;U$83&amp;U$1&amp;"P"&amp;$A127)="N/A",0,RTD("tos.rtd",,$A$2,"."&amp;U$83&amp;U$1&amp;"P"&amp;$A127))</f>
        <v>0</v>
      </c>
      <c r="V127" s="56">
        <f ca="1">IF(RTD("tos.rtd",,$A$2,"."&amp;V$83&amp;V$1&amp;"C"&amp;$A127)="N/A",0,RTD("tos.rtd",,$A$2,"."&amp;V$83&amp;V$1&amp;"C"&amp;$A127))-IF(RTD("tos.rtd",,$A$2,"."&amp;V$83&amp;V$1&amp;"P"&amp;$A127)="N/A",0,RTD("tos.rtd",,$A$2,"."&amp;V$83&amp;V$1&amp;"P"&amp;$A127))</f>
        <v>0</v>
      </c>
      <c r="W127" s="56">
        <f ca="1">IF(RTD("tos.rtd",,$A$2,"."&amp;W$83&amp;W$1&amp;"C"&amp;$A127)="N/A",0,RTD("tos.rtd",,$A$2,"."&amp;W$83&amp;W$1&amp;"C"&amp;$A127))-IF(RTD("tos.rtd",,$A$2,"."&amp;W$83&amp;W$1&amp;"P"&amp;$A127)="N/A",0,RTD("tos.rtd",,$A$2,"."&amp;W$83&amp;W$1&amp;"P"&amp;$A127))</f>
        <v>0</v>
      </c>
      <c r="X127" s="56">
        <f ca="1">IF(RTD("tos.rtd",,$A$2,"."&amp;X$83&amp;X$1&amp;"C"&amp;$A127)="N/A",0,RTD("tos.rtd",,$A$2,"."&amp;X$83&amp;X$1&amp;"C"&amp;$A127))-IF(RTD("tos.rtd",,$A$2,"."&amp;X$83&amp;X$1&amp;"P"&amp;$A127)="N/A",0,RTD("tos.rtd",,$A$2,"."&amp;X$83&amp;X$1&amp;"P"&amp;$A127))</f>
        <v>0</v>
      </c>
      <c r="Y127" s="63">
        <f t="shared" ca="1" si="13"/>
        <v>-4581</v>
      </c>
    </row>
    <row r="128" spans="1:25" x14ac:dyDescent="0.25">
      <c r="A128" s="58">
        <f>+Hoja1!A127</f>
        <v>6630</v>
      </c>
      <c r="B128" s="56">
        <f ca="1">IF(RTD("tos.rtd",,$A$2,"."&amp;B$83&amp;B$1&amp;"C"&amp;$A128)="N/A",0,RTD("tos.rtd",,$A$2,"."&amp;B$83&amp;B$1&amp;"C"&amp;$A128))-IF(RTD("tos.rtd",,$A$2,"."&amp;B$83&amp;B$1&amp;"P"&amp;$A128)="N/A",0,RTD("tos.rtd",,$A$2,"."&amp;B$83&amp;B$1&amp;"P"&amp;$A128))</f>
        <v>-5543</v>
      </c>
      <c r="C128" s="56">
        <f ca="1">IF(RTD("tos.rtd",,$A$2,"."&amp;C$83&amp;C$1&amp;"C"&amp;$A128)="N/A",0,RTD("tos.rtd",,$A$2,"."&amp;C$83&amp;C$1&amp;"C"&amp;$A128))-IF(RTD("tos.rtd",,$A$2,"."&amp;C$83&amp;C$1&amp;"P"&amp;$A128)="N/A",0,RTD("tos.rtd",,$A$2,"."&amp;C$83&amp;C$1&amp;"P"&amp;$A128))</f>
        <v>719</v>
      </c>
      <c r="D128" s="56">
        <f ca="1">IF(RTD("tos.rtd",,$A$2,"."&amp;D$83&amp;D$1&amp;"C"&amp;$A128)="N/A",0,RTD("tos.rtd",,$A$2,"."&amp;D$83&amp;D$1&amp;"C"&amp;$A128))-IF(RTD("tos.rtd",,$A$2,"."&amp;D$83&amp;D$1&amp;"P"&amp;$A128)="N/A",0,RTD("tos.rtd",,$A$2,"."&amp;D$83&amp;D$1&amp;"P"&amp;$A128))</f>
        <v>-337</v>
      </c>
      <c r="E128" s="56">
        <f ca="1">IF(RTD("tos.rtd",,$A$2,"."&amp;E$83&amp;E$1&amp;"C"&amp;$A128)="N/A",0,RTD("tos.rtd",,$A$2,"."&amp;E$83&amp;E$1&amp;"C"&amp;$A128))-IF(RTD("tos.rtd",,$A$2,"."&amp;E$83&amp;E$1&amp;"P"&amp;$A128)="N/A",0,RTD("tos.rtd",,$A$2,"."&amp;E$83&amp;E$1&amp;"P"&amp;$A128))</f>
        <v>-325</v>
      </c>
      <c r="F128" s="56">
        <f ca="1">IF(RTD("tos.rtd",,$A$2,"."&amp;F$83&amp;F$1&amp;"C"&amp;$A128)="N/A",0,RTD("tos.rtd",,$A$2,"."&amp;F$83&amp;F$1&amp;"C"&amp;$A128))-IF(RTD("tos.rtd",,$A$2,"."&amp;F$83&amp;F$1&amp;"P"&amp;$A128)="N/A",0,RTD("tos.rtd",,$A$2,"."&amp;F$83&amp;F$1&amp;"P"&amp;$A128))</f>
        <v>0</v>
      </c>
      <c r="G128" s="56">
        <f ca="1">IF(RTD("tos.rtd",,$A$2,"."&amp;G$83&amp;G$1&amp;"C"&amp;$A128)="N/A",0,RTD("tos.rtd",,$A$2,"."&amp;G$83&amp;G$1&amp;"C"&amp;$A128))-IF(RTD("tos.rtd",,$A$2,"."&amp;G$83&amp;G$1&amp;"P"&amp;$A128)="N/A",0,RTD("tos.rtd",,$A$2,"."&amp;G$83&amp;G$1&amp;"P"&amp;$A128))</f>
        <v>0</v>
      </c>
      <c r="H128" s="56">
        <f ca="1">IF(RTD("tos.rtd",,$A$2,"."&amp;H$83&amp;H$1&amp;"C"&amp;$A128)="N/A",0,RTD("tos.rtd",,$A$2,"."&amp;H$83&amp;H$1&amp;"C"&amp;$A128))-IF(RTD("tos.rtd",,$A$2,"."&amp;H$83&amp;H$1&amp;"P"&amp;$A128)="N/A",0,RTD("tos.rtd",,$A$2,"."&amp;H$83&amp;H$1&amp;"P"&amp;$A128))</f>
        <v>-47</v>
      </c>
      <c r="I128" s="56">
        <f ca="1">IF(RTD("tos.rtd",,$A$2,"."&amp;I$83&amp;I$1&amp;"C"&amp;$A128)="N/A",0,RTD("tos.rtd",,$A$2,"."&amp;I$83&amp;I$1&amp;"C"&amp;$A128))-IF(RTD("tos.rtd",,$A$2,"."&amp;I$83&amp;I$1&amp;"P"&amp;$A128)="N/A",0,RTD("tos.rtd",,$A$2,"."&amp;I$83&amp;I$1&amp;"P"&amp;$A128))</f>
        <v>-11</v>
      </c>
      <c r="J128" s="56">
        <f ca="1">IF(RTD("tos.rtd",,$A$2,"."&amp;J$83&amp;J$1&amp;"C"&amp;$A128)="N/A",0,RTD("tos.rtd",,$A$2,"."&amp;J$83&amp;J$1&amp;"C"&amp;$A128))-IF(RTD("tos.rtd",,$A$2,"."&amp;J$83&amp;J$1&amp;"P"&amp;$A128)="N/A",0,RTD("tos.rtd",,$A$2,"."&amp;J$83&amp;J$1&amp;"P"&amp;$A128))</f>
        <v>0</v>
      </c>
      <c r="K128" s="56">
        <f ca="1">IF(RTD("tos.rtd",,$A$2,"."&amp;K$83&amp;K$1&amp;"C"&amp;$A128)="N/A",0,RTD("tos.rtd",,$A$2,"."&amp;K$83&amp;K$1&amp;"C"&amp;$A128))-IF(RTD("tos.rtd",,$A$2,"."&amp;K$83&amp;K$1&amp;"P"&amp;$A128)="N/A",0,RTD("tos.rtd",,$A$2,"."&amp;K$83&amp;K$1&amp;"P"&amp;$A128))</f>
        <v>-63</v>
      </c>
      <c r="L128" s="56">
        <f ca="1">IF(RTD("tos.rtd",,$A$2,"."&amp;L$83&amp;L$1&amp;"C"&amp;$A128)="N/A",0,RTD("tos.rtd",,$A$2,"."&amp;L$83&amp;L$1&amp;"C"&amp;$A128))-IF(RTD("tos.rtd",,$A$2,"."&amp;L$83&amp;L$1&amp;"P"&amp;$A128)="N/A",0,RTD("tos.rtd",,$A$2,"."&amp;L$83&amp;L$1&amp;"P"&amp;$A128))</f>
        <v>0</v>
      </c>
      <c r="M128" s="56">
        <f ca="1">IF(RTD("tos.rtd",,$A$2,"."&amp;M$83&amp;M$1&amp;"C"&amp;$A128)="N/A",0,RTD("tos.rtd",,$A$2,"."&amp;M$83&amp;M$1&amp;"C"&amp;$A128))-IF(RTD("tos.rtd",,$A$2,"."&amp;M$83&amp;M$1&amp;"P"&amp;$A128)="N/A",0,RTD("tos.rtd",,$A$2,"."&amp;M$83&amp;M$1&amp;"P"&amp;$A128))</f>
        <v>0</v>
      </c>
      <c r="N128" s="56">
        <f ca="1">IF(RTD("tos.rtd",,$A$2,"."&amp;N$83&amp;N$1&amp;"C"&amp;$A128)="N/A",0,RTD("tos.rtd",,$A$2,"."&amp;N$83&amp;N$1&amp;"C"&amp;$A128))-IF(RTD("tos.rtd",,$A$2,"."&amp;N$83&amp;N$1&amp;"P"&amp;$A128)="N/A",0,RTD("tos.rtd",,$A$2,"."&amp;N$83&amp;N$1&amp;"P"&amp;$A128))</f>
        <v>0</v>
      </c>
      <c r="O128" s="56">
        <f ca="1">IF(RTD("tos.rtd",,$A$2,"."&amp;O$83&amp;O$1&amp;"C"&amp;$A128)="N/A",0,RTD("tos.rtd",,$A$2,"."&amp;O$83&amp;O$1&amp;"C"&amp;$A128))-IF(RTD("tos.rtd",,$A$2,"."&amp;O$83&amp;O$1&amp;"P"&amp;$A128)="N/A",0,RTD("tos.rtd",,$A$2,"."&amp;O$83&amp;O$1&amp;"P"&amp;$A128))</f>
        <v>0</v>
      </c>
      <c r="P128" s="56">
        <f ca="1">IF(RTD("tos.rtd",,$A$2,"."&amp;P$83&amp;P$1&amp;"C"&amp;$A128)="N/A",0,RTD("tos.rtd",,$A$2,"."&amp;P$83&amp;P$1&amp;"C"&amp;$A128))-IF(RTD("tos.rtd",,$A$2,"."&amp;P$83&amp;P$1&amp;"P"&amp;$A128)="N/A",0,RTD("tos.rtd",,$A$2,"."&amp;P$83&amp;P$1&amp;"P"&amp;$A128))</f>
        <v>0</v>
      </c>
      <c r="Q128" s="56">
        <f ca="1">IF(RTD("tos.rtd",,$A$2,"."&amp;Q$83&amp;Q$1&amp;"C"&amp;$A128)="N/A",0,RTD("tos.rtd",,$A$2,"."&amp;Q$83&amp;Q$1&amp;"C"&amp;$A128))-IF(RTD("tos.rtd",,$A$2,"."&amp;Q$83&amp;Q$1&amp;"P"&amp;$A128)="N/A",0,RTD("tos.rtd",,$A$2,"."&amp;Q$83&amp;Q$1&amp;"P"&amp;$A128))</f>
        <v>0</v>
      </c>
      <c r="R128" s="56">
        <f ca="1">IF(RTD("tos.rtd",,$A$2,"."&amp;R$83&amp;R$1&amp;"C"&amp;$A128)="N/A",0,RTD("tos.rtd",,$A$2,"."&amp;R$83&amp;R$1&amp;"C"&amp;$A128))-IF(RTD("tos.rtd",,$A$2,"."&amp;R$83&amp;R$1&amp;"P"&amp;$A128)="N/A",0,RTD("tos.rtd",,$A$2,"."&amp;R$83&amp;R$1&amp;"P"&amp;$A128))</f>
        <v>0</v>
      </c>
      <c r="S128" s="56">
        <f ca="1">IF(RTD("tos.rtd",,$A$2,"."&amp;S$83&amp;S$1&amp;"C"&amp;$A128)="N/A",0,RTD("tos.rtd",,$A$2,"."&amp;S$83&amp;S$1&amp;"C"&amp;$A128))-IF(RTD("tos.rtd",,$A$2,"."&amp;S$83&amp;S$1&amp;"P"&amp;$A128)="N/A",0,RTD("tos.rtd",,$A$2,"."&amp;S$83&amp;S$1&amp;"P"&amp;$A128))</f>
        <v>0</v>
      </c>
      <c r="T128" s="56">
        <f ca="1">IF(RTD("tos.rtd",,$A$2,"."&amp;T$83&amp;T$1&amp;"C"&amp;$A128)="N/A",0,RTD("tos.rtd",,$A$2,"."&amp;T$83&amp;T$1&amp;"C"&amp;$A128))-IF(RTD("tos.rtd",,$A$2,"."&amp;T$83&amp;T$1&amp;"P"&amp;$A128)="N/A",0,RTD("tos.rtd",,$A$2,"."&amp;T$83&amp;T$1&amp;"P"&amp;$A128))</f>
        <v>0</v>
      </c>
      <c r="U128" s="56">
        <f ca="1">IF(RTD("tos.rtd",,$A$2,"."&amp;U$83&amp;U$1&amp;"C"&amp;$A128)="N/A",0,RTD("tos.rtd",,$A$2,"."&amp;U$83&amp;U$1&amp;"C"&amp;$A128))-IF(RTD("tos.rtd",,$A$2,"."&amp;U$83&amp;U$1&amp;"P"&amp;$A128)="N/A",0,RTD("tos.rtd",,$A$2,"."&amp;U$83&amp;U$1&amp;"P"&amp;$A128))</f>
        <v>0</v>
      </c>
      <c r="V128" s="56">
        <f ca="1">IF(RTD("tos.rtd",,$A$2,"."&amp;V$83&amp;V$1&amp;"C"&amp;$A128)="N/A",0,RTD("tos.rtd",,$A$2,"."&amp;V$83&amp;V$1&amp;"C"&amp;$A128))-IF(RTD("tos.rtd",,$A$2,"."&amp;V$83&amp;V$1&amp;"P"&amp;$A128)="N/A",0,RTD("tos.rtd",,$A$2,"."&amp;V$83&amp;V$1&amp;"P"&amp;$A128))</f>
        <v>0</v>
      </c>
      <c r="W128" s="56">
        <f ca="1">IF(RTD("tos.rtd",,$A$2,"."&amp;W$83&amp;W$1&amp;"C"&amp;$A128)="N/A",0,RTD("tos.rtd",,$A$2,"."&amp;W$83&amp;W$1&amp;"C"&amp;$A128))-IF(RTD("tos.rtd",,$A$2,"."&amp;W$83&amp;W$1&amp;"P"&amp;$A128)="N/A",0,RTD("tos.rtd",,$A$2,"."&amp;W$83&amp;W$1&amp;"P"&amp;$A128))</f>
        <v>0</v>
      </c>
      <c r="X128" s="56">
        <f ca="1">IF(RTD("tos.rtd",,$A$2,"."&amp;X$83&amp;X$1&amp;"C"&amp;$A128)="N/A",0,RTD("tos.rtd",,$A$2,"."&amp;X$83&amp;X$1&amp;"C"&amp;$A128))-IF(RTD("tos.rtd",,$A$2,"."&amp;X$83&amp;X$1&amp;"P"&amp;$A128)="N/A",0,RTD("tos.rtd",,$A$2,"."&amp;X$83&amp;X$1&amp;"P"&amp;$A128))</f>
        <v>0</v>
      </c>
      <c r="Y128" s="63">
        <f t="shared" ca="1" si="13"/>
        <v>-5607</v>
      </c>
    </row>
    <row r="129" spans="1:27" x14ac:dyDescent="0.25">
      <c r="A129" s="58">
        <f>+Hoja1!A128</f>
        <v>6625</v>
      </c>
      <c r="B129" s="56">
        <f ca="1">IF(RTD("tos.rtd",,$A$2,"."&amp;B$83&amp;B$1&amp;"C"&amp;$A129)="N/A",0,RTD("tos.rtd",,$A$2,"."&amp;B$83&amp;B$1&amp;"C"&amp;$A129))-IF(RTD("tos.rtd",,$A$2,"."&amp;B$83&amp;B$1&amp;"P"&amp;$A129)="N/A",0,RTD("tos.rtd",,$A$2,"."&amp;B$83&amp;B$1&amp;"P"&amp;$A129))</f>
        <v>-7379</v>
      </c>
      <c r="C129" s="56">
        <f ca="1">IF(RTD("tos.rtd",,$A$2,"."&amp;C$83&amp;C$1&amp;"C"&amp;$A129)="N/A",0,RTD("tos.rtd",,$A$2,"."&amp;C$83&amp;C$1&amp;"C"&amp;$A129))-IF(RTD("tos.rtd",,$A$2,"."&amp;C$83&amp;C$1&amp;"P"&amp;$A129)="N/A",0,RTD("tos.rtd",,$A$2,"."&amp;C$83&amp;C$1&amp;"P"&amp;$A129))</f>
        <v>-515</v>
      </c>
      <c r="D129" s="56">
        <f ca="1">IF(RTD("tos.rtd",,$A$2,"."&amp;D$83&amp;D$1&amp;"C"&amp;$A129)="N/A",0,RTD("tos.rtd",,$A$2,"."&amp;D$83&amp;D$1&amp;"C"&amp;$A129))-IF(RTD("tos.rtd",,$A$2,"."&amp;D$83&amp;D$1&amp;"P"&amp;$A129)="N/A",0,RTD("tos.rtd",,$A$2,"."&amp;D$83&amp;D$1&amp;"P"&amp;$A129))</f>
        <v>-272</v>
      </c>
      <c r="E129" s="56">
        <f ca="1">IF(RTD("tos.rtd",,$A$2,"."&amp;E$83&amp;E$1&amp;"C"&amp;$A129)="N/A",0,RTD("tos.rtd",,$A$2,"."&amp;E$83&amp;E$1&amp;"C"&amp;$A129))-IF(RTD("tos.rtd",,$A$2,"."&amp;E$83&amp;E$1&amp;"P"&amp;$A129)="N/A",0,RTD("tos.rtd",,$A$2,"."&amp;E$83&amp;E$1&amp;"P"&amp;$A129))</f>
        <v>-80</v>
      </c>
      <c r="F129" s="56">
        <f ca="1">IF(RTD("tos.rtd",,$A$2,"."&amp;F$83&amp;F$1&amp;"C"&amp;$A129)="N/A",0,RTD("tos.rtd",,$A$2,"."&amp;F$83&amp;F$1&amp;"C"&amp;$A129))-IF(RTD("tos.rtd",,$A$2,"."&amp;F$83&amp;F$1&amp;"P"&amp;$A129)="N/A",0,RTD("tos.rtd",,$A$2,"."&amp;F$83&amp;F$1&amp;"P"&amp;$A129))</f>
        <v>0</v>
      </c>
      <c r="G129" s="56">
        <f ca="1">IF(RTD("tos.rtd",,$A$2,"."&amp;G$83&amp;G$1&amp;"C"&amp;$A129)="N/A",0,RTD("tos.rtd",,$A$2,"."&amp;G$83&amp;G$1&amp;"C"&amp;$A129))-IF(RTD("tos.rtd",,$A$2,"."&amp;G$83&amp;G$1&amp;"P"&amp;$A129)="N/A",0,RTD("tos.rtd",,$A$2,"."&amp;G$83&amp;G$1&amp;"P"&amp;$A129))</f>
        <v>0</v>
      </c>
      <c r="H129" s="56">
        <f ca="1">IF(RTD("tos.rtd",,$A$2,"."&amp;H$83&amp;H$1&amp;"C"&amp;$A129)="N/A",0,RTD("tos.rtd",,$A$2,"."&amp;H$83&amp;H$1&amp;"C"&amp;$A129))-IF(RTD("tos.rtd",,$A$2,"."&amp;H$83&amp;H$1&amp;"P"&amp;$A129)="N/A",0,RTD("tos.rtd",,$A$2,"."&amp;H$83&amp;H$1&amp;"P"&amp;$A129))</f>
        <v>-59</v>
      </c>
      <c r="I129" s="56">
        <f ca="1">IF(RTD("tos.rtd",,$A$2,"."&amp;I$83&amp;I$1&amp;"C"&amp;$A129)="N/A",0,RTD("tos.rtd",,$A$2,"."&amp;I$83&amp;I$1&amp;"C"&amp;$A129))-IF(RTD("tos.rtd",,$A$2,"."&amp;I$83&amp;I$1&amp;"P"&amp;$A129)="N/A",0,RTD("tos.rtd",,$A$2,"."&amp;I$83&amp;I$1&amp;"P"&amp;$A129))</f>
        <v>-139</v>
      </c>
      <c r="J129" s="56">
        <f ca="1">IF(RTD("tos.rtd",,$A$2,"."&amp;J$83&amp;J$1&amp;"C"&amp;$A129)="N/A",0,RTD("tos.rtd",,$A$2,"."&amp;J$83&amp;J$1&amp;"C"&amp;$A129))-IF(RTD("tos.rtd",,$A$2,"."&amp;J$83&amp;J$1&amp;"P"&amp;$A129)="N/A",0,RTD("tos.rtd",,$A$2,"."&amp;J$83&amp;J$1&amp;"P"&amp;$A129))</f>
        <v>-55</v>
      </c>
      <c r="K129" s="56">
        <f ca="1">IF(RTD("tos.rtd",,$A$2,"."&amp;K$83&amp;K$1&amp;"C"&amp;$A129)="N/A",0,RTD("tos.rtd",,$A$2,"."&amp;K$83&amp;K$1&amp;"C"&amp;$A129))-IF(RTD("tos.rtd",,$A$2,"."&amp;K$83&amp;K$1&amp;"P"&amp;$A129)="N/A",0,RTD("tos.rtd",,$A$2,"."&amp;K$83&amp;K$1&amp;"P"&amp;$A129))</f>
        <v>-5</v>
      </c>
      <c r="L129" s="56">
        <f ca="1">IF(RTD("tos.rtd",,$A$2,"."&amp;L$83&amp;L$1&amp;"C"&amp;$A129)="N/A",0,RTD("tos.rtd",,$A$2,"."&amp;L$83&amp;L$1&amp;"C"&amp;$A129))-IF(RTD("tos.rtd",,$A$2,"."&amp;L$83&amp;L$1&amp;"P"&amp;$A129)="N/A",0,RTD("tos.rtd",,$A$2,"."&amp;L$83&amp;L$1&amp;"P"&amp;$A129))</f>
        <v>0</v>
      </c>
      <c r="M129" s="56">
        <f ca="1">IF(RTD("tos.rtd",,$A$2,"."&amp;M$83&amp;M$1&amp;"C"&amp;$A129)="N/A",0,RTD("tos.rtd",,$A$2,"."&amp;M$83&amp;M$1&amp;"C"&amp;$A129))-IF(RTD("tos.rtd",,$A$2,"."&amp;M$83&amp;M$1&amp;"P"&amp;$A129)="N/A",0,RTD("tos.rtd",,$A$2,"."&amp;M$83&amp;M$1&amp;"P"&amp;$A129))</f>
        <v>0</v>
      </c>
      <c r="N129" s="56">
        <f ca="1">IF(RTD("tos.rtd",,$A$2,"."&amp;N$83&amp;N$1&amp;"C"&amp;$A129)="N/A",0,RTD("tos.rtd",,$A$2,"."&amp;N$83&amp;N$1&amp;"C"&amp;$A129))-IF(RTD("tos.rtd",,$A$2,"."&amp;N$83&amp;N$1&amp;"P"&amp;$A129)="N/A",0,RTD("tos.rtd",,$A$2,"."&amp;N$83&amp;N$1&amp;"P"&amp;$A129))</f>
        <v>0</v>
      </c>
      <c r="O129" s="56">
        <f ca="1">IF(RTD("tos.rtd",,$A$2,"."&amp;O$83&amp;O$1&amp;"C"&amp;$A129)="N/A",0,RTD("tos.rtd",,$A$2,"."&amp;O$83&amp;O$1&amp;"C"&amp;$A129))-IF(RTD("tos.rtd",,$A$2,"."&amp;O$83&amp;O$1&amp;"P"&amp;$A129)="N/A",0,RTD("tos.rtd",,$A$2,"."&amp;O$83&amp;O$1&amp;"P"&amp;$A129))</f>
        <v>0</v>
      </c>
      <c r="P129" s="56">
        <f ca="1">IF(RTD("tos.rtd",,$A$2,"."&amp;P$83&amp;P$1&amp;"C"&amp;$A129)="N/A",0,RTD("tos.rtd",,$A$2,"."&amp;P$83&amp;P$1&amp;"C"&amp;$A129))-IF(RTD("tos.rtd",,$A$2,"."&amp;P$83&amp;P$1&amp;"P"&amp;$A129)="N/A",0,RTD("tos.rtd",,$A$2,"."&amp;P$83&amp;P$1&amp;"P"&amp;$A129))</f>
        <v>0</v>
      </c>
      <c r="Q129" s="56">
        <f ca="1">IF(RTD("tos.rtd",,$A$2,"."&amp;Q$83&amp;Q$1&amp;"C"&amp;$A129)="N/A",0,RTD("tos.rtd",,$A$2,"."&amp;Q$83&amp;Q$1&amp;"C"&amp;$A129))-IF(RTD("tos.rtd",,$A$2,"."&amp;Q$83&amp;Q$1&amp;"P"&amp;$A129)="N/A",0,RTD("tos.rtd",,$A$2,"."&amp;Q$83&amp;Q$1&amp;"P"&amp;$A129))</f>
        <v>0</v>
      </c>
      <c r="R129" s="56">
        <f ca="1">IF(RTD("tos.rtd",,$A$2,"."&amp;R$83&amp;R$1&amp;"C"&amp;$A129)="N/A",0,RTD("tos.rtd",,$A$2,"."&amp;R$83&amp;R$1&amp;"C"&amp;$A129))-IF(RTD("tos.rtd",,$A$2,"."&amp;R$83&amp;R$1&amp;"P"&amp;$A129)="N/A",0,RTD("tos.rtd",,$A$2,"."&amp;R$83&amp;R$1&amp;"P"&amp;$A129))</f>
        <v>0</v>
      </c>
      <c r="S129" s="56">
        <f ca="1">IF(RTD("tos.rtd",,$A$2,"."&amp;S$83&amp;S$1&amp;"C"&amp;$A129)="N/A",0,RTD("tos.rtd",,$A$2,"."&amp;S$83&amp;S$1&amp;"C"&amp;$A129))-IF(RTD("tos.rtd",,$A$2,"."&amp;S$83&amp;S$1&amp;"P"&amp;$A129)="N/A",0,RTD("tos.rtd",,$A$2,"."&amp;S$83&amp;S$1&amp;"P"&amp;$A129))</f>
        <v>0</v>
      </c>
      <c r="T129" s="56">
        <f ca="1">IF(RTD("tos.rtd",,$A$2,"."&amp;T$83&amp;T$1&amp;"C"&amp;$A129)="N/A",0,RTD("tos.rtd",,$A$2,"."&amp;T$83&amp;T$1&amp;"C"&amp;$A129))-IF(RTD("tos.rtd",,$A$2,"."&amp;T$83&amp;T$1&amp;"P"&amp;$A129)="N/A",0,RTD("tos.rtd",,$A$2,"."&amp;T$83&amp;T$1&amp;"P"&amp;$A129))</f>
        <v>0</v>
      </c>
      <c r="U129" s="56">
        <f ca="1">IF(RTD("tos.rtd",,$A$2,"."&amp;U$83&amp;U$1&amp;"C"&amp;$A129)="N/A",0,RTD("tos.rtd",,$A$2,"."&amp;U$83&amp;U$1&amp;"C"&amp;$A129))-IF(RTD("tos.rtd",,$A$2,"."&amp;U$83&amp;U$1&amp;"P"&amp;$A129)="N/A",0,RTD("tos.rtd",,$A$2,"."&amp;U$83&amp;U$1&amp;"P"&amp;$A129))</f>
        <v>0</v>
      </c>
      <c r="V129" s="56">
        <f ca="1">IF(RTD("tos.rtd",,$A$2,"."&amp;V$83&amp;V$1&amp;"C"&amp;$A129)="N/A",0,RTD("tos.rtd",,$A$2,"."&amp;V$83&amp;V$1&amp;"C"&amp;$A129))-IF(RTD("tos.rtd",,$A$2,"."&amp;V$83&amp;V$1&amp;"P"&amp;$A129)="N/A",0,RTD("tos.rtd",,$A$2,"."&amp;V$83&amp;V$1&amp;"P"&amp;$A129))</f>
        <v>0</v>
      </c>
      <c r="W129" s="56">
        <f ca="1">IF(RTD("tos.rtd",,$A$2,"."&amp;W$83&amp;W$1&amp;"C"&amp;$A129)="N/A",0,RTD("tos.rtd",,$A$2,"."&amp;W$83&amp;W$1&amp;"C"&amp;$A129))-IF(RTD("tos.rtd",,$A$2,"."&amp;W$83&amp;W$1&amp;"P"&amp;$A129)="N/A",0,RTD("tos.rtd",,$A$2,"."&amp;W$83&amp;W$1&amp;"P"&amp;$A129))</f>
        <v>0</v>
      </c>
      <c r="X129" s="56">
        <f ca="1">IF(RTD("tos.rtd",,$A$2,"."&amp;X$83&amp;X$1&amp;"C"&amp;$A129)="N/A",0,RTD("tos.rtd",,$A$2,"."&amp;X$83&amp;X$1&amp;"C"&amp;$A129))-IF(RTD("tos.rtd",,$A$2,"."&amp;X$83&amp;X$1&amp;"P"&amp;$A129)="N/A",0,RTD("tos.rtd",,$A$2,"."&amp;X$83&amp;X$1&amp;"P"&amp;$A129))</f>
        <v>0</v>
      </c>
      <c r="Y129" s="63">
        <f t="shared" ca="1" si="13"/>
        <v>-8504</v>
      </c>
    </row>
    <row r="130" spans="1:27" x14ac:dyDescent="0.25">
      <c r="A130" s="58">
        <f>+Hoja1!A129</f>
        <v>6620</v>
      </c>
      <c r="B130" s="56">
        <f ca="1">IF(RTD("tos.rtd",,$A$2,"."&amp;B$83&amp;B$1&amp;"C"&amp;$A130)="N/A",0,RTD("tos.rtd",,$A$2,"."&amp;B$83&amp;B$1&amp;"C"&amp;$A130))-IF(RTD("tos.rtd",,$A$2,"."&amp;B$83&amp;B$1&amp;"P"&amp;$A130)="N/A",0,RTD("tos.rtd",,$A$2,"."&amp;B$83&amp;B$1&amp;"P"&amp;$A130))</f>
        <v>-7692</v>
      </c>
      <c r="C130" s="56">
        <f ca="1">IF(RTD("tos.rtd",,$A$2,"."&amp;C$83&amp;C$1&amp;"C"&amp;$A130)="N/A",0,RTD("tos.rtd",,$A$2,"."&amp;C$83&amp;C$1&amp;"C"&amp;$A130))-IF(RTD("tos.rtd",,$A$2,"."&amp;C$83&amp;C$1&amp;"P"&amp;$A130)="N/A",0,RTD("tos.rtd",,$A$2,"."&amp;C$83&amp;C$1&amp;"P"&amp;$A130))</f>
        <v>-292</v>
      </c>
      <c r="D130" s="56">
        <f ca="1">IF(RTD("tos.rtd",,$A$2,"."&amp;D$83&amp;D$1&amp;"C"&amp;$A130)="N/A",0,RTD("tos.rtd",,$A$2,"."&amp;D$83&amp;D$1&amp;"C"&amp;$A130))-IF(RTD("tos.rtd",,$A$2,"."&amp;D$83&amp;D$1&amp;"P"&amp;$A130)="N/A",0,RTD("tos.rtd",,$A$2,"."&amp;D$83&amp;D$1&amp;"P"&amp;$A130))</f>
        <v>-206</v>
      </c>
      <c r="E130" s="56">
        <f ca="1">IF(RTD("tos.rtd",,$A$2,"."&amp;E$83&amp;E$1&amp;"C"&amp;$A130)="N/A",0,RTD("tos.rtd",,$A$2,"."&amp;E$83&amp;E$1&amp;"C"&amp;$A130))-IF(RTD("tos.rtd",,$A$2,"."&amp;E$83&amp;E$1&amp;"P"&amp;$A130)="N/A",0,RTD("tos.rtd",,$A$2,"."&amp;E$83&amp;E$1&amp;"P"&amp;$A130))</f>
        <v>-150</v>
      </c>
      <c r="F130" s="56">
        <f ca="1">IF(RTD("tos.rtd",,$A$2,"."&amp;F$83&amp;F$1&amp;"C"&amp;$A130)="N/A",0,RTD("tos.rtd",,$A$2,"."&amp;F$83&amp;F$1&amp;"C"&amp;$A130))-IF(RTD("tos.rtd",,$A$2,"."&amp;F$83&amp;F$1&amp;"P"&amp;$A130)="N/A",0,RTD("tos.rtd",,$A$2,"."&amp;F$83&amp;F$1&amp;"P"&amp;$A130))</f>
        <v>0</v>
      </c>
      <c r="G130" s="56">
        <f ca="1">IF(RTD("tos.rtd",,$A$2,"."&amp;G$83&amp;G$1&amp;"C"&amp;$A130)="N/A",0,RTD("tos.rtd",,$A$2,"."&amp;G$83&amp;G$1&amp;"C"&amp;$A130))-IF(RTD("tos.rtd",,$A$2,"."&amp;G$83&amp;G$1&amp;"P"&amp;$A130)="N/A",0,RTD("tos.rtd",,$A$2,"."&amp;G$83&amp;G$1&amp;"P"&amp;$A130))</f>
        <v>0</v>
      </c>
      <c r="H130" s="56">
        <f ca="1">IF(RTD("tos.rtd",,$A$2,"."&amp;H$83&amp;H$1&amp;"C"&amp;$A130)="N/A",0,RTD("tos.rtd",,$A$2,"."&amp;H$83&amp;H$1&amp;"C"&amp;$A130))-IF(RTD("tos.rtd",,$A$2,"."&amp;H$83&amp;H$1&amp;"P"&amp;$A130)="N/A",0,RTD("tos.rtd",,$A$2,"."&amp;H$83&amp;H$1&amp;"P"&amp;$A130))</f>
        <v>-40</v>
      </c>
      <c r="I130" s="56">
        <f ca="1">IF(RTD("tos.rtd",,$A$2,"."&amp;I$83&amp;I$1&amp;"C"&amp;$A130)="N/A",0,RTD("tos.rtd",,$A$2,"."&amp;I$83&amp;I$1&amp;"C"&amp;$A130))-IF(RTD("tos.rtd",,$A$2,"."&amp;I$83&amp;I$1&amp;"P"&amp;$A130)="N/A",0,RTD("tos.rtd",,$A$2,"."&amp;I$83&amp;I$1&amp;"P"&amp;$A130))</f>
        <v>-55</v>
      </c>
      <c r="J130" s="56">
        <f ca="1">IF(RTD("tos.rtd",,$A$2,"."&amp;J$83&amp;J$1&amp;"C"&amp;$A130)="N/A",0,RTD("tos.rtd",,$A$2,"."&amp;J$83&amp;J$1&amp;"C"&amp;$A130))-IF(RTD("tos.rtd",,$A$2,"."&amp;J$83&amp;J$1&amp;"P"&amp;$A130)="N/A",0,RTD("tos.rtd",,$A$2,"."&amp;J$83&amp;J$1&amp;"P"&amp;$A130))</f>
        <v>-187</v>
      </c>
      <c r="K130" s="56">
        <f ca="1">IF(RTD("tos.rtd",,$A$2,"."&amp;K$83&amp;K$1&amp;"C"&amp;$A130)="N/A",0,RTD("tos.rtd",,$A$2,"."&amp;K$83&amp;K$1&amp;"C"&amp;$A130))-IF(RTD("tos.rtd",,$A$2,"."&amp;K$83&amp;K$1&amp;"P"&amp;$A130)="N/A",0,RTD("tos.rtd",,$A$2,"."&amp;K$83&amp;K$1&amp;"P"&amp;$A130))</f>
        <v>-31</v>
      </c>
      <c r="L130" s="56">
        <f ca="1">IF(RTD("tos.rtd",,$A$2,"."&amp;L$83&amp;L$1&amp;"C"&amp;$A130)="N/A",0,RTD("tos.rtd",,$A$2,"."&amp;L$83&amp;L$1&amp;"C"&amp;$A130))-IF(RTD("tos.rtd",,$A$2,"."&amp;L$83&amp;L$1&amp;"P"&amp;$A130)="N/A",0,RTD("tos.rtd",,$A$2,"."&amp;L$83&amp;L$1&amp;"P"&amp;$A130))</f>
        <v>0</v>
      </c>
      <c r="M130" s="56">
        <f ca="1">IF(RTD("tos.rtd",,$A$2,"."&amp;M$83&amp;M$1&amp;"C"&amp;$A130)="N/A",0,RTD("tos.rtd",,$A$2,"."&amp;M$83&amp;M$1&amp;"C"&amp;$A130))-IF(RTD("tos.rtd",,$A$2,"."&amp;M$83&amp;M$1&amp;"P"&amp;$A130)="N/A",0,RTD("tos.rtd",,$A$2,"."&amp;M$83&amp;M$1&amp;"P"&amp;$A130))</f>
        <v>0</v>
      </c>
      <c r="N130" s="56">
        <f ca="1">IF(RTD("tos.rtd",,$A$2,"."&amp;N$83&amp;N$1&amp;"C"&amp;$A130)="N/A",0,RTD("tos.rtd",,$A$2,"."&amp;N$83&amp;N$1&amp;"C"&amp;$A130))-IF(RTD("tos.rtd",,$A$2,"."&amp;N$83&amp;N$1&amp;"P"&amp;$A130)="N/A",0,RTD("tos.rtd",,$A$2,"."&amp;N$83&amp;N$1&amp;"P"&amp;$A130))</f>
        <v>0</v>
      </c>
      <c r="O130" s="56">
        <f ca="1">IF(RTD("tos.rtd",,$A$2,"."&amp;O$83&amp;O$1&amp;"C"&amp;$A130)="N/A",0,RTD("tos.rtd",,$A$2,"."&amp;O$83&amp;O$1&amp;"C"&amp;$A130))-IF(RTD("tos.rtd",,$A$2,"."&amp;O$83&amp;O$1&amp;"P"&amp;$A130)="N/A",0,RTD("tos.rtd",,$A$2,"."&amp;O$83&amp;O$1&amp;"P"&amp;$A130))</f>
        <v>0</v>
      </c>
      <c r="P130" s="56">
        <f ca="1">IF(RTD("tos.rtd",,$A$2,"."&amp;P$83&amp;P$1&amp;"C"&amp;$A130)="N/A",0,RTD("tos.rtd",,$A$2,"."&amp;P$83&amp;P$1&amp;"C"&amp;$A130))-IF(RTD("tos.rtd",,$A$2,"."&amp;P$83&amp;P$1&amp;"P"&amp;$A130)="N/A",0,RTD("tos.rtd",,$A$2,"."&amp;P$83&amp;P$1&amp;"P"&amp;$A130))</f>
        <v>0</v>
      </c>
      <c r="Q130" s="56">
        <f ca="1">IF(RTD("tos.rtd",,$A$2,"."&amp;Q$83&amp;Q$1&amp;"C"&amp;$A130)="N/A",0,RTD("tos.rtd",,$A$2,"."&amp;Q$83&amp;Q$1&amp;"C"&amp;$A130))-IF(RTD("tos.rtd",,$A$2,"."&amp;Q$83&amp;Q$1&amp;"P"&amp;$A130)="N/A",0,RTD("tos.rtd",,$A$2,"."&amp;Q$83&amp;Q$1&amp;"P"&amp;$A130))</f>
        <v>0</v>
      </c>
      <c r="R130" s="56">
        <f ca="1">IF(RTD("tos.rtd",,$A$2,"."&amp;R$83&amp;R$1&amp;"C"&amp;$A130)="N/A",0,RTD("tos.rtd",,$A$2,"."&amp;R$83&amp;R$1&amp;"C"&amp;$A130))-IF(RTD("tos.rtd",,$A$2,"."&amp;R$83&amp;R$1&amp;"P"&amp;$A130)="N/A",0,RTD("tos.rtd",,$A$2,"."&amp;R$83&amp;R$1&amp;"P"&amp;$A130))</f>
        <v>0</v>
      </c>
      <c r="S130" s="56">
        <f ca="1">IF(RTD("tos.rtd",,$A$2,"."&amp;S$83&amp;S$1&amp;"C"&amp;$A130)="N/A",0,RTD("tos.rtd",,$A$2,"."&amp;S$83&amp;S$1&amp;"C"&amp;$A130))-IF(RTD("tos.rtd",,$A$2,"."&amp;S$83&amp;S$1&amp;"P"&amp;$A130)="N/A",0,RTD("tos.rtd",,$A$2,"."&amp;S$83&amp;S$1&amp;"P"&amp;$A130))</f>
        <v>0</v>
      </c>
      <c r="T130" s="56">
        <f ca="1">IF(RTD("tos.rtd",,$A$2,"."&amp;T$83&amp;T$1&amp;"C"&amp;$A130)="N/A",0,RTD("tos.rtd",,$A$2,"."&amp;T$83&amp;T$1&amp;"C"&amp;$A130))-IF(RTD("tos.rtd",,$A$2,"."&amp;T$83&amp;T$1&amp;"P"&amp;$A130)="N/A",0,RTD("tos.rtd",,$A$2,"."&amp;T$83&amp;T$1&amp;"P"&amp;$A130))</f>
        <v>0</v>
      </c>
      <c r="U130" s="56">
        <f ca="1">IF(RTD("tos.rtd",,$A$2,"."&amp;U$83&amp;U$1&amp;"C"&amp;$A130)="N/A",0,RTD("tos.rtd",,$A$2,"."&amp;U$83&amp;U$1&amp;"C"&amp;$A130))-IF(RTD("tos.rtd",,$A$2,"."&amp;U$83&amp;U$1&amp;"P"&amp;$A130)="N/A",0,RTD("tos.rtd",,$A$2,"."&amp;U$83&amp;U$1&amp;"P"&amp;$A130))</f>
        <v>0</v>
      </c>
      <c r="V130" s="56">
        <f ca="1">IF(RTD("tos.rtd",,$A$2,"."&amp;V$83&amp;V$1&amp;"C"&amp;$A130)="N/A",0,RTD("tos.rtd",,$A$2,"."&amp;V$83&amp;V$1&amp;"C"&amp;$A130))-IF(RTD("tos.rtd",,$A$2,"."&amp;V$83&amp;V$1&amp;"P"&amp;$A130)="N/A",0,RTD("tos.rtd",,$A$2,"."&amp;V$83&amp;V$1&amp;"P"&amp;$A130))</f>
        <v>0</v>
      </c>
      <c r="W130" s="56">
        <f ca="1">IF(RTD("tos.rtd",,$A$2,"."&amp;W$83&amp;W$1&amp;"C"&amp;$A130)="N/A",0,RTD("tos.rtd",,$A$2,"."&amp;W$83&amp;W$1&amp;"C"&amp;$A130))-IF(RTD("tos.rtd",,$A$2,"."&amp;W$83&amp;W$1&amp;"P"&amp;$A130)="N/A",0,RTD("tos.rtd",,$A$2,"."&amp;W$83&amp;W$1&amp;"P"&amp;$A130))</f>
        <v>0</v>
      </c>
      <c r="X130" s="56">
        <f ca="1">IF(RTD("tos.rtd",,$A$2,"."&amp;X$83&amp;X$1&amp;"C"&amp;$A130)="N/A",0,RTD("tos.rtd",,$A$2,"."&amp;X$83&amp;X$1&amp;"C"&amp;$A130))-IF(RTD("tos.rtd",,$A$2,"."&amp;X$83&amp;X$1&amp;"P"&amp;$A130)="N/A",0,RTD("tos.rtd",,$A$2,"."&amp;X$83&amp;X$1&amp;"P"&amp;$A130))</f>
        <v>0</v>
      </c>
      <c r="Y130" s="63">
        <f t="shared" ca="1" si="13"/>
        <v>-8653</v>
      </c>
    </row>
    <row r="131" spans="1:27" x14ac:dyDescent="0.25">
      <c r="A131" s="58">
        <f>+Hoja1!A130</f>
        <v>6615</v>
      </c>
      <c r="B131" s="56">
        <f ca="1">IF(RTD("tos.rtd",,$A$2,"."&amp;B$83&amp;B$1&amp;"C"&amp;$A131)="N/A",0,RTD("tos.rtd",,$A$2,"."&amp;B$83&amp;B$1&amp;"C"&amp;$A131))-IF(RTD("tos.rtd",,$A$2,"."&amp;B$83&amp;B$1&amp;"P"&amp;$A131)="N/A",0,RTD("tos.rtd",,$A$2,"."&amp;B$83&amp;B$1&amp;"P"&amp;$A131))</f>
        <v>-4168</v>
      </c>
      <c r="C131" s="56">
        <f ca="1">IF(RTD("tos.rtd",,$A$2,"."&amp;C$83&amp;C$1&amp;"C"&amp;$A131)="N/A",0,RTD("tos.rtd",,$A$2,"."&amp;C$83&amp;C$1&amp;"C"&amp;$A131))-IF(RTD("tos.rtd",,$A$2,"."&amp;C$83&amp;C$1&amp;"P"&amp;$A131)="N/A",0,RTD("tos.rtd",,$A$2,"."&amp;C$83&amp;C$1&amp;"P"&amp;$A131))</f>
        <v>-292</v>
      </c>
      <c r="D131" s="56">
        <f ca="1">IF(RTD("tos.rtd",,$A$2,"."&amp;D$83&amp;D$1&amp;"C"&amp;$A131)="N/A",0,RTD("tos.rtd",,$A$2,"."&amp;D$83&amp;D$1&amp;"C"&amp;$A131))-IF(RTD("tos.rtd",,$A$2,"."&amp;D$83&amp;D$1&amp;"P"&amp;$A131)="N/A",0,RTD("tos.rtd",,$A$2,"."&amp;D$83&amp;D$1&amp;"P"&amp;$A131))</f>
        <v>-241</v>
      </c>
      <c r="E131" s="56">
        <f ca="1">IF(RTD("tos.rtd",,$A$2,"."&amp;E$83&amp;E$1&amp;"C"&amp;$A131)="N/A",0,RTD("tos.rtd",,$A$2,"."&amp;E$83&amp;E$1&amp;"C"&amp;$A131))-IF(RTD("tos.rtd",,$A$2,"."&amp;E$83&amp;E$1&amp;"P"&amp;$A131)="N/A",0,RTD("tos.rtd",,$A$2,"."&amp;E$83&amp;E$1&amp;"P"&amp;$A131))</f>
        <v>-320</v>
      </c>
      <c r="F131" s="56">
        <f ca="1">IF(RTD("tos.rtd",,$A$2,"."&amp;F$83&amp;F$1&amp;"C"&amp;$A131)="N/A",0,RTD("tos.rtd",,$A$2,"."&amp;F$83&amp;F$1&amp;"C"&amp;$A131))-IF(RTD("tos.rtd",,$A$2,"."&amp;F$83&amp;F$1&amp;"P"&amp;$A131)="N/A",0,RTD("tos.rtd",,$A$2,"."&amp;F$83&amp;F$1&amp;"P"&amp;$A131))</f>
        <v>0</v>
      </c>
      <c r="G131" s="56">
        <f ca="1">IF(RTD("tos.rtd",,$A$2,"."&amp;G$83&amp;G$1&amp;"C"&amp;$A131)="N/A",0,RTD("tos.rtd",,$A$2,"."&amp;G$83&amp;G$1&amp;"C"&amp;$A131))-IF(RTD("tos.rtd",,$A$2,"."&amp;G$83&amp;G$1&amp;"P"&amp;$A131)="N/A",0,RTD("tos.rtd",,$A$2,"."&amp;G$83&amp;G$1&amp;"P"&amp;$A131))</f>
        <v>0</v>
      </c>
      <c r="H131" s="56">
        <f ca="1">IF(RTD("tos.rtd",,$A$2,"."&amp;H$83&amp;H$1&amp;"C"&amp;$A131)="N/A",0,RTD("tos.rtd",,$A$2,"."&amp;H$83&amp;H$1&amp;"C"&amp;$A131))-IF(RTD("tos.rtd",,$A$2,"."&amp;H$83&amp;H$1&amp;"P"&amp;$A131)="N/A",0,RTD("tos.rtd",,$A$2,"."&amp;H$83&amp;H$1&amp;"P"&amp;$A131))</f>
        <v>-49</v>
      </c>
      <c r="I131" s="56">
        <f ca="1">IF(RTD("tos.rtd",,$A$2,"."&amp;I$83&amp;I$1&amp;"C"&amp;$A131)="N/A",0,RTD("tos.rtd",,$A$2,"."&amp;I$83&amp;I$1&amp;"C"&amp;$A131))-IF(RTD("tos.rtd",,$A$2,"."&amp;I$83&amp;I$1&amp;"P"&amp;$A131)="N/A",0,RTD("tos.rtd",,$A$2,"."&amp;I$83&amp;I$1&amp;"P"&amp;$A131))</f>
        <v>5</v>
      </c>
      <c r="J131" s="56">
        <f ca="1">IF(RTD("tos.rtd",,$A$2,"."&amp;J$83&amp;J$1&amp;"C"&amp;$A131)="N/A",0,RTD("tos.rtd",,$A$2,"."&amp;J$83&amp;J$1&amp;"C"&amp;$A131))-IF(RTD("tos.rtd",,$A$2,"."&amp;J$83&amp;J$1&amp;"P"&amp;$A131)="N/A",0,RTD("tos.rtd",,$A$2,"."&amp;J$83&amp;J$1&amp;"P"&amp;$A131))</f>
        <v>0</v>
      </c>
      <c r="K131" s="56">
        <f ca="1">IF(RTD("tos.rtd",,$A$2,"."&amp;K$83&amp;K$1&amp;"C"&amp;$A131)="N/A",0,RTD("tos.rtd",,$A$2,"."&amp;K$83&amp;K$1&amp;"C"&amp;$A131))-IF(RTD("tos.rtd",,$A$2,"."&amp;K$83&amp;K$1&amp;"P"&amp;$A131)="N/A",0,RTD("tos.rtd",,$A$2,"."&amp;K$83&amp;K$1&amp;"P"&amp;$A131))</f>
        <v>-23</v>
      </c>
      <c r="L131" s="56">
        <f ca="1">IF(RTD("tos.rtd",,$A$2,"."&amp;L$83&amp;L$1&amp;"C"&amp;$A131)="N/A",0,RTD("tos.rtd",,$A$2,"."&amp;L$83&amp;L$1&amp;"C"&amp;$A131))-IF(RTD("tos.rtd",,$A$2,"."&amp;L$83&amp;L$1&amp;"P"&amp;$A131)="N/A",0,RTD("tos.rtd",,$A$2,"."&amp;L$83&amp;L$1&amp;"P"&amp;$A131))</f>
        <v>0</v>
      </c>
      <c r="M131" s="56">
        <f ca="1">IF(RTD("tos.rtd",,$A$2,"."&amp;M$83&amp;M$1&amp;"C"&amp;$A131)="N/A",0,RTD("tos.rtd",,$A$2,"."&amp;M$83&amp;M$1&amp;"C"&amp;$A131))-IF(RTD("tos.rtd",,$A$2,"."&amp;M$83&amp;M$1&amp;"P"&amp;$A131)="N/A",0,RTD("tos.rtd",,$A$2,"."&amp;M$83&amp;M$1&amp;"P"&amp;$A131))</f>
        <v>0</v>
      </c>
      <c r="N131" s="56">
        <f ca="1">IF(RTD("tos.rtd",,$A$2,"."&amp;N$83&amp;N$1&amp;"C"&amp;$A131)="N/A",0,RTD("tos.rtd",,$A$2,"."&amp;N$83&amp;N$1&amp;"C"&amp;$A131))-IF(RTD("tos.rtd",,$A$2,"."&amp;N$83&amp;N$1&amp;"P"&amp;$A131)="N/A",0,RTD("tos.rtd",,$A$2,"."&amp;N$83&amp;N$1&amp;"P"&amp;$A131))</f>
        <v>0</v>
      </c>
      <c r="O131" s="56">
        <f ca="1">IF(RTD("tos.rtd",,$A$2,"."&amp;O$83&amp;O$1&amp;"C"&amp;$A131)="N/A",0,RTD("tos.rtd",,$A$2,"."&amp;O$83&amp;O$1&amp;"C"&amp;$A131))-IF(RTD("tos.rtd",,$A$2,"."&amp;O$83&amp;O$1&amp;"P"&amp;$A131)="N/A",0,RTD("tos.rtd",,$A$2,"."&amp;O$83&amp;O$1&amp;"P"&amp;$A131))</f>
        <v>0</v>
      </c>
      <c r="P131" s="56">
        <f ca="1">IF(RTD("tos.rtd",,$A$2,"."&amp;P$83&amp;P$1&amp;"C"&amp;$A131)="N/A",0,RTD("tos.rtd",,$A$2,"."&amp;P$83&amp;P$1&amp;"C"&amp;$A131))-IF(RTD("tos.rtd",,$A$2,"."&amp;P$83&amp;P$1&amp;"P"&amp;$A131)="N/A",0,RTD("tos.rtd",,$A$2,"."&amp;P$83&amp;P$1&amp;"P"&amp;$A131))</f>
        <v>0</v>
      </c>
      <c r="Q131" s="56">
        <f ca="1">IF(RTD("tos.rtd",,$A$2,"."&amp;Q$83&amp;Q$1&amp;"C"&amp;$A131)="N/A",0,RTD("tos.rtd",,$A$2,"."&amp;Q$83&amp;Q$1&amp;"C"&amp;$A131))-IF(RTD("tos.rtd",,$A$2,"."&amp;Q$83&amp;Q$1&amp;"P"&amp;$A131)="N/A",0,RTD("tos.rtd",,$A$2,"."&amp;Q$83&amp;Q$1&amp;"P"&amp;$A131))</f>
        <v>0</v>
      </c>
      <c r="R131" s="56">
        <f ca="1">IF(RTD("tos.rtd",,$A$2,"."&amp;R$83&amp;R$1&amp;"C"&amp;$A131)="N/A",0,RTD("tos.rtd",,$A$2,"."&amp;R$83&amp;R$1&amp;"C"&amp;$A131))-IF(RTD("tos.rtd",,$A$2,"."&amp;R$83&amp;R$1&amp;"P"&amp;$A131)="N/A",0,RTD("tos.rtd",,$A$2,"."&amp;R$83&amp;R$1&amp;"P"&amp;$A131))</f>
        <v>0</v>
      </c>
      <c r="S131" s="56">
        <f ca="1">IF(RTD("tos.rtd",,$A$2,"."&amp;S$83&amp;S$1&amp;"C"&amp;$A131)="N/A",0,RTD("tos.rtd",,$A$2,"."&amp;S$83&amp;S$1&amp;"C"&amp;$A131))-IF(RTD("tos.rtd",,$A$2,"."&amp;S$83&amp;S$1&amp;"P"&amp;$A131)="N/A",0,RTD("tos.rtd",,$A$2,"."&amp;S$83&amp;S$1&amp;"P"&amp;$A131))</f>
        <v>0</v>
      </c>
      <c r="T131" s="56">
        <f ca="1">IF(RTD("tos.rtd",,$A$2,"."&amp;T$83&amp;T$1&amp;"C"&amp;$A131)="N/A",0,RTD("tos.rtd",,$A$2,"."&amp;T$83&amp;T$1&amp;"C"&amp;$A131))-IF(RTD("tos.rtd",,$A$2,"."&amp;T$83&amp;T$1&amp;"P"&amp;$A131)="N/A",0,RTD("tos.rtd",,$A$2,"."&amp;T$83&amp;T$1&amp;"P"&amp;$A131))</f>
        <v>0</v>
      </c>
      <c r="U131" s="56">
        <f ca="1">IF(RTD("tos.rtd",,$A$2,"."&amp;U$83&amp;U$1&amp;"C"&amp;$A131)="N/A",0,RTD("tos.rtd",,$A$2,"."&amp;U$83&amp;U$1&amp;"C"&amp;$A131))-IF(RTD("tos.rtd",,$A$2,"."&amp;U$83&amp;U$1&amp;"P"&amp;$A131)="N/A",0,RTD("tos.rtd",,$A$2,"."&amp;U$83&amp;U$1&amp;"P"&amp;$A131))</f>
        <v>0</v>
      </c>
      <c r="V131" s="56">
        <f ca="1">IF(RTD("tos.rtd",,$A$2,"."&amp;V$83&amp;V$1&amp;"C"&amp;$A131)="N/A",0,RTD("tos.rtd",,$A$2,"."&amp;V$83&amp;V$1&amp;"C"&amp;$A131))-IF(RTD("tos.rtd",,$A$2,"."&amp;V$83&amp;V$1&amp;"P"&amp;$A131)="N/A",0,RTD("tos.rtd",,$A$2,"."&amp;V$83&amp;V$1&amp;"P"&amp;$A131))</f>
        <v>0</v>
      </c>
      <c r="W131" s="56">
        <f ca="1">IF(RTD("tos.rtd",,$A$2,"."&amp;W$83&amp;W$1&amp;"C"&amp;$A131)="N/A",0,RTD("tos.rtd",,$A$2,"."&amp;W$83&amp;W$1&amp;"C"&amp;$A131))-IF(RTD("tos.rtd",,$A$2,"."&amp;W$83&amp;W$1&amp;"P"&amp;$A131)="N/A",0,RTD("tos.rtd",,$A$2,"."&amp;W$83&amp;W$1&amp;"P"&amp;$A131))</f>
        <v>0</v>
      </c>
      <c r="X131" s="56">
        <f ca="1">IF(RTD("tos.rtd",,$A$2,"."&amp;X$83&amp;X$1&amp;"C"&amp;$A131)="N/A",0,RTD("tos.rtd",,$A$2,"."&amp;X$83&amp;X$1&amp;"C"&amp;$A131))-IF(RTD("tos.rtd",,$A$2,"."&amp;X$83&amp;X$1&amp;"P"&amp;$A131)="N/A",0,RTD("tos.rtd",,$A$2,"."&amp;X$83&amp;X$1&amp;"P"&amp;$A131))</f>
        <v>0</v>
      </c>
      <c r="Y131" s="63">
        <f t="shared" ca="1" si="13"/>
        <v>-5088</v>
      </c>
    </row>
    <row r="132" spans="1:27" x14ac:dyDescent="0.25">
      <c r="A132" s="58">
        <f>+Hoja1!A131</f>
        <v>0</v>
      </c>
    </row>
    <row r="133" spans="1:27" x14ac:dyDescent="0.25">
      <c r="A133" s="58">
        <f>+Hoja1!A132</f>
        <v>0</v>
      </c>
    </row>
    <row r="134" spans="1:27" x14ac:dyDescent="0.25">
      <c r="A134" s="58">
        <f>+Hoja1!A133</f>
        <v>25</v>
      </c>
      <c r="B134" s="57" t="str">
        <f ca="1">+B82</f>
        <v>251110</v>
      </c>
      <c r="C134" s="57" t="str">
        <f t="shared" ref="C134:X134" ca="1" si="14">+C82</f>
        <v>251111</v>
      </c>
      <c r="D134" s="57" t="str">
        <f t="shared" ca="1" si="14"/>
        <v>251112</v>
      </c>
      <c r="E134" s="57" t="str">
        <f t="shared" ca="1" si="14"/>
        <v>251113</v>
      </c>
      <c r="F134" s="57" t="str">
        <f t="shared" ca="1" si="14"/>
        <v/>
      </c>
      <c r="G134" s="57" t="str">
        <f t="shared" ca="1" si="14"/>
        <v/>
      </c>
      <c r="H134" s="57" t="str">
        <f t="shared" ca="1" si="14"/>
        <v>251128</v>
      </c>
      <c r="I134" s="57" t="str">
        <f t="shared" ca="1" si="14"/>
        <v>251205</v>
      </c>
      <c r="J134" s="57" t="str">
        <f t="shared" ca="1" si="14"/>
        <v>251212</v>
      </c>
      <c r="K134" s="57" t="str">
        <f t="shared" ca="1" si="14"/>
        <v>251219</v>
      </c>
      <c r="L134" s="57" t="str">
        <f t="shared" ca="1" si="14"/>
        <v>260109</v>
      </c>
      <c r="M134" s="57" t="str">
        <f t="shared" ca="1" si="14"/>
        <v>260130</v>
      </c>
      <c r="N134" s="57" t="str">
        <f t="shared" ca="1" si="14"/>
        <v>260206</v>
      </c>
      <c r="O134" s="57" t="str">
        <f t="shared" ca="1" si="14"/>
        <v>251231</v>
      </c>
      <c r="P134" s="57" t="str">
        <f t="shared" ca="1" si="14"/>
        <v>260227</v>
      </c>
      <c r="Q134" s="57" t="str">
        <f t="shared" ca="1" si="14"/>
        <v>260403</v>
      </c>
      <c r="R134" s="57" t="str">
        <f t="shared" ca="1" si="14"/>
        <v>260501</v>
      </c>
      <c r="S134" s="57" t="str">
        <f t="shared" ca="1" si="14"/>
        <v>260529</v>
      </c>
      <c r="T134" s="57" t="str">
        <f t="shared" ca="1" si="14"/>
        <v>260626</v>
      </c>
      <c r="U134" s="57" t="str">
        <f t="shared" ca="1" si="14"/>
        <v>260731</v>
      </c>
      <c r="V134" s="57" t="str">
        <f t="shared" ca="1" si="14"/>
        <v>260828</v>
      </c>
      <c r="W134" s="57" t="str">
        <f t="shared" ca="1" si="14"/>
        <v>261002</v>
      </c>
      <c r="X134" s="57" t="str">
        <f t="shared" ca="1" si="14"/>
        <v>261030</v>
      </c>
    </row>
    <row r="135" spans="1:27" x14ac:dyDescent="0.25">
      <c r="A135" s="58" t="str">
        <f>+Hoja1!A134</f>
        <v>NDX</v>
      </c>
      <c r="B135" s="57" t="s">
        <v>17</v>
      </c>
      <c r="C135" s="57" t="s">
        <v>17</v>
      </c>
      <c r="D135" s="57" t="s">
        <v>17</v>
      </c>
      <c r="E135" s="57" t="s">
        <v>17</v>
      </c>
      <c r="F135" s="57" t="s">
        <v>17</v>
      </c>
      <c r="G135" s="57" t="s">
        <v>17</v>
      </c>
      <c r="H135" s="57" t="s">
        <v>13</v>
      </c>
      <c r="I135" s="57" t="s">
        <v>17</v>
      </c>
      <c r="J135" s="57" t="s">
        <v>17</v>
      </c>
      <c r="K135" s="57" t="s">
        <v>13</v>
      </c>
      <c r="L135" s="57" t="s">
        <v>17</v>
      </c>
      <c r="M135" s="57" t="s">
        <v>13</v>
      </c>
      <c r="N135" s="57" t="s">
        <v>17</v>
      </c>
      <c r="O135" s="57" t="s">
        <v>13</v>
      </c>
      <c r="P135" s="57" t="s">
        <v>17</v>
      </c>
      <c r="Q135" s="57" t="s">
        <v>13</v>
      </c>
      <c r="R135" s="57" t="s">
        <v>17</v>
      </c>
      <c r="S135" s="57" t="s">
        <v>13</v>
      </c>
      <c r="T135" s="57" t="s">
        <v>17</v>
      </c>
      <c r="U135" s="57" t="s">
        <v>13</v>
      </c>
      <c r="V135" s="57" t="s">
        <v>17</v>
      </c>
      <c r="W135" s="57" t="s">
        <v>13</v>
      </c>
      <c r="X135" s="57" t="s">
        <v>17</v>
      </c>
    </row>
    <row r="136" spans="1:27" x14ac:dyDescent="0.25">
      <c r="A136" s="58" t="str">
        <f>+Hoja1!A135</f>
        <v>NDX</v>
      </c>
      <c r="B136" s="59">
        <f>+B84</f>
        <v>45971</v>
      </c>
      <c r="C136" s="59">
        <f t="shared" ref="C136:X136" si="15">+C84</f>
        <v>45972</v>
      </c>
      <c r="D136" s="59">
        <f t="shared" si="15"/>
        <v>45973</v>
      </c>
      <c r="E136" s="59">
        <f t="shared" si="15"/>
        <v>45974</v>
      </c>
      <c r="F136" s="59">
        <f t="shared" si="15"/>
        <v>45975</v>
      </c>
      <c r="G136" s="59">
        <f t="shared" si="15"/>
        <v>45982</v>
      </c>
      <c r="H136" s="59">
        <f t="shared" si="15"/>
        <v>45989</v>
      </c>
      <c r="I136" s="59">
        <f t="shared" si="15"/>
        <v>45996</v>
      </c>
      <c r="J136" s="59">
        <f t="shared" si="15"/>
        <v>46003</v>
      </c>
      <c r="K136" s="59">
        <f t="shared" si="15"/>
        <v>46010</v>
      </c>
      <c r="L136" s="59">
        <f t="shared" si="15"/>
        <v>46031</v>
      </c>
      <c r="M136" s="59">
        <f t="shared" si="15"/>
        <v>46052</v>
      </c>
      <c r="N136" s="59">
        <f t="shared" si="15"/>
        <v>46059</v>
      </c>
      <c r="O136" s="59">
        <f t="shared" si="15"/>
        <v>46022</v>
      </c>
      <c r="P136" s="59">
        <f t="shared" si="15"/>
        <v>46080</v>
      </c>
      <c r="Q136" s="59">
        <f t="shared" si="15"/>
        <v>46115</v>
      </c>
      <c r="R136" s="59">
        <f t="shared" si="15"/>
        <v>46143</v>
      </c>
      <c r="S136" s="59">
        <f t="shared" si="15"/>
        <v>46171</v>
      </c>
      <c r="T136" s="59">
        <f t="shared" si="15"/>
        <v>46199</v>
      </c>
      <c r="U136" s="59">
        <f t="shared" si="15"/>
        <v>46234</v>
      </c>
      <c r="V136" s="59">
        <f t="shared" si="15"/>
        <v>46262</v>
      </c>
      <c r="W136" s="59">
        <f t="shared" si="15"/>
        <v>46297</v>
      </c>
      <c r="X136" s="59">
        <f t="shared" si="15"/>
        <v>46325</v>
      </c>
    </row>
    <row r="137" spans="1:27" x14ac:dyDescent="0.25">
      <c r="A137" s="58">
        <f>+Hoja1!A136</f>
        <v>25059.808000000001</v>
      </c>
      <c r="B137" s="57"/>
      <c r="X137" s="56"/>
    </row>
    <row r="138" spans="1:27" x14ac:dyDescent="0.25">
      <c r="A138" s="58">
        <f>+Hoja1!A137</f>
        <v>25600</v>
      </c>
      <c r="B138" s="56">
        <f ca="1">IF(RTD("tos.rtd",,$A$2,"."&amp;B$135&amp;B$1&amp;"C"&amp;$A138)="N/A",0,RTD("tos.rtd",,$A$2,"."&amp;B$135&amp;B$1&amp;"C"&amp;$A138))-IF(RTD("tos.rtd",,$A$2,"."&amp;B$135&amp;B$1&amp;"P"&amp;$A138)="N/A",0,RTD("tos.rtd",,$A$2,"."&amp;B$135&amp;B$1&amp;"P"&amp;$A138))</f>
        <v>106</v>
      </c>
      <c r="C138" s="56">
        <f ca="1">IF(RTD("tos.rtd",,$A$2,"."&amp;C$135&amp;C$1&amp;"C"&amp;$A138)="N/A",0,RTD("tos.rtd",,$A$2,"."&amp;C$135&amp;C$1&amp;"C"&amp;$A138))-IF(RTD("tos.rtd",,$A$2,"."&amp;C$135&amp;C$1&amp;"P"&amp;$A138)="N/A",0,RTD("tos.rtd",,$A$2,"."&amp;C$135&amp;C$1&amp;"P"&amp;$A138))</f>
        <v>60</v>
      </c>
      <c r="D138" s="56">
        <f ca="1">IF(RTD("tos.rtd",,$A$2,"."&amp;D$135&amp;D$1&amp;"C"&amp;$A138)="N/A",0,RTD("tos.rtd",,$A$2,"."&amp;D$135&amp;D$1&amp;"C"&amp;$A138))-IF(RTD("tos.rtd",,$A$2,"."&amp;D$135&amp;D$1&amp;"P"&amp;$A138)="N/A",0,RTD("tos.rtd",,$A$2,"."&amp;D$135&amp;D$1&amp;"P"&amp;$A138))</f>
        <v>429</v>
      </c>
      <c r="E138" s="56">
        <f ca="1">IF(RTD("tos.rtd",,$A$2,"."&amp;E$135&amp;E$1&amp;"C"&amp;$A138)="N/A",0,RTD("tos.rtd",,$A$2,"."&amp;E$135&amp;E$1&amp;"C"&amp;$A138))-IF(RTD("tos.rtd",,$A$2,"."&amp;E$135&amp;E$1&amp;"P"&amp;$A138)="N/A",0,RTD("tos.rtd",,$A$2,"."&amp;E$135&amp;E$1&amp;"P"&amp;$A138))</f>
        <v>1</v>
      </c>
      <c r="F138" s="56">
        <f ca="1">IF(RTD("tos.rtd",,$A$2,"."&amp;F$135&amp;F$1&amp;"C"&amp;$A138)="N/A",0,RTD("tos.rtd",,$A$2,"."&amp;F$135&amp;F$1&amp;"C"&amp;$A138))-IF(RTD("tos.rtd",,$A$2,"."&amp;F$135&amp;F$1&amp;"P"&amp;$A138)="N/A",0,RTD("tos.rtd",,$A$2,"."&amp;F$135&amp;F$1&amp;"P"&amp;$A138))</f>
        <v>0</v>
      </c>
      <c r="G138" s="56">
        <f ca="1">IF(RTD("tos.rtd",,$A$2,"."&amp;G$135&amp;G$1&amp;"C"&amp;$A138)="N/A",0,RTD("tos.rtd",,$A$2,"."&amp;G$135&amp;G$1&amp;"C"&amp;$A138))-IF(RTD("tos.rtd",,$A$2,"."&amp;G$135&amp;G$1&amp;"P"&amp;$A138)="N/A",0,RTD("tos.rtd",,$A$2,"."&amp;G$135&amp;G$1&amp;"P"&amp;$A138))</f>
        <v>0</v>
      </c>
      <c r="H138" s="56">
        <f ca="1">IF(RTD("tos.rtd",,$A$2,"."&amp;H$135&amp;H$1&amp;"C"&amp;$A138)="N/A",0,RTD("tos.rtd",,$A$2,"."&amp;H$135&amp;H$1&amp;"C"&amp;$A138))-IF(RTD("tos.rtd",,$A$2,"."&amp;H$135&amp;H$1&amp;"P"&amp;$A138)="N/A",0,RTD("tos.rtd",,$A$2,"."&amp;H$135&amp;H$1&amp;"P"&amp;$A138))</f>
        <v>0</v>
      </c>
      <c r="I138" s="56">
        <f ca="1">IF(RTD("tos.rtd",,$A$2,"."&amp;I$135&amp;I$1&amp;"C"&amp;$A138)="N/A",0,RTD("tos.rtd",,$A$2,"."&amp;I$135&amp;I$1&amp;"C"&amp;$A138))-IF(RTD("tos.rtd",,$A$2,"."&amp;I$135&amp;I$1&amp;"P"&amp;$A138)="N/A",0,RTD("tos.rtd",,$A$2,"."&amp;I$135&amp;I$1&amp;"P"&amp;$A138))</f>
        <v>1</v>
      </c>
      <c r="J138" s="56">
        <f ca="1">IF(RTD("tos.rtd",,$A$2,"."&amp;J$135&amp;J$1&amp;"C"&amp;$A138)="N/A",0,RTD("tos.rtd",,$A$2,"."&amp;J$135&amp;J$1&amp;"C"&amp;$A138))-IF(RTD("tos.rtd",,$A$2,"."&amp;J$135&amp;J$1&amp;"P"&amp;$A138)="N/A",0,RTD("tos.rtd",,$A$2,"."&amp;J$135&amp;J$1&amp;"P"&amp;$A138))</f>
        <v>0</v>
      </c>
      <c r="K138" s="56">
        <f ca="1">IF(RTD("tos.rtd",,$A$2,"."&amp;K$135&amp;K$1&amp;"C"&amp;$A138)="N/A",0,RTD("tos.rtd",,$A$2,"."&amp;K$135&amp;K$1&amp;"C"&amp;$A138))-IF(RTD("tos.rtd",,$A$2,"."&amp;K$135&amp;K$1&amp;"P"&amp;$A138)="N/A",0,RTD("tos.rtd",,$A$2,"."&amp;K$135&amp;K$1&amp;"P"&amp;$A138))</f>
        <v>2</v>
      </c>
      <c r="L138" s="56">
        <f ca="1">IF(RTD("tos.rtd",,$A$2,"."&amp;L$135&amp;L$1&amp;"C"&amp;$A138)="N/A",0,RTD("tos.rtd",,$A$2,"."&amp;L$135&amp;L$1&amp;"C"&amp;$A138))-IF(RTD("tos.rtd",,$A$2,"."&amp;L$135&amp;L$1&amp;"P"&amp;$A138)="N/A",0,RTD("tos.rtd",,$A$2,"."&amp;L$135&amp;L$1&amp;"P"&amp;$A138))</f>
        <v>0</v>
      </c>
      <c r="M138" s="56">
        <f ca="1">IF(RTD("tos.rtd",,$A$2,"."&amp;M$135&amp;M$1&amp;"C"&amp;$A138)="N/A",0,RTD("tos.rtd",,$A$2,"."&amp;M$135&amp;M$1&amp;"C"&amp;$A138))-IF(RTD("tos.rtd",,$A$2,"."&amp;M$135&amp;M$1&amp;"P"&amp;$A138)="N/A",0,RTD("tos.rtd",,$A$2,"."&amp;M$135&amp;M$1&amp;"P"&amp;$A138))</f>
        <v>0</v>
      </c>
      <c r="N138" s="56">
        <f ca="1">IF(RTD("tos.rtd",,$A$2,"."&amp;N$135&amp;N$1&amp;"C"&amp;$A138)="N/A",0,RTD("tos.rtd",,$A$2,"."&amp;N$135&amp;N$1&amp;"C"&amp;$A138))-IF(RTD("tos.rtd",,$A$2,"."&amp;N$135&amp;N$1&amp;"P"&amp;$A138)="N/A",0,RTD("tos.rtd",,$A$2,"."&amp;N$135&amp;N$1&amp;"P"&amp;$A138))</f>
        <v>0</v>
      </c>
      <c r="O138" s="56">
        <f ca="1">IF(RTD("tos.rtd",,$A$2,"."&amp;O$135&amp;O$1&amp;"C"&amp;$A138)="N/A",0,RTD("tos.rtd",,$A$2,"."&amp;O$135&amp;O$1&amp;"C"&amp;$A138))-IF(RTD("tos.rtd",,$A$2,"."&amp;O$135&amp;O$1&amp;"P"&amp;$A138)="N/A",0,RTD("tos.rtd",,$A$2,"."&amp;O$135&amp;O$1&amp;"P"&amp;$A138))</f>
        <v>0</v>
      </c>
      <c r="P138" s="56">
        <f ca="1">IF(RTD("tos.rtd",,$A$2,"."&amp;P$135&amp;P$1&amp;"C"&amp;$A138)="N/A",0,RTD("tos.rtd",,$A$2,"."&amp;P$135&amp;P$1&amp;"C"&amp;$A138))-IF(RTD("tos.rtd",,$A$2,"."&amp;P$135&amp;P$1&amp;"P"&amp;$A138)="N/A",0,RTD("tos.rtd",,$A$2,"."&amp;P$135&amp;P$1&amp;"P"&amp;$A138))</f>
        <v>0</v>
      </c>
      <c r="Q138" s="56">
        <f ca="1">IF(RTD("tos.rtd",,$A$2,"."&amp;Q$135&amp;Q$1&amp;"C"&amp;$A138)="N/A",0,RTD("tos.rtd",,$A$2,"."&amp;Q$135&amp;Q$1&amp;"C"&amp;$A138))-IF(RTD("tos.rtd",,$A$2,"."&amp;Q$135&amp;Q$1&amp;"P"&amp;$A138)="N/A",0,RTD("tos.rtd",,$A$2,"."&amp;Q$135&amp;Q$1&amp;"P"&amp;$A138))</f>
        <v>0</v>
      </c>
      <c r="R138" s="56">
        <f ca="1">IF(RTD("tos.rtd",,$A$2,"."&amp;R$135&amp;R$1&amp;"C"&amp;$A138)="N/A",0,RTD("tos.rtd",,$A$2,"."&amp;R$135&amp;R$1&amp;"C"&amp;$A138))-IF(RTD("tos.rtd",,$A$2,"."&amp;R$135&amp;R$1&amp;"P"&amp;$A138)="N/A",0,RTD("tos.rtd",,$A$2,"."&amp;R$135&amp;R$1&amp;"P"&amp;$A138))</f>
        <v>0</v>
      </c>
      <c r="S138" s="56">
        <f ca="1">IF(RTD("tos.rtd",,$A$2,"."&amp;S$135&amp;S$1&amp;"C"&amp;$A138)="N/A",0,RTD("tos.rtd",,$A$2,"."&amp;S$135&amp;S$1&amp;"C"&amp;$A138))-IF(RTD("tos.rtd",,$A$2,"."&amp;S$135&amp;S$1&amp;"P"&amp;$A138)="N/A",0,RTD("tos.rtd",,$A$2,"."&amp;S$135&amp;S$1&amp;"P"&amp;$A138))</f>
        <v>0</v>
      </c>
      <c r="T138" s="56">
        <f ca="1">IF(RTD("tos.rtd",,$A$2,"."&amp;T$135&amp;T$1&amp;"C"&amp;$A138)="N/A",0,RTD("tos.rtd",,$A$2,"."&amp;T$135&amp;T$1&amp;"C"&amp;$A138))-IF(RTD("tos.rtd",,$A$2,"."&amp;T$135&amp;T$1&amp;"P"&amp;$A138)="N/A",0,RTD("tos.rtd",,$A$2,"."&amp;T$135&amp;T$1&amp;"P"&amp;$A138))</f>
        <v>0</v>
      </c>
      <c r="U138" s="56">
        <f ca="1">IF(RTD("tos.rtd",,$A$2,"."&amp;U$135&amp;U$1&amp;"C"&amp;$A138)="N/A",0,RTD("tos.rtd",,$A$2,"."&amp;U$135&amp;U$1&amp;"C"&amp;$A138))-IF(RTD("tos.rtd",,$A$2,"."&amp;U$135&amp;U$1&amp;"P"&amp;$A138)="N/A",0,RTD("tos.rtd",,$A$2,"."&amp;U$135&amp;U$1&amp;"P"&amp;$A138))</f>
        <v>0</v>
      </c>
      <c r="V138" s="56">
        <f ca="1">IF(RTD("tos.rtd",,$A$2,"."&amp;V$135&amp;V$1&amp;"C"&amp;$A138)="N/A",0,RTD("tos.rtd",,$A$2,"."&amp;V$135&amp;V$1&amp;"C"&amp;$A138))-IF(RTD("tos.rtd",,$A$2,"."&amp;V$135&amp;V$1&amp;"P"&amp;$A138)="N/A",0,RTD("tos.rtd",,$A$2,"."&amp;V$135&amp;V$1&amp;"P"&amp;$A138))</f>
        <v>0</v>
      </c>
      <c r="W138" s="56">
        <f ca="1">IF(RTD("tos.rtd",,$A$2,"."&amp;W$135&amp;W$1&amp;"C"&amp;$A138)="N/A",0,RTD("tos.rtd",,$A$2,"."&amp;W$135&amp;W$1&amp;"C"&amp;$A138))-IF(RTD("tos.rtd",,$A$2,"."&amp;W$135&amp;W$1&amp;"P"&amp;$A138)="N/A",0,RTD("tos.rtd",,$A$2,"."&amp;W$135&amp;W$1&amp;"P"&amp;$A138))</f>
        <v>0</v>
      </c>
      <c r="X138" s="56">
        <f ca="1">IF(RTD("tos.rtd",,$A$2,"."&amp;X$135&amp;X$1&amp;"C"&amp;$A138)="N/A",0,RTD("tos.rtd",,$A$2,"."&amp;X$135&amp;X$1&amp;"C"&amp;$A138))-IF(RTD("tos.rtd",,$A$2,"."&amp;X$135&amp;X$1&amp;"P"&amp;$A138)="N/A",0,RTD("tos.rtd",,$A$2,"."&amp;X$135&amp;X$1&amp;"P"&amp;$A138))</f>
        <v>0</v>
      </c>
      <c r="Y138" s="63">
        <f t="shared" ref="Y138:Y190" ca="1" si="16">SUM(B138:X138)</f>
        <v>599</v>
      </c>
      <c r="Z138" s="56"/>
      <c r="AA138" s="56"/>
    </row>
    <row r="139" spans="1:27" x14ac:dyDescent="0.25">
      <c r="A139" s="58">
        <f>+Hoja1!A138</f>
        <v>25575</v>
      </c>
      <c r="B139" s="56">
        <f ca="1">IF(RTD("tos.rtd",,$A$2,"."&amp;B$135&amp;B$1&amp;"C"&amp;$A139)="N/A",0,RTD("tos.rtd",,$A$2,"."&amp;B$135&amp;B$1&amp;"C"&amp;$A139))-IF(RTD("tos.rtd",,$A$2,"."&amp;B$135&amp;B$1&amp;"P"&amp;$A139)="N/A",0,RTD("tos.rtd",,$A$2,"."&amp;B$135&amp;B$1&amp;"P"&amp;$A139))</f>
        <v>0</v>
      </c>
      <c r="C139" s="56">
        <f ca="1">IF(RTD("tos.rtd",,$A$2,"."&amp;C$135&amp;C$1&amp;"C"&amp;$A139)="N/A",0,RTD("tos.rtd",,$A$2,"."&amp;C$135&amp;C$1&amp;"C"&amp;$A139))-IF(RTD("tos.rtd",,$A$2,"."&amp;C$135&amp;C$1&amp;"P"&amp;$A139)="N/A",0,RTD("tos.rtd",,$A$2,"."&amp;C$135&amp;C$1&amp;"P"&amp;$A139))</f>
        <v>0</v>
      </c>
      <c r="D139" s="56">
        <f ca="1">IF(RTD("tos.rtd",,$A$2,"."&amp;D$135&amp;D$1&amp;"C"&amp;$A139)="N/A",0,RTD("tos.rtd",,$A$2,"."&amp;D$135&amp;D$1&amp;"C"&amp;$A139))-IF(RTD("tos.rtd",,$A$2,"."&amp;D$135&amp;D$1&amp;"P"&amp;$A139)="N/A",0,RTD("tos.rtd",,$A$2,"."&amp;D$135&amp;D$1&amp;"P"&amp;$A139))</f>
        <v>0</v>
      </c>
      <c r="E139" s="56">
        <f ca="1">IF(RTD("tos.rtd",,$A$2,"."&amp;E$135&amp;E$1&amp;"C"&amp;$A139)="N/A",0,RTD("tos.rtd",,$A$2,"."&amp;E$135&amp;E$1&amp;"C"&amp;$A139))-IF(RTD("tos.rtd",,$A$2,"."&amp;E$135&amp;E$1&amp;"P"&amp;$A139)="N/A",0,RTD("tos.rtd",,$A$2,"."&amp;E$135&amp;E$1&amp;"P"&amp;$A139))</f>
        <v>0</v>
      </c>
      <c r="F139" s="56">
        <f ca="1">IF(RTD("tos.rtd",,$A$2,"."&amp;F$135&amp;F$1&amp;"C"&amp;$A139)="N/A",0,RTD("tos.rtd",,$A$2,"."&amp;F$135&amp;F$1&amp;"C"&amp;$A139))-IF(RTD("tos.rtd",,$A$2,"."&amp;F$135&amp;F$1&amp;"P"&amp;$A139)="N/A",0,RTD("tos.rtd",,$A$2,"."&amp;F$135&amp;F$1&amp;"P"&amp;$A139))</f>
        <v>0</v>
      </c>
      <c r="G139" s="56">
        <f ca="1">IF(RTD("tos.rtd",,$A$2,"."&amp;G$135&amp;G$1&amp;"C"&amp;$A139)="N/A",0,RTD("tos.rtd",,$A$2,"."&amp;G$135&amp;G$1&amp;"C"&amp;$A139))-IF(RTD("tos.rtd",,$A$2,"."&amp;G$135&amp;G$1&amp;"P"&amp;$A139)="N/A",0,RTD("tos.rtd",,$A$2,"."&amp;G$135&amp;G$1&amp;"P"&amp;$A139))</f>
        <v>0</v>
      </c>
      <c r="H139" s="56">
        <f ca="1">IF(RTD("tos.rtd",,$A$2,"."&amp;H$135&amp;H$1&amp;"C"&amp;$A139)="N/A",0,RTD("tos.rtd",,$A$2,"."&amp;H$135&amp;H$1&amp;"C"&amp;$A139))-IF(RTD("tos.rtd",,$A$2,"."&amp;H$135&amp;H$1&amp;"P"&amp;$A139)="N/A",0,RTD("tos.rtd",,$A$2,"."&amp;H$135&amp;H$1&amp;"P"&amp;$A139))</f>
        <v>0</v>
      </c>
      <c r="I139" s="56">
        <f ca="1">IF(RTD("tos.rtd",,$A$2,"."&amp;I$135&amp;I$1&amp;"C"&amp;$A139)="N/A",0,RTD("tos.rtd",,$A$2,"."&amp;I$135&amp;I$1&amp;"C"&amp;$A139))-IF(RTD("tos.rtd",,$A$2,"."&amp;I$135&amp;I$1&amp;"P"&amp;$A139)="N/A",0,RTD("tos.rtd",,$A$2,"."&amp;I$135&amp;I$1&amp;"P"&amp;$A139))</f>
        <v>0</v>
      </c>
      <c r="J139" s="56">
        <f ca="1">IF(RTD("tos.rtd",,$A$2,"."&amp;J$135&amp;J$1&amp;"C"&amp;$A139)="N/A",0,RTD("tos.rtd",,$A$2,"."&amp;J$135&amp;J$1&amp;"C"&amp;$A139))-IF(RTD("tos.rtd",,$A$2,"."&amp;J$135&amp;J$1&amp;"P"&amp;$A139)="N/A",0,RTD("tos.rtd",,$A$2,"."&amp;J$135&amp;J$1&amp;"P"&amp;$A139))</f>
        <v>0</v>
      </c>
      <c r="K139" s="56">
        <f ca="1">IF(RTD("tos.rtd",,$A$2,"."&amp;K$135&amp;K$1&amp;"C"&amp;$A139)="N/A",0,RTD("tos.rtd",,$A$2,"."&amp;K$135&amp;K$1&amp;"C"&amp;$A139))-IF(RTD("tos.rtd",,$A$2,"."&amp;K$135&amp;K$1&amp;"P"&amp;$A139)="N/A",0,RTD("tos.rtd",,$A$2,"."&amp;K$135&amp;K$1&amp;"P"&amp;$A139))</f>
        <v>1</v>
      </c>
      <c r="L139" s="56">
        <f ca="1">IF(RTD("tos.rtd",,$A$2,"."&amp;L$135&amp;L$1&amp;"C"&amp;$A139)="N/A",0,RTD("tos.rtd",,$A$2,"."&amp;L$135&amp;L$1&amp;"C"&amp;$A139))-IF(RTD("tos.rtd",,$A$2,"."&amp;L$135&amp;L$1&amp;"P"&amp;$A139)="N/A",0,RTD("tos.rtd",,$A$2,"."&amp;L$135&amp;L$1&amp;"P"&amp;$A139))</f>
        <v>0</v>
      </c>
      <c r="M139" s="56">
        <f ca="1">IF(RTD("tos.rtd",,$A$2,"."&amp;M$135&amp;M$1&amp;"C"&amp;$A139)="N/A",0,RTD("tos.rtd",,$A$2,"."&amp;M$135&amp;M$1&amp;"C"&amp;$A139))-IF(RTD("tos.rtd",,$A$2,"."&amp;M$135&amp;M$1&amp;"P"&amp;$A139)="N/A",0,RTD("tos.rtd",,$A$2,"."&amp;M$135&amp;M$1&amp;"P"&amp;$A139))</f>
        <v>0</v>
      </c>
      <c r="N139" s="56">
        <f ca="1">IF(RTD("tos.rtd",,$A$2,"."&amp;N$135&amp;N$1&amp;"C"&amp;$A139)="N/A",0,RTD("tos.rtd",,$A$2,"."&amp;N$135&amp;N$1&amp;"C"&amp;$A139))-IF(RTD("tos.rtd",,$A$2,"."&amp;N$135&amp;N$1&amp;"P"&amp;$A139)="N/A",0,RTD("tos.rtd",,$A$2,"."&amp;N$135&amp;N$1&amp;"P"&amp;$A139))</f>
        <v>0</v>
      </c>
      <c r="O139" s="56">
        <f ca="1">IF(RTD("tos.rtd",,$A$2,"."&amp;O$135&amp;O$1&amp;"C"&amp;$A139)="N/A",0,RTD("tos.rtd",,$A$2,"."&amp;O$135&amp;O$1&amp;"C"&amp;$A139))-IF(RTD("tos.rtd",,$A$2,"."&amp;O$135&amp;O$1&amp;"P"&amp;$A139)="N/A",0,RTD("tos.rtd",,$A$2,"."&amp;O$135&amp;O$1&amp;"P"&amp;$A139))</f>
        <v>0</v>
      </c>
      <c r="P139" s="56">
        <f ca="1">IF(RTD("tos.rtd",,$A$2,"."&amp;P$135&amp;P$1&amp;"C"&amp;$A139)="N/A",0,RTD("tos.rtd",,$A$2,"."&amp;P$135&amp;P$1&amp;"C"&amp;$A139))-IF(RTD("tos.rtd",,$A$2,"."&amp;P$135&amp;P$1&amp;"P"&amp;$A139)="N/A",0,RTD("tos.rtd",,$A$2,"."&amp;P$135&amp;P$1&amp;"P"&amp;$A139))</f>
        <v>0</v>
      </c>
      <c r="Q139" s="56">
        <f ca="1">IF(RTD("tos.rtd",,$A$2,"."&amp;Q$135&amp;Q$1&amp;"C"&amp;$A139)="N/A",0,RTD("tos.rtd",,$A$2,"."&amp;Q$135&amp;Q$1&amp;"C"&amp;$A139))-IF(RTD("tos.rtd",,$A$2,"."&amp;Q$135&amp;Q$1&amp;"P"&amp;$A139)="N/A",0,RTD("tos.rtd",,$A$2,"."&amp;Q$135&amp;Q$1&amp;"P"&amp;$A139))</f>
        <v>0</v>
      </c>
      <c r="R139" s="56">
        <f ca="1">IF(RTD("tos.rtd",,$A$2,"."&amp;R$135&amp;R$1&amp;"C"&amp;$A139)="N/A",0,RTD("tos.rtd",,$A$2,"."&amp;R$135&amp;R$1&amp;"C"&amp;$A139))-IF(RTD("tos.rtd",,$A$2,"."&amp;R$135&amp;R$1&amp;"P"&amp;$A139)="N/A",0,RTD("tos.rtd",,$A$2,"."&amp;R$135&amp;R$1&amp;"P"&amp;$A139))</f>
        <v>0</v>
      </c>
      <c r="S139" s="56">
        <f ca="1">IF(RTD("tos.rtd",,$A$2,"."&amp;S$135&amp;S$1&amp;"C"&amp;$A139)="N/A",0,RTD("tos.rtd",,$A$2,"."&amp;S$135&amp;S$1&amp;"C"&amp;$A139))-IF(RTD("tos.rtd",,$A$2,"."&amp;S$135&amp;S$1&amp;"P"&amp;$A139)="N/A",0,RTD("tos.rtd",,$A$2,"."&amp;S$135&amp;S$1&amp;"P"&amp;$A139))</f>
        <v>0</v>
      </c>
      <c r="T139" s="56">
        <f ca="1">IF(RTD("tos.rtd",,$A$2,"."&amp;T$135&amp;T$1&amp;"C"&amp;$A139)="N/A",0,RTD("tos.rtd",,$A$2,"."&amp;T$135&amp;T$1&amp;"C"&amp;$A139))-IF(RTD("tos.rtd",,$A$2,"."&amp;T$135&amp;T$1&amp;"P"&amp;$A139)="N/A",0,RTD("tos.rtd",,$A$2,"."&amp;T$135&amp;T$1&amp;"P"&amp;$A139))</f>
        <v>0</v>
      </c>
      <c r="U139" s="56">
        <f ca="1">IF(RTD("tos.rtd",,$A$2,"."&amp;U$135&amp;U$1&amp;"C"&amp;$A139)="N/A",0,RTD("tos.rtd",,$A$2,"."&amp;U$135&amp;U$1&amp;"C"&amp;$A139))-IF(RTD("tos.rtd",,$A$2,"."&amp;U$135&amp;U$1&amp;"P"&amp;$A139)="N/A",0,RTD("tos.rtd",,$A$2,"."&amp;U$135&amp;U$1&amp;"P"&amp;$A139))</f>
        <v>0</v>
      </c>
      <c r="V139" s="56">
        <f ca="1">IF(RTD("tos.rtd",,$A$2,"."&amp;V$135&amp;V$1&amp;"C"&amp;$A139)="N/A",0,RTD("tos.rtd",,$A$2,"."&amp;V$135&amp;V$1&amp;"C"&amp;$A139))-IF(RTD("tos.rtd",,$A$2,"."&amp;V$135&amp;V$1&amp;"P"&amp;$A139)="N/A",0,RTD("tos.rtd",,$A$2,"."&amp;V$135&amp;V$1&amp;"P"&amp;$A139))</f>
        <v>0</v>
      </c>
      <c r="W139" s="56">
        <f ca="1">IF(RTD("tos.rtd",,$A$2,"."&amp;W$135&amp;W$1&amp;"C"&amp;$A139)="N/A",0,RTD("tos.rtd",,$A$2,"."&amp;W$135&amp;W$1&amp;"C"&amp;$A139))-IF(RTD("tos.rtd",,$A$2,"."&amp;W$135&amp;W$1&amp;"P"&amp;$A139)="N/A",0,RTD("tos.rtd",,$A$2,"."&amp;W$135&amp;W$1&amp;"P"&amp;$A139))</f>
        <v>0</v>
      </c>
      <c r="X139" s="56">
        <f ca="1">IF(RTD("tos.rtd",,$A$2,"."&amp;X$135&amp;X$1&amp;"C"&amp;$A139)="N/A",0,RTD("tos.rtd",,$A$2,"."&amp;X$135&amp;X$1&amp;"C"&amp;$A139))-IF(RTD("tos.rtd",,$A$2,"."&amp;X$135&amp;X$1&amp;"P"&amp;$A139)="N/A",0,RTD("tos.rtd",,$A$2,"."&amp;X$135&amp;X$1&amp;"P"&amp;$A139))</f>
        <v>0</v>
      </c>
      <c r="Y139" s="63">
        <f t="shared" ca="1" si="16"/>
        <v>1</v>
      </c>
      <c r="Z139" s="56"/>
      <c r="AA139" s="56"/>
    </row>
    <row r="140" spans="1:27" x14ac:dyDescent="0.25">
      <c r="A140" s="58">
        <f>+Hoja1!A139</f>
        <v>25550</v>
      </c>
      <c r="B140" s="56">
        <f ca="1">IF(RTD("tos.rtd",,$A$2,"."&amp;B$135&amp;B$1&amp;"C"&amp;$A140)="N/A",0,RTD("tos.rtd",,$A$2,"."&amp;B$135&amp;B$1&amp;"C"&amp;$A140))-IF(RTD("tos.rtd",,$A$2,"."&amp;B$135&amp;B$1&amp;"P"&amp;$A140)="N/A",0,RTD("tos.rtd",,$A$2,"."&amp;B$135&amp;B$1&amp;"P"&amp;$A140))</f>
        <v>169</v>
      </c>
      <c r="C140" s="56">
        <f ca="1">IF(RTD("tos.rtd",,$A$2,"."&amp;C$135&amp;C$1&amp;"C"&amp;$A140)="N/A",0,RTD("tos.rtd",,$A$2,"."&amp;C$135&amp;C$1&amp;"C"&amp;$A140))-IF(RTD("tos.rtd",,$A$2,"."&amp;C$135&amp;C$1&amp;"P"&amp;$A140)="N/A",0,RTD("tos.rtd",,$A$2,"."&amp;C$135&amp;C$1&amp;"P"&amp;$A140))</f>
        <v>7</v>
      </c>
      <c r="D140" s="56">
        <f ca="1">IF(RTD("tos.rtd",,$A$2,"."&amp;D$135&amp;D$1&amp;"C"&amp;$A140)="N/A",0,RTD("tos.rtd",,$A$2,"."&amp;D$135&amp;D$1&amp;"C"&amp;$A140))-IF(RTD("tos.rtd",,$A$2,"."&amp;D$135&amp;D$1&amp;"P"&amp;$A140)="N/A",0,RTD("tos.rtd",,$A$2,"."&amp;D$135&amp;D$1&amp;"P"&amp;$A140))</f>
        <v>2</v>
      </c>
      <c r="E140" s="56">
        <f ca="1">IF(RTD("tos.rtd",,$A$2,"."&amp;E$135&amp;E$1&amp;"C"&amp;$A140)="N/A",0,RTD("tos.rtd",,$A$2,"."&amp;E$135&amp;E$1&amp;"C"&amp;$A140))-IF(RTD("tos.rtd",,$A$2,"."&amp;E$135&amp;E$1&amp;"P"&amp;$A140)="N/A",0,RTD("tos.rtd",,$A$2,"."&amp;E$135&amp;E$1&amp;"P"&amp;$A140))</f>
        <v>2</v>
      </c>
      <c r="F140" s="56">
        <f ca="1">IF(RTD("tos.rtd",,$A$2,"."&amp;F$135&amp;F$1&amp;"C"&amp;$A140)="N/A",0,RTD("tos.rtd",,$A$2,"."&amp;F$135&amp;F$1&amp;"C"&amp;$A140))-IF(RTD("tos.rtd",,$A$2,"."&amp;F$135&amp;F$1&amp;"P"&amp;$A140)="N/A",0,RTD("tos.rtd",,$A$2,"."&amp;F$135&amp;F$1&amp;"P"&amp;$A140))</f>
        <v>0</v>
      </c>
      <c r="G140" s="56">
        <f ca="1">IF(RTD("tos.rtd",,$A$2,"."&amp;G$135&amp;G$1&amp;"C"&amp;$A140)="N/A",0,RTD("tos.rtd",,$A$2,"."&amp;G$135&amp;G$1&amp;"C"&amp;$A140))-IF(RTD("tos.rtd",,$A$2,"."&amp;G$135&amp;G$1&amp;"P"&amp;$A140)="N/A",0,RTD("tos.rtd",,$A$2,"."&amp;G$135&amp;G$1&amp;"P"&amp;$A140))</f>
        <v>0</v>
      </c>
      <c r="H140" s="56">
        <f ca="1">IF(RTD("tos.rtd",,$A$2,"."&amp;H$135&amp;H$1&amp;"C"&amp;$A140)="N/A",0,RTD("tos.rtd",,$A$2,"."&amp;H$135&amp;H$1&amp;"C"&amp;$A140))-IF(RTD("tos.rtd",,$A$2,"."&amp;H$135&amp;H$1&amp;"P"&amp;$A140)="N/A",0,RTD("tos.rtd",,$A$2,"."&amp;H$135&amp;H$1&amp;"P"&amp;$A140))</f>
        <v>0</v>
      </c>
      <c r="I140" s="56">
        <f ca="1">IF(RTD("tos.rtd",,$A$2,"."&amp;I$135&amp;I$1&amp;"C"&amp;$A140)="N/A",0,RTD("tos.rtd",,$A$2,"."&amp;I$135&amp;I$1&amp;"C"&amp;$A140))-IF(RTD("tos.rtd",,$A$2,"."&amp;I$135&amp;I$1&amp;"P"&amp;$A140)="N/A",0,RTD("tos.rtd",,$A$2,"."&amp;I$135&amp;I$1&amp;"P"&amp;$A140))</f>
        <v>0</v>
      </c>
      <c r="J140" s="56">
        <f ca="1">IF(RTD("tos.rtd",,$A$2,"."&amp;J$135&amp;J$1&amp;"C"&amp;$A140)="N/A",0,RTD("tos.rtd",,$A$2,"."&amp;J$135&amp;J$1&amp;"C"&amp;$A140))-IF(RTD("tos.rtd",,$A$2,"."&amp;J$135&amp;J$1&amp;"P"&amp;$A140)="N/A",0,RTD("tos.rtd",,$A$2,"."&amp;J$135&amp;J$1&amp;"P"&amp;$A140))</f>
        <v>0</v>
      </c>
      <c r="K140" s="56">
        <f ca="1">IF(RTD("tos.rtd",,$A$2,"."&amp;K$135&amp;K$1&amp;"C"&amp;$A140)="N/A",0,RTD("tos.rtd",,$A$2,"."&amp;K$135&amp;K$1&amp;"C"&amp;$A140))-IF(RTD("tos.rtd",,$A$2,"."&amp;K$135&amp;K$1&amp;"P"&amp;$A140)="N/A",0,RTD("tos.rtd",,$A$2,"."&amp;K$135&amp;K$1&amp;"P"&amp;$A140))</f>
        <v>0</v>
      </c>
      <c r="L140" s="56">
        <f ca="1">IF(RTD("tos.rtd",,$A$2,"."&amp;L$135&amp;L$1&amp;"C"&amp;$A140)="N/A",0,RTD("tos.rtd",,$A$2,"."&amp;L$135&amp;L$1&amp;"C"&amp;$A140))-IF(RTD("tos.rtd",,$A$2,"."&amp;L$135&amp;L$1&amp;"P"&amp;$A140)="N/A",0,RTD("tos.rtd",,$A$2,"."&amp;L$135&amp;L$1&amp;"P"&amp;$A140))</f>
        <v>0</v>
      </c>
      <c r="M140" s="56">
        <f ca="1">IF(RTD("tos.rtd",,$A$2,"."&amp;M$135&amp;M$1&amp;"C"&amp;$A140)="N/A",0,RTD("tos.rtd",,$A$2,"."&amp;M$135&amp;M$1&amp;"C"&amp;$A140))-IF(RTD("tos.rtd",,$A$2,"."&amp;M$135&amp;M$1&amp;"P"&amp;$A140)="N/A",0,RTD("tos.rtd",,$A$2,"."&amp;M$135&amp;M$1&amp;"P"&amp;$A140))</f>
        <v>0</v>
      </c>
      <c r="N140" s="56">
        <f ca="1">IF(RTD("tos.rtd",,$A$2,"."&amp;N$135&amp;N$1&amp;"C"&amp;$A140)="N/A",0,RTD("tos.rtd",,$A$2,"."&amp;N$135&amp;N$1&amp;"C"&amp;$A140))-IF(RTD("tos.rtd",,$A$2,"."&amp;N$135&amp;N$1&amp;"P"&amp;$A140)="N/A",0,RTD("tos.rtd",,$A$2,"."&amp;N$135&amp;N$1&amp;"P"&amp;$A140))</f>
        <v>0</v>
      </c>
      <c r="O140" s="56">
        <f ca="1">IF(RTD("tos.rtd",,$A$2,"."&amp;O$135&amp;O$1&amp;"C"&amp;$A140)="N/A",0,RTD("tos.rtd",,$A$2,"."&amp;O$135&amp;O$1&amp;"C"&amp;$A140))-IF(RTD("tos.rtd",,$A$2,"."&amp;O$135&amp;O$1&amp;"P"&amp;$A140)="N/A",0,RTD("tos.rtd",,$A$2,"."&amp;O$135&amp;O$1&amp;"P"&amp;$A140))</f>
        <v>0</v>
      </c>
      <c r="P140" s="56">
        <f ca="1">IF(RTD("tos.rtd",,$A$2,"."&amp;P$135&amp;P$1&amp;"C"&amp;$A140)="N/A",0,RTD("tos.rtd",,$A$2,"."&amp;P$135&amp;P$1&amp;"C"&amp;$A140))-IF(RTD("tos.rtd",,$A$2,"."&amp;P$135&amp;P$1&amp;"P"&amp;$A140)="N/A",0,RTD("tos.rtd",,$A$2,"."&amp;P$135&amp;P$1&amp;"P"&amp;$A140))</f>
        <v>0</v>
      </c>
      <c r="Q140" s="56">
        <f ca="1">IF(RTD("tos.rtd",,$A$2,"."&amp;Q$135&amp;Q$1&amp;"C"&amp;$A140)="N/A",0,RTD("tos.rtd",,$A$2,"."&amp;Q$135&amp;Q$1&amp;"C"&amp;$A140))-IF(RTD("tos.rtd",,$A$2,"."&amp;Q$135&amp;Q$1&amp;"P"&amp;$A140)="N/A",0,RTD("tos.rtd",,$A$2,"."&amp;Q$135&amp;Q$1&amp;"P"&amp;$A140))</f>
        <v>0</v>
      </c>
      <c r="R140" s="56">
        <f ca="1">IF(RTD("tos.rtd",,$A$2,"."&amp;R$135&amp;R$1&amp;"C"&amp;$A140)="N/A",0,RTD("tos.rtd",,$A$2,"."&amp;R$135&amp;R$1&amp;"C"&amp;$A140))-IF(RTD("tos.rtd",,$A$2,"."&amp;R$135&amp;R$1&amp;"P"&amp;$A140)="N/A",0,RTD("tos.rtd",,$A$2,"."&amp;R$135&amp;R$1&amp;"P"&amp;$A140))</f>
        <v>0</v>
      </c>
      <c r="S140" s="56">
        <f ca="1">IF(RTD("tos.rtd",,$A$2,"."&amp;S$135&amp;S$1&amp;"C"&amp;$A140)="N/A",0,RTD("tos.rtd",,$A$2,"."&amp;S$135&amp;S$1&amp;"C"&amp;$A140))-IF(RTD("tos.rtd",,$A$2,"."&amp;S$135&amp;S$1&amp;"P"&amp;$A140)="N/A",0,RTD("tos.rtd",,$A$2,"."&amp;S$135&amp;S$1&amp;"P"&amp;$A140))</f>
        <v>0</v>
      </c>
      <c r="T140" s="56">
        <f ca="1">IF(RTD("tos.rtd",,$A$2,"."&amp;T$135&amp;T$1&amp;"C"&amp;$A140)="N/A",0,RTD("tos.rtd",,$A$2,"."&amp;T$135&amp;T$1&amp;"C"&amp;$A140))-IF(RTD("tos.rtd",,$A$2,"."&amp;T$135&amp;T$1&amp;"P"&amp;$A140)="N/A",0,RTD("tos.rtd",,$A$2,"."&amp;T$135&amp;T$1&amp;"P"&amp;$A140))</f>
        <v>0</v>
      </c>
      <c r="U140" s="56">
        <f ca="1">IF(RTD("tos.rtd",,$A$2,"."&amp;U$135&amp;U$1&amp;"C"&amp;$A140)="N/A",0,RTD("tos.rtd",,$A$2,"."&amp;U$135&amp;U$1&amp;"C"&amp;$A140))-IF(RTD("tos.rtd",,$A$2,"."&amp;U$135&amp;U$1&amp;"P"&amp;$A140)="N/A",0,RTD("tos.rtd",,$A$2,"."&amp;U$135&amp;U$1&amp;"P"&amp;$A140))</f>
        <v>0</v>
      </c>
      <c r="V140" s="56">
        <f ca="1">IF(RTD("tos.rtd",,$A$2,"."&amp;V$135&amp;V$1&amp;"C"&amp;$A140)="N/A",0,RTD("tos.rtd",,$A$2,"."&amp;V$135&amp;V$1&amp;"C"&amp;$A140))-IF(RTD("tos.rtd",,$A$2,"."&amp;V$135&amp;V$1&amp;"P"&amp;$A140)="N/A",0,RTD("tos.rtd",,$A$2,"."&amp;V$135&amp;V$1&amp;"P"&amp;$A140))</f>
        <v>0</v>
      </c>
      <c r="W140" s="56">
        <f ca="1">IF(RTD("tos.rtd",,$A$2,"."&amp;W$135&amp;W$1&amp;"C"&amp;$A140)="N/A",0,RTD("tos.rtd",,$A$2,"."&amp;W$135&amp;W$1&amp;"C"&amp;$A140))-IF(RTD("tos.rtd",,$A$2,"."&amp;W$135&amp;W$1&amp;"P"&amp;$A140)="N/A",0,RTD("tos.rtd",,$A$2,"."&amp;W$135&amp;W$1&amp;"P"&amp;$A140))</f>
        <v>0</v>
      </c>
      <c r="X140" s="56">
        <f ca="1">IF(RTD("tos.rtd",,$A$2,"."&amp;X$135&amp;X$1&amp;"C"&amp;$A140)="N/A",0,RTD("tos.rtd",,$A$2,"."&amp;X$135&amp;X$1&amp;"C"&amp;$A140))-IF(RTD("tos.rtd",,$A$2,"."&amp;X$135&amp;X$1&amp;"P"&amp;$A140)="N/A",0,RTD("tos.rtd",,$A$2,"."&amp;X$135&amp;X$1&amp;"P"&amp;$A140))</f>
        <v>0</v>
      </c>
      <c r="Y140" s="63">
        <f t="shared" ca="1" si="16"/>
        <v>180</v>
      </c>
      <c r="Z140" s="56"/>
      <c r="AA140" s="56"/>
    </row>
    <row r="141" spans="1:27" x14ac:dyDescent="0.25">
      <c r="A141" s="58">
        <f>+Hoja1!A140</f>
        <v>25525</v>
      </c>
      <c r="B141" s="56">
        <f ca="1">IF(RTD("tos.rtd",,$A$2,"."&amp;B$135&amp;B$1&amp;"C"&amp;$A141)="N/A",0,RTD("tos.rtd",,$A$2,"."&amp;B$135&amp;B$1&amp;"C"&amp;$A141))-IF(RTD("tos.rtd",,$A$2,"."&amp;B$135&amp;B$1&amp;"P"&amp;$A141)="N/A",0,RTD("tos.rtd",,$A$2,"."&amp;B$135&amp;B$1&amp;"P"&amp;$A141))</f>
        <v>0</v>
      </c>
      <c r="C141" s="56">
        <f ca="1">IF(RTD("tos.rtd",,$A$2,"."&amp;C$135&amp;C$1&amp;"C"&amp;$A141)="N/A",0,RTD("tos.rtd",,$A$2,"."&amp;C$135&amp;C$1&amp;"C"&amp;$A141))-IF(RTD("tos.rtd",,$A$2,"."&amp;C$135&amp;C$1&amp;"P"&amp;$A141)="N/A",0,RTD("tos.rtd",,$A$2,"."&amp;C$135&amp;C$1&amp;"P"&amp;$A141))</f>
        <v>0</v>
      </c>
      <c r="D141" s="56">
        <f ca="1">IF(RTD("tos.rtd",,$A$2,"."&amp;D$135&amp;D$1&amp;"C"&amp;$A141)="N/A",0,RTD("tos.rtd",,$A$2,"."&amp;D$135&amp;D$1&amp;"C"&amp;$A141))-IF(RTD("tos.rtd",,$A$2,"."&amp;D$135&amp;D$1&amp;"P"&amp;$A141)="N/A",0,RTD("tos.rtd",,$A$2,"."&amp;D$135&amp;D$1&amp;"P"&amp;$A141))</f>
        <v>0</v>
      </c>
      <c r="E141" s="56">
        <f ca="1">IF(RTD("tos.rtd",,$A$2,"."&amp;E$135&amp;E$1&amp;"C"&amp;$A141)="N/A",0,RTD("tos.rtd",,$A$2,"."&amp;E$135&amp;E$1&amp;"C"&amp;$A141))-IF(RTD("tos.rtd",,$A$2,"."&amp;E$135&amp;E$1&amp;"P"&amp;$A141)="N/A",0,RTD("tos.rtd",,$A$2,"."&amp;E$135&amp;E$1&amp;"P"&amp;$A141))</f>
        <v>0</v>
      </c>
      <c r="F141" s="56">
        <f ca="1">IF(RTD("tos.rtd",,$A$2,"."&amp;F$135&amp;F$1&amp;"C"&amp;$A141)="N/A",0,RTD("tos.rtd",,$A$2,"."&amp;F$135&amp;F$1&amp;"C"&amp;$A141))-IF(RTD("tos.rtd",,$A$2,"."&amp;F$135&amp;F$1&amp;"P"&amp;$A141)="N/A",0,RTD("tos.rtd",,$A$2,"."&amp;F$135&amp;F$1&amp;"P"&amp;$A141))</f>
        <v>0</v>
      </c>
      <c r="G141" s="56">
        <f ca="1">IF(RTD("tos.rtd",,$A$2,"."&amp;G$135&amp;G$1&amp;"C"&amp;$A141)="N/A",0,RTD("tos.rtd",,$A$2,"."&amp;G$135&amp;G$1&amp;"C"&amp;$A141))-IF(RTD("tos.rtd",,$A$2,"."&amp;G$135&amp;G$1&amp;"P"&amp;$A141)="N/A",0,RTD("tos.rtd",,$A$2,"."&amp;G$135&amp;G$1&amp;"P"&amp;$A141))</f>
        <v>0</v>
      </c>
      <c r="H141" s="56">
        <f ca="1">IF(RTD("tos.rtd",,$A$2,"."&amp;H$135&amp;H$1&amp;"C"&amp;$A141)="N/A",0,RTD("tos.rtd",,$A$2,"."&amp;H$135&amp;H$1&amp;"C"&amp;$A141))-IF(RTD("tos.rtd",,$A$2,"."&amp;H$135&amp;H$1&amp;"P"&amp;$A141)="N/A",0,RTD("tos.rtd",,$A$2,"."&amp;H$135&amp;H$1&amp;"P"&amp;$A141))</f>
        <v>0</v>
      </c>
      <c r="I141" s="56">
        <f ca="1">IF(RTD("tos.rtd",,$A$2,"."&amp;I$135&amp;I$1&amp;"C"&amp;$A141)="N/A",0,RTD("tos.rtd",,$A$2,"."&amp;I$135&amp;I$1&amp;"C"&amp;$A141))-IF(RTD("tos.rtd",,$A$2,"."&amp;I$135&amp;I$1&amp;"P"&amp;$A141)="N/A",0,RTD("tos.rtd",,$A$2,"."&amp;I$135&amp;I$1&amp;"P"&amp;$A141))</f>
        <v>0</v>
      </c>
      <c r="J141" s="56">
        <f ca="1">IF(RTD("tos.rtd",,$A$2,"."&amp;J$135&amp;J$1&amp;"C"&amp;$A141)="N/A",0,RTD("tos.rtd",,$A$2,"."&amp;J$135&amp;J$1&amp;"C"&amp;$A141))-IF(RTD("tos.rtd",,$A$2,"."&amp;J$135&amp;J$1&amp;"P"&amp;$A141)="N/A",0,RTD("tos.rtd",,$A$2,"."&amp;J$135&amp;J$1&amp;"P"&amp;$A141))</f>
        <v>0</v>
      </c>
      <c r="K141" s="56">
        <f ca="1">IF(RTD("tos.rtd",,$A$2,"."&amp;K$135&amp;K$1&amp;"C"&amp;$A141)="N/A",0,RTD("tos.rtd",,$A$2,"."&amp;K$135&amp;K$1&amp;"C"&amp;$A141))-IF(RTD("tos.rtd",,$A$2,"."&amp;K$135&amp;K$1&amp;"P"&amp;$A141)="N/A",0,RTD("tos.rtd",,$A$2,"."&amp;K$135&amp;K$1&amp;"P"&amp;$A141))</f>
        <v>-2</v>
      </c>
      <c r="L141" s="56">
        <f ca="1">IF(RTD("tos.rtd",,$A$2,"."&amp;L$135&amp;L$1&amp;"C"&amp;$A141)="N/A",0,RTD("tos.rtd",,$A$2,"."&amp;L$135&amp;L$1&amp;"C"&amp;$A141))-IF(RTD("tos.rtd",,$A$2,"."&amp;L$135&amp;L$1&amp;"P"&amp;$A141)="N/A",0,RTD("tos.rtd",,$A$2,"."&amp;L$135&amp;L$1&amp;"P"&amp;$A141))</f>
        <v>0</v>
      </c>
      <c r="M141" s="56">
        <f ca="1">IF(RTD("tos.rtd",,$A$2,"."&amp;M$135&amp;M$1&amp;"C"&amp;$A141)="N/A",0,RTD("tos.rtd",,$A$2,"."&amp;M$135&amp;M$1&amp;"C"&amp;$A141))-IF(RTD("tos.rtd",,$A$2,"."&amp;M$135&amp;M$1&amp;"P"&amp;$A141)="N/A",0,RTD("tos.rtd",,$A$2,"."&amp;M$135&amp;M$1&amp;"P"&amp;$A141))</f>
        <v>0</v>
      </c>
      <c r="N141" s="56">
        <f ca="1">IF(RTD("tos.rtd",,$A$2,"."&amp;N$135&amp;N$1&amp;"C"&amp;$A141)="N/A",0,RTD("tos.rtd",,$A$2,"."&amp;N$135&amp;N$1&amp;"C"&amp;$A141))-IF(RTD("tos.rtd",,$A$2,"."&amp;N$135&amp;N$1&amp;"P"&amp;$A141)="N/A",0,RTD("tos.rtd",,$A$2,"."&amp;N$135&amp;N$1&amp;"P"&amp;$A141))</f>
        <v>0</v>
      </c>
      <c r="O141" s="56">
        <f ca="1">IF(RTD("tos.rtd",,$A$2,"."&amp;O$135&amp;O$1&amp;"C"&amp;$A141)="N/A",0,RTD("tos.rtd",,$A$2,"."&amp;O$135&amp;O$1&amp;"C"&amp;$A141))-IF(RTD("tos.rtd",,$A$2,"."&amp;O$135&amp;O$1&amp;"P"&amp;$A141)="N/A",0,RTD("tos.rtd",,$A$2,"."&amp;O$135&amp;O$1&amp;"P"&amp;$A141))</f>
        <v>0</v>
      </c>
      <c r="P141" s="56">
        <f ca="1">IF(RTD("tos.rtd",,$A$2,"."&amp;P$135&amp;P$1&amp;"C"&amp;$A141)="N/A",0,RTD("tos.rtd",,$A$2,"."&amp;P$135&amp;P$1&amp;"C"&amp;$A141))-IF(RTD("tos.rtd",,$A$2,"."&amp;P$135&amp;P$1&amp;"P"&amp;$A141)="N/A",0,RTD("tos.rtd",,$A$2,"."&amp;P$135&amp;P$1&amp;"P"&amp;$A141))</f>
        <v>0</v>
      </c>
      <c r="Q141" s="56">
        <f ca="1">IF(RTD("tos.rtd",,$A$2,"."&amp;Q$135&amp;Q$1&amp;"C"&amp;$A141)="N/A",0,RTD("tos.rtd",,$A$2,"."&amp;Q$135&amp;Q$1&amp;"C"&amp;$A141))-IF(RTD("tos.rtd",,$A$2,"."&amp;Q$135&amp;Q$1&amp;"P"&amp;$A141)="N/A",0,RTD("tos.rtd",,$A$2,"."&amp;Q$135&amp;Q$1&amp;"P"&amp;$A141))</f>
        <v>0</v>
      </c>
      <c r="R141" s="56">
        <f ca="1">IF(RTD("tos.rtd",,$A$2,"."&amp;R$135&amp;R$1&amp;"C"&amp;$A141)="N/A",0,RTD("tos.rtd",,$A$2,"."&amp;R$135&amp;R$1&amp;"C"&amp;$A141))-IF(RTD("tos.rtd",,$A$2,"."&amp;R$135&amp;R$1&amp;"P"&amp;$A141)="N/A",0,RTD("tos.rtd",,$A$2,"."&amp;R$135&amp;R$1&amp;"P"&amp;$A141))</f>
        <v>0</v>
      </c>
      <c r="S141" s="56">
        <f ca="1">IF(RTD("tos.rtd",,$A$2,"."&amp;S$135&amp;S$1&amp;"C"&amp;$A141)="N/A",0,RTD("tos.rtd",,$A$2,"."&amp;S$135&amp;S$1&amp;"C"&amp;$A141))-IF(RTD("tos.rtd",,$A$2,"."&amp;S$135&amp;S$1&amp;"P"&amp;$A141)="N/A",0,RTD("tos.rtd",,$A$2,"."&amp;S$135&amp;S$1&amp;"P"&amp;$A141))</f>
        <v>0</v>
      </c>
      <c r="T141" s="56">
        <f ca="1">IF(RTD("tos.rtd",,$A$2,"."&amp;T$135&amp;T$1&amp;"C"&amp;$A141)="N/A",0,RTD("tos.rtd",,$A$2,"."&amp;T$135&amp;T$1&amp;"C"&amp;$A141))-IF(RTD("tos.rtd",,$A$2,"."&amp;T$135&amp;T$1&amp;"P"&amp;$A141)="N/A",0,RTD("tos.rtd",,$A$2,"."&amp;T$135&amp;T$1&amp;"P"&amp;$A141))</f>
        <v>0</v>
      </c>
      <c r="U141" s="56">
        <f ca="1">IF(RTD("tos.rtd",,$A$2,"."&amp;U$135&amp;U$1&amp;"C"&amp;$A141)="N/A",0,RTD("tos.rtd",,$A$2,"."&amp;U$135&amp;U$1&amp;"C"&amp;$A141))-IF(RTD("tos.rtd",,$A$2,"."&amp;U$135&amp;U$1&amp;"P"&amp;$A141)="N/A",0,RTD("tos.rtd",,$A$2,"."&amp;U$135&amp;U$1&amp;"P"&amp;$A141))</f>
        <v>0</v>
      </c>
      <c r="V141" s="56">
        <f ca="1">IF(RTD("tos.rtd",,$A$2,"."&amp;V$135&amp;V$1&amp;"C"&amp;$A141)="N/A",0,RTD("tos.rtd",,$A$2,"."&amp;V$135&amp;V$1&amp;"C"&amp;$A141))-IF(RTD("tos.rtd",,$A$2,"."&amp;V$135&amp;V$1&amp;"P"&amp;$A141)="N/A",0,RTD("tos.rtd",,$A$2,"."&amp;V$135&amp;V$1&amp;"P"&amp;$A141))</f>
        <v>0</v>
      </c>
      <c r="W141" s="56">
        <f ca="1">IF(RTD("tos.rtd",,$A$2,"."&amp;W$135&amp;W$1&amp;"C"&amp;$A141)="N/A",0,RTD("tos.rtd",,$A$2,"."&amp;W$135&amp;W$1&amp;"C"&amp;$A141))-IF(RTD("tos.rtd",,$A$2,"."&amp;W$135&amp;W$1&amp;"P"&amp;$A141)="N/A",0,RTD("tos.rtd",,$A$2,"."&amp;W$135&amp;W$1&amp;"P"&amp;$A141))</f>
        <v>0</v>
      </c>
      <c r="X141" s="56">
        <f ca="1">IF(RTD("tos.rtd",,$A$2,"."&amp;X$135&amp;X$1&amp;"C"&amp;$A141)="N/A",0,RTD("tos.rtd",,$A$2,"."&amp;X$135&amp;X$1&amp;"C"&amp;$A141))-IF(RTD("tos.rtd",,$A$2,"."&amp;X$135&amp;X$1&amp;"P"&amp;$A141)="N/A",0,RTD("tos.rtd",,$A$2,"."&amp;X$135&amp;X$1&amp;"P"&amp;$A141))</f>
        <v>0</v>
      </c>
      <c r="Y141" s="63">
        <f t="shared" ca="1" si="16"/>
        <v>-2</v>
      </c>
      <c r="Z141" s="56"/>
      <c r="AA141" s="56"/>
    </row>
    <row r="142" spans="1:27" x14ac:dyDescent="0.25">
      <c r="A142" s="58">
        <f>+Hoja1!A141</f>
        <v>25500</v>
      </c>
      <c r="B142" s="56">
        <f ca="1">IF(RTD("tos.rtd",,$A$2,"."&amp;B$135&amp;B$1&amp;"C"&amp;$A142)="N/A",0,RTD("tos.rtd",,$A$2,"."&amp;B$135&amp;B$1&amp;"C"&amp;$A142))-IF(RTD("tos.rtd",,$A$2,"."&amp;B$135&amp;B$1&amp;"P"&amp;$A142)="N/A",0,RTD("tos.rtd",,$A$2,"."&amp;B$135&amp;B$1&amp;"P"&amp;$A142))</f>
        <v>44</v>
      </c>
      <c r="C142" s="56">
        <f ca="1">IF(RTD("tos.rtd",,$A$2,"."&amp;C$135&amp;C$1&amp;"C"&amp;$A142)="N/A",0,RTD("tos.rtd",,$A$2,"."&amp;C$135&amp;C$1&amp;"C"&amp;$A142))-IF(RTD("tos.rtd",,$A$2,"."&amp;C$135&amp;C$1&amp;"P"&amp;$A142)="N/A",0,RTD("tos.rtd",,$A$2,"."&amp;C$135&amp;C$1&amp;"P"&amp;$A142))</f>
        <v>52</v>
      </c>
      <c r="D142" s="56">
        <f ca="1">IF(RTD("tos.rtd",,$A$2,"."&amp;D$135&amp;D$1&amp;"C"&amp;$A142)="N/A",0,RTD("tos.rtd",,$A$2,"."&amp;D$135&amp;D$1&amp;"C"&amp;$A142))-IF(RTD("tos.rtd",,$A$2,"."&amp;D$135&amp;D$1&amp;"P"&amp;$A142)="N/A",0,RTD("tos.rtd",,$A$2,"."&amp;D$135&amp;D$1&amp;"P"&amp;$A142))</f>
        <v>13</v>
      </c>
      <c r="E142" s="56">
        <f ca="1">IF(RTD("tos.rtd",,$A$2,"."&amp;E$135&amp;E$1&amp;"C"&amp;$A142)="N/A",0,RTD("tos.rtd",,$A$2,"."&amp;E$135&amp;E$1&amp;"C"&amp;$A142))-IF(RTD("tos.rtd",,$A$2,"."&amp;E$135&amp;E$1&amp;"P"&amp;$A142)="N/A",0,RTD("tos.rtd",,$A$2,"."&amp;E$135&amp;E$1&amp;"P"&amp;$A142))</f>
        <v>35</v>
      </c>
      <c r="F142" s="56">
        <f ca="1">IF(RTD("tos.rtd",,$A$2,"."&amp;F$135&amp;F$1&amp;"C"&amp;$A142)="N/A",0,RTD("tos.rtd",,$A$2,"."&amp;F$135&amp;F$1&amp;"C"&amp;$A142))-IF(RTD("tos.rtd",,$A$2,"."&amp;F$135&amp;F$1&amp;"P"&amp;$A142)="N/A",0,RTD("tos.rtd",,$A$2,"."&amp;F$135&amp;F$1&amp;"P"&amp;$A142))</f>
        <v>0</v>
      </c>
      <c r="G142" s="56">
        <f ca="1">IF(RTD("tos.rtd",,$A$2,"."&amp;G$135&amp;G$1&amp;"C"&amp;$A142)="N/A",0,RTD("tos.rtd",,$A$2,"."&amp;G$135&amp;G$1&amp;"C"&amp;$A142))-IF(RTD("tos.rtd",,$A$2,"."&amp;G$135&amp;G$1&amp;"P"&amp;$A142)="N/A",0,RTD("tos.rtd",,$A$2,"."&amp;G$135&amp;G$1&amp;"P"&amp;$A142))</f>
        <v>0</v>
      </c>
      <c r="H142" s="56">
        <f ca="1">IF(RTD("tos.rtd",,$A$2,"."&amp;H$135&amp;H$1&amp;"C"&amp;$A142)="N/A",0,RTD("tos.rtd",,$A$2,"."&amp;H$135&amp;H$1&amp;"C"&amp;$A142))-IF(RTD("tos.rtd",,$A$2,"."&amp;H$135&amp;H$1&amp;"P"&amp;$A142)="N/A",0,RTD("tos.rtd",,$A$2,"."&amp;H$135&amp;H$1&amp;"P"&amp;$A142))</f>
        <v>0</v>
      </c>
      <c r="I142" s="56">
        <f ca="1">IF(RTD("tos.rtd",,$A$2,"."&amp;I$135&amp;I$1&amp;"C"&amp;$A142)="N/A",0,RTD("tos.rtd",,$A$2,"."&amp;I$135&amp;I$1&amp;"C"&amp;$A142))-IF(RTD("tos.rtd",,$A$2,"."&amp;I$135&amp;I$1&amp;"P"&amp;$A142)="N/A",0,RTD("tos.rtd",,$A$2,"."&amp;I$135&amp;I$1&amp;"P"&amp;$A142))</f>
        <v>28</v>
      </c>
      <c r="J142" s="56">
        <f ca="1">IF(RTD("tos.rtd",,$A$2,"."&amp;J$135&amp;J$1&amp;"C"&amp;$A142)="N/A",0,RTD("tos.rtd",,$A$2,"."&amp;J$135&amp;J$1&amp;"C"&amp;$A142))-IF(RTD("tos.rtd",,$A$2,"."&amp;J$135&amp;J$1&amp;"P"&amp;$A142)="N/A",0,RTD("tos.rtd",,$A$2,"."&amp;J$135&amp;J$1&amp;"P"&amp;$A142))</f>
        <v>0</v>
      </c>
      <c r="K142" s="56">
        <f ca="1">IF(RTD("tos.rtd",,$A$2,"."&amp;K$135&amp;K$1&amp;"C"&amp;$A142)="N/A",0,RTD("tos.rtd",,$A$2,"."&amp;K$135&amp;K$1&amp;"C"&amp;$A142))-IF(RTD("tos.rtd",,$A$2,"."&amp;K$135&amp;K$1&amp;"P"&amp;$A142)="N/A",0,RTD("tos.rtd",,$A$2,"."&amp;K$135&amp;K$1&amp;"P"&amp;$A142))</f>
        <v>42</v>
      </c>
      <c r="L142" s="56">
        <f ca="1">IF(RTD("tos.rtd",,$A$2,"."&amp;L$135&amp;L$1&amp;"C"&amp;$A142)="N/A",0,RTD("tos.rtd",,$A$2,"."&amp;L$135&amp;L$1&amp;"C"&amp;$A142))-IF(RTD("tos.rtd",,$A$2,"."&amp;L$135&amp;L$1&amp;"P"&amp;$A142)="N/A",0,RTD("tos.rtd",,$A$2,"."&amp;L$135&amp;L$1&amp;"P"&amp;$A142))</f>
        <v>0</v>
      </c>
      <c r="M142" s="56">
        <f ca="1">IF(RTD("tos.rtd",,$A$2,"."&amp;M$135&amp;M$1&amp;"C"&amp;$A142)="N/A",0,RTD("tos.rtd",,$A$2,"."&amp;M$135&amp;M$1&amp;"C"&amp;$A142))-IF(RTD("tos.rtd",,$A$2,"."&amp;M$135&amp;M$1&amp;"P"&amp;$A142)="N/A",0,RTD("tos.rtd",,$A$2,"."&amp;M$135&amp;M$1&amp;"P"&amp;$A142))</f>
        <v>0</v>
      </c>
      <c r="N142" s="56">
        <f ca="1">IF(RTD("tos.rtd",,$A$2,"."&amp;N$135&amp;N$1&amp;"C"&amp;$A142)="N/A",0,RTD("tos.rtd",,$A$2,"."&amp;N$135&amp;N$1&amp;"C"&amp;$A142))-IF(RTD("tos.rtd",,$A$2,"."&amp;N$135&amp;N$1&amp;"P"&amp;$A142)="N/A",0,RTD("tos.rtd",,$A$2,"."&amp;N$135&amp;N$1&amp;"P"&amp;$A142))</f>
        <v>0</v>
      </c>
      <c r="O142" s="56">
        <f ca="1">IF(RTD("tos.rtd",,$A$2,"."&amp;O$135&amp;O$1&amp;"C"&amp;$A142)="N/A",0,RTD("tos.rtd",,$A$2,"."&amp;O$135&amp;O$1&amp;"C"&amp;$A142))-IF(RTD("tos.rtd",,$A$2,"."&amp;O$135&amp;O$1&amp;"P"&amp;$A142)="N/A",0,RTD("tos.rtd",,$A$2,"."&amp;O$135&amp;O$1&amp;"P"&amp;$A142))</f>
        <v>0</v>
      </c>
      <c r="P142" s="56">
        <f ca="1">IF(RTD("tos.rtd",,$A$2,"."&amp;P$135&amp;P$1&amp;"C"&amp;$A142)="N/A",0,RTD("tos.rtd",,$A$2,"."&amp;P$135&amp;P$1&amp;"C"&amp;$A142))-IF(RTD("tos.rtd",,$A$2,"."&amp;P$135&amp;P$1&amp;"P"&amp;$A142)="N/A",0,RTD("tos.rtd",,$A$2,"."&amp;P$135&amp;P$1&amp;"P"&amp;$A142))</f>
        <v>0</v>
      </c>
      <c r="Q142" s="56">
        <f ca="1">IF(RTD("tos.rtd",,$A$2,"."&amp;Q$135&amp;Q$1&amp;"C"&amp;$A142)="N/A",0,RTD("tos.rtd",,$A$2,"."&amp;Q$135&amp;Q$1&amp;"C"&amp;$A142))-IF(RTD("tos.rtd",,$A$2,"."&amp;Q$135&amp;Q$1&amp;"P"&amp;$A142)="N/A",0,RTD("tos.rtd",,$A$2,"."&amp;Q$135&amp;Q$1&amp;"P"&amp;$A142))</f>
        <v>0</v>
      </c>
      <c r="R142" s="56">
        <f ca="1">IF(RTD("tos.rtd",,$A$2,"."&amp;R$135&amp;R$1&amp;"C"&amp;$A142)="N/A",0,RTD("tos.rtd",,$A$2,"."&amp;R$135&amp;R$1&amp;"C"&amp;$A142))-IF(RTD("tos.rtd",,$A$2,"."&amp;R$135&amp;R$1&amp;"P"&amp;$A142)="N/A",0,RTD("tos.rtd",,$A$2,"."&amp;R$135&amp;R$1&amp;"P"&amp;$A142))</f>
        <v>0</v>
      </c>
      <c r="S142" s="56">
        <f ca="1">IF(RTD("tos.rtd",,$A$2,"."&amp;S$135&amp;S$1&amp;"C"&amp;$A142)="N/A",0,RTD("tos.rtd",,$A$2,"."&amp;S$135&amp;S$1&amp;"C"&amp;$A142))-IF(RTD("tos.rtd",,$A$2,"."&amp;S$135&amp;S$1&amp;"P"&amp;$A142)="N/A",0,RTD("tos.rtd",,$A$2,"."&amp;S$135&amp;S$1&amp;"P"&amp;$A142))</f>
        <v>0</v>
      </c>
      <c r="T142" s="56">
        <f ca="1">IF(RTD("tos.rtd",,$A$2,"."&amp;T$135&amp;T$1&amp;"C"&amp;$A142)="N/A",0,RTD("tos.rtd",,$A$2,"."&amp;T$135&amp;T$1&amp;"C"&amp;$A142))-IF(RTD("tos.rtd",,$A$2,"."&amp;T$135&amp;T$1&amp;"P"&amp;$A142)="N/A",0,RTD("tos.rtd",,$A$2,"."&amp;T$135&amp;T$1&amp;"P"&amp;$A142))</f>
        <v>0</v>
      </c>
      <c r="U142" s="56">
        <f ca="1">IF(RTD("tos.rtd",,$A$2,"."&amp;U$135&amp;U$1&amp;"C"&amp;$A142)="N/A",0,RTD("tos.rtd",,$A$2,"."&amp;U$135&amp;U$1&amp;"C"&amp;$A142))-IF(RTD("tos.rtd",,$A$2,"."&amp;U$135&amp;U$1&amp;"P"&amp;$A142)="N/A",0,RTD("tos.rtd",,$A$2,"."&amp;U$135&amp;U$1&amp;"P"&amp;$A142))</f>
        <v>0</v>
      </c>
      <c r="V142" s="56">
        <f ca="1">IF(RTD("tos.rtd",,$A$2,"."&amp;V$135&amp;V$1&amp;"C"&amp;$A142)="N/A",0,RTD("tos.rtd",,$A$2,"."&amp;V$135&amp;V$1&amp;"C"&amp;$A142))-IF(RTD("tos.rtd",,$A$2,"."&amp;V$135&amp;V$1&amp;"P"&amp;$A142)="N/A",0,RTD("tos.rtd",,$A$2,"."&amp;V$135&amp;V$1&amp;"P"&amp;$A142))</f>
        <v>0</v>
      </c>
      <c r="W142" s="56">
        <f ca="1">IF(RTD("tos.rtd",,$A$2,"."&amp;W$135&amp;W$1&amp;"C"&amp;$A142)="N/A",0,RTD("tos.rtd",,$A$2,"."&amp;W$135&amp;W$1&amp;"C"&amp;$A142))-IF(RTD("tos.rtd",,$A$2,"."&amp;W$135&amp;W$1&amp;"P"&amp;$A142)="N/A",0,RTD("tos.rtd",,$A$2,"."&amp;W$135&amp;W$1&amp;"P"&amp;$A142))</f>
        <v>0</v>
      </c>
      <c r="X142" s="56">
        <f ca="1">IF(RTD("tos.rtd",,$A$2,"."&amp;X$135&amp;X$1&amp;"C"&amp;$A142)="N/A",0,RTD("tos.rtd",,$A$2,"."&amp;X$135&amp;X$1&amp;"C"&amp;$A142))-IF(RTD("tos.rtd",,$A$2,"."&amp;X$135&amp;X$1&amp;"P"&amp;$A142)="N/A",0,RTD("tos.rtd",,$A$2,"."&amp;X$135&amp;X$1&amp;"P"&amp;$A142))</f>
        <v>0</v>
      </c>
      <c r="Y142" s="63">
        <f t="shared" ca="1" si="16"/>
        <v>214</v>
      </c>
      <c r="Z142" s="56"/>
      <c r="AA142" s="56"/>
    </row>
    <row r="143" spans="1:27" x14ac:dyDescent="0.25">
      <c r="A143" s="58">
        <f>+Hoja1!A142</f>
        <v>25475</v>
      </c>
      <c r="B143" s="56">
        <f ca="1">IF(RTD("tos.rtd",,$A$2,"."&amp;B$135&amp;B$1&amp;"C"&amp;$A143)="N/A",0,RTD("tos.rtd",,$A$2,"."&amp;B$135&amp;B$1&amp;"C"&amp;$A143))-IF(RTD("tos.rtd",,$A$2,"."&amp;B$135&amp;B$1&amp;"P"&amp;$A143)="N/A",0,RTD("tos.rtd",,$A$2,"."&amp;B$135&amp;B$1&amp;"P"&amp;$A143))</f>
        <v>0</v>
      </c>
      <c r="C143" s="56">
        <f ca="1">IF(RTD("tos.rtd",,$A$2,"."&amp;C$135&amp;C$1&amp;"C"&amp;$A143)="N/A",0,RTD("tos.rtd",,$A$2,"."&amp;C$135&amp;C$1&amp;"C"&amp;$A143))-IF(RTD("tos.rtd",,$A$2,"."&amp;C$135&amp;C$1&amp;"P"&amp;$A143)="N/A",0,RTD("tos.rtd",,$A$2,"."&amp;C$135&amp;C$1&amp;"P"&amp;$A143))</f>
        <v>0</v>
      </c>
      <c r="D143" s="56">
        <f ca="1">IF(RTD("tos.rtd",,$A$2,"."&amp;D$135&amp;D$1&amp;"C"&amp;$A143)="N/A",0,RTD("tos.rtd",,$A$2,"."&amp;D$135&amp;D$1&amp;"C"&amp;$A143))-IF(RTD("tos.rtd",,$A$2,"."&amp;D$135&amp;D$1&amp;"P"&amp;$A143)="N/A",0,RTD("tos.rtd",,$A$2,"."&amp;D$135&amp;D$1&amp;"P"&amp;$A143))</f>
        <v>0</v>
      </c>
      <c r="E143" s="56">
        <f ca="1">IF(RTD("tos.rtd",,$A$2,"."&amp;E$135&amp;E$1&amp;"C"&amp;$A143)="N/A",0,RTD("tos.rtd",,$A$2,"."&amp;E$135&amp;E$1&amp;"C"&amp;$A143))-IF(RTD("tos.rtd",,$A$2,"."&amp;E$135&amp;E$1&amp;"P"&amp;$A143)="N/A",0,RTD("tos.rtd",,$A$2,"."&amp;E$135&amp;E$1&amp;"P"&amp;$A143))</f>
        <v>0</v>
      </c>
      <c r="F143" s="56">
        <f ca="1">IF(RTD("tos.rtd",,$A$2,"."&amp;F$135&amp;F$1&amp;"C"&amp;$A143)="N/A",0,RTD("tos.rtd",,$A$2,"."&amp;F$135&amp;F$1&amp;"C"&amp;$A143))-IF(RTD("tos.rtd",,$A$2,"."&amp;F$135&amp;F$1&amp;"P"&amp;$A143)="N/A",0,RTD("tos.rtd",,$A$2,"."&amp;F$135&amp;F$1&amp;"P"&amp;$A143))</f>
        <v>0</v>
      </c>
      <c r="G143" s="56">
        <f ca="1">IF(RTD("tos.rtd",,$A$2,"."&amp;G$135&amp;G$1&amp;"C"&amp;$A143)="N/A",0,RTD("tos.rtd",,$A$2,"."&amp;G$135&amp;G$1&amp;"C"&amp;$A143))-IF(RTD("tos.rtd",,$A$2,"."&amp;G$135&amp;G$1&amp;"P"&amp;$A143)="N/A",0,RTD("tos.rtd",,$A$2,"."&amp;G$135&amp;G$1&amp;"P"&amp;$A143))</f>
        <v>0</v>
      </c>
      <c r="H143" s="56">
        <f ca="1">IF(RTD("tos.rtd",,$A$2,"."&amp;H$135&amp;H$1&amp;"C"&amp;$A143)="N/A",0,RTD("tos.rtd",,$A$2,"."&amp;H$135&amp;H$1&amp;"C"&amp;$A143))-IF(RTD("tos.rtd",,$A$2,"."&amp;H$135&amp;H$1&amp;"P"&amp;$A143)="N/A",0,RTD("tos.rtd",,$A$2,"."&amp;H$135&amp;H$1&amp;"P"&amp;$A143))</f>
        <v>0</v>
      </c>
      <c r="I143" s="56">
        <f ca="1">IF(RTD("tos.rtd",,$A$2,"."&amp;I$135&amp;I$1&amp;"C"&amp;$A143)="N/A",0,RTD("tos.rtd",,$A$2,"."&amp;I$135&amp;I$1&amp;"C"&amp;$A143))-IF(RTD("tos.rtd",,$A$2,"."&amp;I$135&amp;I$1&amp;"P"&amp;$A143)="N/A",0,RTD("tos.rtd",,$A$2,"."&amp;I$135&amp;I$1&amp;"P"&amp;$A143))</f>
        <v>1</v>
      </c>
      <c r="J143" s="56">
        <f ca="1">IF(RTD("tos.rtd",,$A$2,"."&amp;J$135&amp;J$1&amp;"C"&amp;$A143)="N/A",0,RTD("tos.rtd",,$A$2,"."&amp;J$135&amp;J$1&amp;"C"&amp;$A143))-IF(RTD("tos.rtd",,$A$2,"."&amp;J$135&amp;J$1&amp;"P"&amp;$A143)="N/A",0,RTD("tos.rtd",,$A$2,"."&amp;J$135&amp;J$1&amp;"P"&amp;$A143))</f>
        <v>0</v>
      </c>
      <c r="K143" s="56">
        <f ca="1">IF(RTD("tos.rtd",,$A$2,"."&amp;K$135&amp;K$1&amp;"C"&amp;$A143)="N/A",0,RTD("tos.rtd",,$A$2,"."&amp;K$135&amp;K$1&amp;"C"&amp;$A143))-IF(RTD("tos.rtd",,$A$2,"."&amp;K$135&amp;K$1&amp;"P"&amp;$A143)="N/A",0,RTD("tos.rtd",,$A$2,"."&amp;K$135&amp;K$1&amp;"P"&amp;$A143))</f>
        <v>0</v>
      </c>
      <c r="L143" s="56">
        <f ca="1">IF(RTD("tos.rtd",,$A$2,"."&amp;L$135&amp;L$1&amp;"C"&amp;$A143)="N/A",0,RTD("tos.rtd",,$A$2,"."&amp;L$135&amp;L$1&amp;"C"&amp;$A143))-IF(RTD("tos.rtd",,$A$2,"."&amp;L$135&amp;L$1&amp;"P"&amp;$A143)="N/A",0,RTD("tos.rtd",,$A$2,"."&amp;L$135&amp;L$1&amp;"P"&amp;$A143))</f>
        <v>0</v>
      </c>
      <c r="M143" s="56">
        <f ca="1">IF(RTD("tos.rtd",,$A$2,"."&amp;M$135&amp;M$1&amp;"C"&amp;$A143)="N/A",0,RTD("tos.rtd",,$A$2,"."&amp;M$135&amp;M$1&amp;"C"&amp;$A143))-IF(RTD("tos.rtd",,$A$2,"."&amp;M$135&amp;M$1&amp;"P"&amp;$A143)="N/A",0,RTD("tos.rtd",,$A$2,"."&amp;M$135&amp;M$1&amp;"P"&amp;$A143))</f>
        <v>0</v>
      </c>
      <c r="N143" s="56">
        <f ca="1">IF(RTD("tos.rtd",,$A$2,"."&amp;N$135&amp;N$1&amp;"C"&amp;$A143)="N/A",0,RTD("tos.rtd",,$A$2,"."&amp;N$135&amp;N$1&amp;"C"&amp;$A143))-IF(RTD("tos.rtd",,$A$2,"."&amp;N$135&amp;N$1&amp;"P"&amp;$A143)="N/A",0,RTD("tos.rtd",,$A$2,"."&amp;N$135&amp;N$1&amp;"P"&amp;$A143))</f>
        <v>0</v>
      </c>
      <c r="O143" s="56">
        <f ca="1">IF(RTD("tos.rtd",,$A$2,"."&amp;O$135&amp;O$1&amp;"C"&amp;$A143)="N/A",0,RTD("tos.rtd",,$A$2,"."&amp;O$135&amp;O$1&amp;"C"&amp;$A143))-IF(RTD("tos.rtd",,$A$2,"."&amp;O$135&amp;O$1&amp;"P"&amp;$A143)="N/A",0,RTD("tos.rtd",,$A$2,"."&amp;O$135&amp;O$1&amp;"P"&amp;$A143))</f>
        <v>0</v>
      </c>
      <c r="P143" s="56">
        <f ca="1">IF(RTD("tos.rtd",,$A$2,"."&amp;P$135&amp;P$1&amp;"C"&amp;$A143)="N/A",0,RTD("tos.rtd",,$A$2,"."&amp;P$135&amp;P$1&amp;"C"&amp;$A143))-IF(RTD("tos.rtd",,$A$2,"."&amp;P$135&amp;P$1&amp;"P"&amp;$A143)="N/A",0,RTD("tos.rtd",,$A$2,"."&amp;P$135&amp;P$1&amp;"P"&amp;$A143))</f>
        <v>0</v>
      </c>
      <c r="Q143" s="56">
        <f ca="1">IF(RTD("tos.rtd",,$A$2,"."&amp;Q$135&amp;Q$1&amp;"C"&amp;$A143)="N/A",0,RTD("tos.rtd",,$A$2,"."&amp;Q$135&amp;Q$1&amp;"C"&amp;$A143))-IF(RTD("tos.rtd",,$A$2,"."&amp;Q$135&amp;Q$1&amp;"P"&amp;$A143)="N/A",0,RTD("tos.rtd",,$A$2,"."&amp;Q$135&amp;Q$1&amp;"P"&amp;$A143))</f>
        <v>0</v>
      </c>
      <c r="R143" s="56">
        <f ca="1">IF(RTD("tos.rtd",,$A$2,"."&amp;R$135&amp;R$1&amp;"C"&amp;$A143)="N/A",0,RTD("tos.rtd",,$A$2,"."&amp;R$135&amp;R$1&amp;"C"&amp;$A143))-IF(RTD("tos.rtd",,$A$2,"."&amp;R$135&amp;R$1&amp;"P"&amp;$A143)="N/A",0,RTD("tos.rtd",,$A$2,"."&amp;R$135&amp;R$1&amp;"P"&amp;$A143))</f>
        <v>0</v>
      </c>
      <c r="S143" s="56">
        <f ca="1">IF(RTD("tos.rtd",,$A$2,"."&amp;S$135&amp;S$1&amp;"C"&amp;$A143)="N/A",0,RTD("tos.rtd",,$A$2,"."&amp;S$135&amp;S$1&amp;"C"&amp;$A143))-IF(RTD("tos.rtd",,$A$2,"."&amp;S$135&amp;S$1&amp;"P"&amp;$A143)="N/A",0,RTD("tos.rtd",,$A$2,"."&amp;S$135&amp;S$1&amp;"P"&amp;$A143))</f>
        <v>0</v>
      </c>
      <c r="T143" s="56">
        <f ca="1">IF(RTD("tos.rtd",,$A$2,"."&amp;T$135&amp;T$1&amp;"C"&amp;$A143)="N/A",0,RTD("tos.rtd",,$A$2,"."&amp;T$135&amp;T$1&amp;"C"&amp;$A143))-IF(RTD("tos.rtd",,$A$2,"."&amp;T$135&amp;T$1&amp;"P"&amp;$A143)="N/A",0,RTD("tos.rtd",,$A$2,"."&amp;T$135&amp;T$1&amp;"P"&amp;$A143))</f>
        <v>0</v>
      </c>
      <c r="U143" s="56">
        <f ca="1">IF(RTD("tos.rtd",,$A$2,"."&amp;U$135&amp;U$1&amp;"C"&amp;$A143)="N/A",0,RTD("tos.rtd",,$A$2,"."&amp;U$135&amp;U$1&amp;"C"&amp;$A143))-IF(RTD("tos.rtd",,$A$2,"."&amp;U$135&amp;U$1&amp;"P"&amp;$A143)="N/A",0,RTD("tos.rtd",,$A$2,"."&amp;U$135&amp;U$1&amp;"P"&amp;$A143))</f>
        <v>0</v>
      </c>
      <c r="V143" s="56">
        <f ca="1">IF(RTD("tos.rtd",,$A$2,"."&amp;V$135&amp;V$1&amp;"C"&amp;$A143)="N/A",0,RTD("tos.rtd",,$A$2,"."&amp;V$135&amp;V$1&amp;"C"&amp;$A143))-IF(RTD("tos.rtd",,$A$2,"."&amp;V$135&amp;V$1&amp;"P"&amp;$A143)="N/A",0,RTD("tos.rtd",,$A$2,"."&amp;V$135&amp;V$1&amp;"P"&amp;$A143))</f>
        <v>0</v>
      </c>
      <c r="W143" s="56">
        <f ca="1">IF(RTD("tos.rtd",,$A$2,"."&amp;W$135&amp;W$1&amp;"C"&amp;$A143)="N/A",0,RTD("tos.rtd",,$A$2,"."&amp;W$135&amp;W$1&amp;"C"&amp;$A143))-IF(RTD("tos.rtd",,$A$2,"."&amp;W$135&amp;W$1&amp;"P"&amp;$A143)="N/A",0,RTD("tos.rtd",,$A$2,"."&amp;W$135&amp;W$1&amp;"P"&amp;$A143))</f>
        <v>0</v>
      </c>
      <c r="X143" s="56">
        <f ca="1">IF(RTD("tos.rtd",,$A$2,"."&amp;X$135&amp;X$1&amp;"C"&amp;$A143)="N/A",0,RTD("tos.rtd",,$A$2,"."&amp;X$135&amp;X$1&amp;"C"&amp;$A143))-IF(RTD("tos.rtd",,$A$2,"."&amp;X$135&amp;X$1&amp;"P"&amp;$A143)="N/A",0,RTD("tos.rtd",,$A$2,"."&amp;X$135&amp;X$1&amp;"P"&amp;$A143))</f>
        <v>0</v>
      </c>
      <c r="Y143" s="63">
        <f t="shared" ca="1" si="16"/>
        <v>1</v>
      </c>
      <c r="Z143" s="56"/>
      <c r="AA143" s="56"/>
    </row>
    <row r="144" spans="1:27" x14ac:dyDescent="0.25">
      <c r="A144" s="58">
        <f>+Hoja1!A143</f>
        <v>25450</v>
      </c>
      <c r="B144" s="56">
        <f ca="1">IF(RTD("tos.rtd",,$A$2,"."&amp;B$135&amp;B$1&amp;"C"&amp;$A144)="N/A",0,RTD("tos.rtd",,$A$2,"."&amp;B$135&amp;B$1&amp;"C"&amp;$A144))-IF(RTD("tos.rtd",,$A$2,"."&amp;B$135&amp;B$1&amp;"P"&amp;$A144)="N/A",0,RTD("tos.rtd",,$A$2,"."&amp;B$135&amp;B$1&amp;"P"&amp;$A144))</f>
        <v>16</v>
      </c>
      <c r="C144" s="56">
        <f ca="1">IF(RTD("tos.rtd",,$A$2,"."&amp;C$135&amp;C$1&amp;"C"&amp;$A144)="N/A",0,RTD("tos.rtd",,$A$2,"."&amp;C$135&amp;C$1&amp;"C"&amp;$A144))-IF(RTD("tos.rtd",,$A$2,"."&amp;C$135&amp;C$1&amp;"P"&amp;$A144)="N/A",0,RTD("tos.rtd",,$A$2,"."&amp;C$135&amp;C$1&amp;"P"&amp;$A144))</f>
        <v>-9</v>
      </c>
      <c r="D144" s="56">
        <f ca="1">IF(RTD("tos.rtd",,$A$2,"."&amp;D$135&amp;D$1&amp;"C"&amp;$A144)="N/A",0,RTD("tos.rtd",,$A$2,"."&amp;D$135&amp;D$1&amp;"C"&amp;$A144))-IF(RTD("tos.rtd",,$A$2,"."&amp;D$135&amp;D$1&amp;"P"&amp;$A144)="N/A",0,RTD("tos.rtd",,$A$2,"."&amp;D$135&amp;D$1&amp;"P"&amp;$A144))</f>
        <v>17</v>
      </c>
      <c r="E144" s="56">
        <f ca="1">IF(RTD("tos.rtd",,$A$2,"."&amp;E$135&amp;E$1&amp;"C"&amp;$A144)="N/A",0,RTD("tos.rtd",,$A$2,"."&amp;E$135&amp;E$1&amp;"C"&amp;$A144))-IF(RTD("tos.rtd",,$A$2,"."&amp;E$135&amp;E$1&amp;"P"&amp;$A144)="N/A",0,RTD("tos.rtd",,$A$2,"."&amp;E$135&amp;E$1&amp;"P"&amp;$A144))</f>
        <v>0</v>
      </c>
      <c r="F144" s="56">
        <f ca="1">IF(RTD("tos.rtd",,$A$2,"."&amp;F$135&amp;F$1&amp;"C"&amp;$A144)="N/A",0,RTD("tos.rtd",,$A$2,"."&amp;F$135&amp;F$1&amp;"C"&amp;$A144))-IF(RTD("tos.rtd",,$A$2,"."&amp;F$135&amp;F$1&amp;"P"&amp;$A144)="N/A",0,RTD("tos.rtd",,$A$2,"."&amp;F$135&amp;F$1&amp;"P"&amp;$A144))</f>
        <v>0</v>
      </c>
      <c r="G144" s="56">
        <f ca="1">IF(RTD("tos.rtd",,$A$2,"."&amp;G$135&amp;G$1&amp;"C"&amp;$A144)="N/A",0,RTD("tos.rtd",,$A$2,"."&amp;G$135&amp;G$1&amp;"C"&amp;$A144))-IF(RTD("tos.rtd",,$A$2,"."&amp;G$135&amp;G$1&amp;"P"&amp;$A144)="N/A",0,RTD("tos.rtd",,$A$2,"."&amp;G$135&amp;G$1&amp;"P"&amp;$A144))</f>
        <v>0</v>
      </c>
      <c r="H144" s="56">
        <f ca="1">IF(RTD("tos.rtd",,$A$2,"."&amp;H$135&amp;H$1&amp;"C"&amp;$A144)="N/A",0,RTD("tos.rtd",,$A$2,"."&amp;H$135&amp;H$1&amp;"C"&amp;$A144))-IF(RTD("tos.rtd",,$A$2,"."&amp;H$135&amp;H$1&amp;"P"&amp;$A144)="N/A",0,RTD("tos.rtd",,$A$2,"."&amp;H$135&amp;H$1&amp;"P"&amp;$A144))</f>
        <v>0</v>
      </c>
      <c r="I144" s="56">
        <f ca="1">IF(RTD("tos.rtd",,$A$2,"."&amp;I$135&amp;I$1&amp;"C"&amp;$A144)="N/A",0,RTD("tos.rtd",,$A$2,"."&amp;I$135&amp;I$1&amp;"C"&amp;$A144))-IF(RTD("tos.rtd",,$A$2,"."&amp;I$135&amp;I$1&amp;"P"&amp;$A144)="N/A",0,RTD("tos.rtd",,$A$2,"."&amp;I$135&amp;I$1&amp;"P"&amp;$A144))</f>
        <v>-3</v>
      </c>
      <c r="J144" s="56">
        <f ca="1">IF(RTD("tos.rtd",,$A$2,"."&amp;J$135&amp;J$1&amp;"C"&amp;$A144)="N/A",0,RTD("tos.rtd",,$A$2,"."&amp;J$135&amp;J$1&amp;"C"&amp;$A144))-IF(RTD("tos.rtd",,$A$2,"."&amp;J$135&amp;J$1&amp;"P"&amp;$A144)="N/A",0,RTD("tos.rtd",,$A$2,"."&amp;J$135&amp;J$1&amp;"P"&amp;$A144))</f>
        <v>0</v>
      </c>
      <c r="K144" s="56">
        <f ca="1">IF(RTD("tos.rtd",,$A$2,"."&amp;K$135&amp;K$1&amp;"C"&amp;$A144)="N/A",0,RTD("tos.rtd",,$A$2,"."&amp;K$135&amp;K$1&amp;"C"&amp;$A144))-IF(RTD("tos.rtd",,$A$2,"."&amp;K$135&amp;K$1&amp;"P"&amp;$A144)="N/A",0,RTD("tos.rtd",,$A$2,"."&amp;K$135&amp;K$1&amp;"P"&amp;$A144))</f>
        <v>0</v>
      </c>
      <c r="L144" s="56">
        <f ca="1">IF(RTD("tos.rtd",,$A$2,"."&amp;L$135&amp;L$1&amp;"C"&amp;$A144)="N/A",0,RTD("tos.rtd",,$A$2,"."&amp;L$135&amp;L$1&amp;"C"&amp;$A144))-IF(RTD("tos.rtd",,$A$2,"."&amp;L$135&amp;L$1&amp;"P"&amp;$A144)="N/A",0,RTD("tos.rtd",,$A$2,"."&amp;L$135&amp;L$1&amp;"P"&amp;$A144))</f>
        <v>0</v>
      </c>
      <c r="M144" s="56">
        <f ca="1">IF(RTD("tos.rtd",,$A$2,"."&amp;M$135&amp;M$1&amp;"C"&amp;$A144)="N/A",0,RTD("tos.rtd",,$A$2,"."&amp;M$135&amp;M$1&amp;"C"&amp;$A144))-IF(RTD("tos.rtd",,$A$2,"."&amp;M$135&amp;M$1&amp;"P"&amp;$A144)="N/A",0,RTD("tos.rtd",,$A$2,"."&amp;M$135&amp;M$1&amp;"P"&amp;$A144))</f>
        <v>0</v>
      </c>
      <c r="N144" s="56">
        <f ca="1">IF(RTD("tos.rtd",,$A$2,"."&amp;N$135&amp;N$1&amp;"C"&amp;$A144)="N/A",0,RTD("tos.rtd",,$A$2,"."&amp;N$135&amp;N$1&amp;"C"&amp;$A144))-IF(RTD("tos.rtd",,$A$2,"."&amp;N$135&amp;N$1&amp;"P"&amp;$A144)="N/A",0,RTD("tos.rtd",,$A$2,"."&amp;N$135&amp;N$1&amp;"P"&amp;$A144))</f>
        <v>0</v>
      </c>
      <c r="O144" s="56">
        <f ca="1">IF(RTD("tos.rtd",,$A$2,"."&amp;O$135&amp;O$1&amp;"C"&amp;$A144)="N/A",0,RTD("tos.rtd",,$A$2,"."&amp;O$135&amp;O$1&amp;"C"&amp;$A144))-IF(RTD("tos.rtd",,$A$2,"."&amp;O$135&amp;O$1&amp;"P"&amp;$A144)="N/A",0,RTD("tos.rtd",,$A$2,"."&amp;O$135&amp;O$1&amp;"P"&amp;$A144))</f>
        <v>0</v>
      </c>
      <c r="P144" s="56">
        <f ca="1">IF(RTD("tos.rtd",,$A$2,"."&amp;P$135&amp;P$1&amp;"C"&amp;$A144)="N/A",0,RTD("tos.rtd",,$A$2,"."&amp;P$135&amp;P$1&amp;"C"&amp;$A144))-IF(RTD("tos.rtd",,$A$2,"."&amp;P$135&amp;P$1&amp;"P"&amp;$A144)="N/A",0,RTD("tos.rtd",,$A$2,"."&amp;P$135&amp;P$1&amp;"P"&amp;$A144))</f>
        <v>0</v>
      </c>
      <c r="Q144" s="56">
        <f ca="1">IF(RTD("tos.rtd",,$A$2,"."&amp;Q$135&amp;Q$1&amp;"C"&amp;$A144)="N/A",0,RTD("tos.rtd",,$A$2,"."&amp;Q$135&amp;Q$1&amp;"C"&amp;$A144))-IF(RTD("tos.rtd",,$A$2,"."&amp;Q$135&amp;Q$1&amp;"P"&amp;$A144)="N/A",0,RTD("tos.rtd",,$A$2,"."&amp;Q$135&amp;Q$1&amp;"P"&amp;$A144))</f>
        <v>0</v>
      </c>
      <c r="R144" s="56">
        <f ca="1">IF(RTD("tos.rtd",,$A$2,"."&amp;R$135&amp;R$1&amp;"C"&amp;$A144)="N/A",0,RTD("tos.rtd",,$A$2,"."&amp;R$135&amp;R$1&amp;"C"&amp;$A144))-IF(RTD("tos.rtd",,$A$2,"."&amp;R$135&amp;R$1&amp;"P"&amp;$A144)="N/A",0,RTD("tos.rtd",,$A$2,"."&amp;R$135&amp;R$1&amp;"P"&amp;$A144))</f>
        <v>0</v>
      </c>
      <c r="S144" s="56">
        <f ca="1">IF(RTD("tos.rtd",,$A$2,"."&amp;S$135&amp;S$1&amp;"C"&amp;$A144)="N/A",0,RTD("tos.rtd",,$A$2,"."&amp;S$135&amp;S$1&amp;"C"&amp;$A144))-IF(RTD("tos.rtd",,$A$2,"."&amp;S$135&amp;S$1&amp;"P"&amp;$A144)="N/A",0,RTD("tos.rtd",,$A$2,"."&amp;S$135&amp;S$1&amp;"P"&amp;$A144))</f>
        <v>0</v>
      </c>
      <c r="T144" s="56">
        <f ca="1">IF(RTD("tos.rtd",,$A$2,"."&amp;T$135&amp;T$1&amp;"C"&amp;$A144)="N/A",0,RTD("tos.rtd",,$A$2,"."&amp;T$135&amp;T$1&amp;"C"&amp;$A144))-IF(RTD("tos.rtd",,$A$2,"."&amp;T$135&amp;T$1&amp;"P"&amp;$A144)="N/A",0,RTD("tos.rtd",,$A$2,"."&amp;T$135&amp;T$1&amp;"P"&amp;$A144))</f>
        <v>0</v>
      </c>
      <c r="U144" s="56">
        <f ca="1">IF(RTD("tos.rtd",,$A$2,"."&amp;U$135&amp;U$1&amp;"C"&amp;$A144)="N/A",0,RTD("tos.rtd",,$A$2,"."&amp;U$135&amp;U$1&amp;"C"&amp;$A144))-IF(RTD("tos.rtd",,$A$2,"."&amp;U$135&amp;U$1&amp;"P"&amp;$A144)="N/A",0,RTD("tos.rtd",,$A$2,"."&amp;U$135&amp;U$1&amp;"P"&amp;$A144))</f>
        <v>0</v>
      </c>
      <c r="V144" s="56">
        <f ca="1">IF(RTD("tos.rtd",,$A$2,"."&amp;V$135&amp;V$1&amp;"C"&amp;$A144)="N/A",0,RTD("tos.rtd",,$A$2,"."&amp;V$135&amp;V$1&amp;"C"&amp;$A144))-IF(RTD("tos.rtd",,$A$2,"."&amp;V$135&amp;V$1&amp;"P"&amp;$A144)="N/A",0,RTD("tos.rtd",,$A$2,"."&amp;V$135&amp;V$1&amp;"P"&amp;$A144))</f>
        <v>0</v>
      </c>
      <c r="W144" s="56">
        <f ca="1">IF(RTD("tos.rtd",,$A$2,"."&amp;W$135&amp;W$1&amp;"C"&amp;$A144)="N/A",0,RTD("tos.rtd",,$A$2,"."&amp;W$135&amp;W$1&amp;"C"&amp;$A144))-IF(RTD("tos.rtd",,$A$2,"."&amp;W$135&amp;W$1&amp;"P"&amp;$A144)="N/A",0,RTD("tos.rtd",,$A$2,"."&amp;W$135&amp;W$1&amp;"P"&amp;$A144))</f>
        <v>0</v>
      </c>
      <c r="X144" s="56">
        <f ca="1">IF(RTD("tos.rtd",,$A$2,"."&amp;X$135&amp;X$1&amp;"C"&amp;$A144)="N/A",0,RTD("tos.rtd",,$A$2,"."&amp;X$135&amp;X$1&amp;"C"&amp;$A144))-IF(RTD("tos.rtd",,$A$2,"."&amp;X$135&amp;X$1&amp;"P"&amp;$A144)="N/A",0,RTD("tos.rtd",,$A$2,"."&amp;X$135&amp;X$1&amp;"P"&amp;$A144))</f>
        <v>0</v>
      </c>
      <c r="Y144" s="63">
        <f t="shared" ca="1" si="16"/>
        <v>21</v>
      </c>
      <c r="Z144" s="56"/>
      <c r="AA144" s="56"/>
    </row>
    <row r="145" spans="1:27" x14ac:dyDescent="0.25">
      <c r="A145" s="58">
        <f>+Hoja1!A144</f>
        <v>25425</v>
      </c>
      <c r="B145" s="56">
        <f ca="1">IF(RTD("tos.rtd",,$A$2,"."&amp;B$135&amp;B$1&amp;"C"&amp;$A145)="N/A",0,RTD("tos.rtd",,$A$2,"."&amp;B$135&amp;B$1&amp;"C"&amp;$A145))-IF(RTD("tos.rtd",,$A$2,"."&amp;B$135&amp;B$1&amp;"P"&amp;$A145)="N/A",0,RTD("tos.rtd",,$A$2,"."&amp;B$135&amp;B$1&amp;"P"&amp;$A145))</f>
        <v>0</v>
      </c>
      <c r="C145" s="56">
        <f ca="1">IF(RTD("tos.rtd",,$A$2,"."&amp;C$135&amp;C$1&amp;"C"&amp;$A145)="N/A",0,RTD("tos.rtd",,$A$2,"."&amp;C$135&amp;C$1&amp;"C"&amp;$A145))-IF(RTD("tos.rtd",,$A$2,"."&amp;C$135&amp;C$1&amp;"P"&amp;$A145)="N/A",0,RTD("tos.rtd",,$A$2,"."&amp;C$135&amp;C$1&amp;"P"&amp;$A145))</f>
        <v>0</v>
      </c>
      <c r="D145" s="56">
        <f ca="1">IF(RTD("tos.rtd",,$A$2,"."&amp;D$135&amp;D$1&amp;"C"&amp;$A145)="N/A",0,RTD("tos.rtd",,$A$2,"."&amp;D$135&amp;D$1&amp;"C"&amp;$A145))-IF(RTD("tos.rtd",,$A$2,"."&amp;D$135&amp;D$1&amp;"P"&amp;$A145)="N/A",0,RTD("tos.rtd",,$A$2,"."&amp;D$135&amp;D$1&amp;"P"&amp;$A145))</f>
        <v>0</v>
      </c>
      <c r="E145" s="56">
        <f ca="1">IF(RTD("tos.rtd",,$A$2,"."&amp;E$135&amp;E$1&amp;"C"&amp;$A145)="N/A",0,RTD("tos.rtd",,$A$2,"."&amp;E$135&amp;E$1&amp;"C"&amp;$A145))-IF(RTD("tos.rtd",,$A$2,"."&amp;E$135&amp;E$1&amp;"P"&amp;$A145)="N/A",0,RTD("tos.rtd",,$A$2,"."&amp;E$135&amp;E$1&amp;"P"&amp;$A145))</f>
        <v>0</v>
      </c>
      <c r="F145" s="56">
        <f ca="1">IF(RTD("tos.rtd",,$A$2,"."&amp;F$135&amp;F$1&amp;"C"&amp;$A145)="N/A",0,RTD("tos.rtd",,$A$2,"."&amp;F$135&amp;F$1&amp;"C"&amp;$A145))-IF(RTD("tos.rtd",,$A$2,"."&amp;F$135&amp;F$1&amp;"P"&amp;$A145)="N/A",0,RTD("tos.rtd",,$A$2,"."&amp;F$135&amp;F$1&amp;"P"&amp;$A145))</f>
        <v>0</v>
      </c>
      <c r="G145" s="56">
        <f ca="1">IF(RTD("tos.rtd",,$A$2,"."&amp;G$135&amp;G$1&amp;"C"&amp;$A145)="N/A",0,RTD("tos.rtd",,$A$2,"."&amp;G$135&amp;G$1&amp;"C"&amp;$A145))-IF(RTD("tos.rtd",,$A$2,"."&amp;G$135&amp;G$1&amp;"P"&amp;$A145)="N/A",0,RTD("tos.rtd",,$A$2,"."&amp;G$135&amp;G$1&amp;"P"&amp;$A145))</f>
        <v>0</v>
      </c>
      <c r="H145" s="56">
        <f ca="1">IF(RTD("tos.rtd",,$A$2,"."&amp;H$135&amp;H$1&amp;"C"&amp;$A145)="N/A",0,RTD("tos.rtd",,$A$2,"."&amp;H$135&amp;H$1&amp;"C"&amp;$A145))-IF(RTD("tos.rtd",,$A$2,"."&amp;H$135&amp;H$1&amp;"P"&amp;$A145)="N/A",0,RTD("tos.rtd",,$A$2,"."&amp;H$135&amp;H$1&amp;"P"&amp;$A145))</f>
        <v>0</v>
      </c>
      <c r="I145" s="56">
        <f ca="1">IF(RTD("tos.rtd",,$A$2,"."&amp;I$135&amp;I$1&amp;"C"&amp;$A145)="N/A",0,RTD("tos.rtd",,$A$2,"."&amp;I$135&amp;I$1&amp;"C"&amp;$A145))-IF(RTD("tos.rtd",,$A$2,"."&amp;I$135&amp;I$1&amp;"P"&amp;$A145)="N/A",0,RTD("tos.rtd",,$A$2,"."&amp;I$135&amp;I$1&amp;"P"&amp;$A145))</f>
        <v>1</v>
      </c>
      <c r="J145" s="56">
        <f ca="1">IF(RTD("tos.rtd",,$A$2,"."&amp;J$135&amp;J$1&amp;"C"&amp;$A145)="N/A",0,RTD("tos.rtd",,$A$2,"."&amp;J$135&amp;J$1&amp;"C"&amp;$A145))-IF(RTD("tos.rtd",,$A$2,"."&amp;J$135&amp;J$1&amp;"P"&amp;$A145)="N/A",0,RTD("tos.rtd",,$A$2,"."&amp;J$135&amp;J$1&amp;"P"&amp;$A145))</f>
        <v>0</v>
      </c>
      <c r="K145" s="56">
        <f ca="1">IF(RTD("tos.rtd",,$A$2,"."&amp;K$135&amp;K$1&amp;"C"&amp;$A145)="N/A",0,RTD("tos.rtd",,$A$2,"."&amp;K$135&amp;K$1&amp;"C"&amp;$A145))-IF(RTD("tos.rtd",,$A$2,"."&amp;K$135&amp;K$1&amp;"P"&amp;$A145)="N/A",0,RTD("tos.rtd",,$A$2,"."&amp;K$135&amp;K$1&amp;"P"&amp;$A145))</f>
        <v>0</v>
      </c>
      <c r="L145" s="56">
        <f ca="1">IF(RTD("tos.rtd",,$A$2,"."&amp;L$135&amp;L$1&amp;"C"&amp;$A145)="N/A",0,RTD("tos.rtd",,$A$2,"."&amp;L$135&amp;L$1&amp;"C"&amp;$A145))-IF(RTD("tos.rtd",,$A$2,"."&amp;L$135&amp;L$1&amp;"P"&amp;$A145)="N/A",0,RTD("tos.rtd",,$A$2,"."&amp;L$135&amp;L$1&amp;"P"&amp;$A145))</f>
        <v>0</v>
      </c>
      <c r="M145" s="56">
        <f ca="1">IF(RTD("tos.rtd",,$A$2,"."&amp;M$135&amp;M$1&amp;"C"&amp;$A145)="N/A",0,RTD("tos.rtd",,$A$2,"."&amp;M$135&amp;M$1&amp;"C"&amp;$A145))-IF(RTD("tos.rtd",,$A$2,"."&amp;M$135&amp;M$1&amp;"P"&amp;$A145)="N/A",0,RTD("tos.rtd",,$A$2,"."&amp;M$135&amp;M$1&amp;"P"&amp;$A145))</f>
        <v>0</v>
      </c>
      <c r="N145" s="56">
        <f ca="1">IF(RTD("tos.rtd",,$A$2,"."&amp;N$135&amp;N$1&amp;"C"&amp;$A145)="N/A",0,RTD("tos.rtd",,$A$2,"."&amp;N$135&amp;N$1&amp;"C"&amp;$A145))-IF(RTD("tos.rtd",,$A$2,"."&amp;N$135&amp;N$1&amp;"P"&amp;$A145)="N/A",0,RTD("tos.rtd",,$A$2,"."&amp;N$135&amp;N$1&amp;"P"&amp;$A145))</f>
        <v>0</v>
      </c>
      <c r="O145" s="56">
        <f ca="1">IF(RTD("tos.rtd",,$A$2,"."&amp;O$135&amp;O$1&amp;"C"&amp;$A145)="N/A",0,RTD("tos.rtd",,$A$2,"."&amp;O$135&amp;O$1&amp;"C"&amp;$A145))-IF(RTD("tos.rtd",,$A$2,"."&amp;O$135&amp;O$1&amp;"P"&amp;$A145)="N/A",0,RTD("tos.rtd",,$A$2,"."&amp;O$135&amp;O$1&amp;"P"&amp;$A145))</f>
        <v>0</v>
      </c>
      <c r="P145" s="56">
        <f ca="1">IF(RTD("tos.rtd",,$A$2,"."&amp;P$135&amp;P$1&amp;"C"&amp;$A145)="N/A",0,RTD("tos.rtd",,$A$2,"."&amp;P$135&amp;P$1&amp;"C"&amp;$A145))-IF(RTD("tos.rtd",,$A$2,"."&amp;P$135&amp;P$1&amp;"P"&amp;$A145)="N/A",0,RTD("tos.rtd",,$A$2,"."&amp;P$135&amp;P$1&amp;"P"&amp;$A145))</f>
        <v>0</v>
      </c>
      <c r="Q145" s="56">
        <f ca="1">IF(RTD("tos.rtd",,$A$2,"."&amp;Q$135&amp;Q$1&amp;"C"&amp;$A145)="N/A",0,RTD("tos.rtd",,$A$2,"."&amp;Q$135&amp;Q$1&amp;"C"&amp;$A145))-IF(RTD("tos.rtd",,$A$2,"."&amp;Q$135&amp;Q$1&amp;"P"&amp;$A145)="N/A",0,RTD("tos.rtd",,$A$2,"."&amp;Q$135&amp;Q$1&amp;"P"&amp;$A145))</f>
        <v>0</v>
      </c>
      <c r="R145" s="56">
        <f ca="1">IF(RTD("tos.rtd",,$A$2,"."&amp;R$135&amp;R$1&amp;"C"&amp;$A145)="N/A",0,RTD("tos.rtd",,$A$2,"."&amp;R$135&amp;R$1&amp;"C"&amp;$A145))-IF(RTD("tos.rtd",,$A$2,"."&amp;R$135&amp;R$1&amp;"P"&amp;$A145)="N/A",0,RTD("tos.rtd",,$A$2,"."&amp;R$135&amp;R$1&amp;"P"&amp;$A145))</f>
        <v>0</v>
      </c>
      <c r="S145" s="56">
        <f ca="1">IF(RTD("tos.rtd",,$A$2,"."&amp;S$135&amp;S$1&amp;"C"&amp;$A145)="N/A",0,RTD("tos.rtd",,$A$2,"."&amp;S$135&amp;S$1&amp;"C"&amp;$A145))-IF(RTD("tos.rtd",,$A$2,"."&amp;S$135&amp;S$1&amp;"P"&amp;$A145)="N/A",0,RTD("tos.rtd",,$A$2,"."&amp;S$135&amp;S$1&amp;"P"&amp;$A145))</f>
        <v>0</v>
      </c>
      <c r="T145" s="56">
        <f ca="1">IF(RTD("tos.rtd",,$A$2,"."&amp;T$135&amp;T$1&amp;"C"&amp;$A145)="N/A",0,RTD("tos.rtd",,$A$2,"."&amp;T$135&amp;T$1&amp;"C"&amp;$A145))-IF(RTD("tos.rtd",,$A$2,"."&amp;T$135&amp;T$1&amp;"P"&amp;$A145)="N/A",0,RTD("tos.rtd",,$A$2,"."&amp;T$135&amp;T$1&amp;"P"&amp;$A145))</f>
        <v>0</v>
      </c>
      <c r="U145" s="56">
        <f ca="1">IF(RTD("tos.rtd",,$A$2,"."&amp;U$135&amp;U$1&amp;"C"&amp;$A145)="N/A",0,RTD("tos.rtd",,$A$2,"."&amp;U$135&amp;U$1&amp;"C"&amp;$A145))-IF(RTD("tos.rtd",,$A$2,"."&amp;U$135&amp;U$1&amp;"P"&amp;$A145)="N/A",0,RTD("tos.rtd",,$A$2,"."&amp;U$135&amp;U$1&amp;"P"&amp;$A145))</f>
        <v>0</v>
      </c>
      <c r="V145" s="56">
        <f ca="1">IF(RTD("tos.rtd",,$A$2,"."&amp;V$135&amp;V$1&amp;"C"&amp;$A145)="N/A",0,RTD("tos.rtd",,$A$2,"."&amp;V$135&amp;V$1&amp;"C"&amp;$A145))-IF(RTD("tos.rtd",,$A$2,"."&amp;V$135&amp;V$1&amp;"P"&amp;$A145)="N/A",0,RTD("tos.rtd",,$A$2,"."&amp;V$135&amp;V$1&amp;"P"&amp;$A145))</f>
        <v>0</v>
      </c>
      <c r="W145" s="56">
        <f ca="1">IF(RTD("tos.rtd",,$A$2,"."&amp;W$135&amp;W$1&amp;"C"&amp;$A145)="N/A",0,RTD("tos.rtd",,$A$2,"."&amp;W$135&amp;W$1&amp;"C"&amp;$A145))-IF(RTD("tos.rtd",,$A$2,"."&amp;W$135&amp;W$1&amp;"P"&amp;$A145)="N/A",0,RTD("tos.rtd",,$A$2,"."&amp;W$135&amp;W$1&amp;"P"&amp;$A145))</f>
        <v>0</v>
      </c>
      <c r="X145" s="56">
        <f ca="1">IF(RTD("tos.rtd",,$A$2,"."&amp;X$135&amp;X$1&amp;"C"&amp;$A145)="N/A",0,RTD("tos.rtd",,$A$2,"."&amp;X$135&amp;X$1&amp;"C"&amp;$A145))-IF(RTD("tos.rtd",,$A$2,"."&amp;X$135&amp;X$1&amp;"P"&amp;$A145)="N/A",0,RTD("tos.rtd",,$A$2,"."&amp;X$135&amp;X$1&amp;"P"&amp;$A145))</f>
        <v>0</v>
      </c>
      <c r="Y145" s="63">
        <f t="shared" ca="1" si="16"/>
        <v>1</v>
      </c>
      <c r="Z145" s="56"/>
      <c r="AA145" s="56"/>
    </row>
    <row r="146" spans="1:27" x14ac:dyDescent="0.25">
      <c r="A146" s="58">
        <f>+Hoja1!A145</f>
        <v>25400</v>
      </c>
      <c r="B146" s="56">
        <f ca="1">IF(RTD("tos.rtd",,$A$2,"."&amp;B$135&amp;B$1&amp;"C"&amp;$A146)="N/A",0,RTD("tos.rtd",,$A$2,"."&amp;B$135&amp;B$1&amp;"C"&amp;$A146))-IF(RTD("tos.rtd",,$A$2,"."&amp;B$135&amp;B$1&amp;"P"&amp;$A146)="N/A",0,RTD("tos.rtd",,$A$2,"."&amp;B$135&amp;B$1&amp;"P"&amp;$A146))</f>
        <v>60</v>
      </c>
      <c r="C146" s="56">
        <f ca="1">IF(RTD("tos.rtd",,$A$2,"."&amp;C$135&amp;C$1&amp;"C"&amp;$A146)="N/A",0,RTD("tos.rtd",,$A$2,"."&amp;C$135&amp;C$1&amp;"C"&amp;$A146))-IF(RTD("tos.rtd",,$A$2,"."&amp;C$135&amp;C$1&amp;"P"&amp;$A146)="N/A",0,RTD("tos.rtd",,$A$2,"."&amp;C$135&amp;C$1&amp;"P"&amp;$A146))</f>
        <v>11</v>
      </c>
      <c r="D146" s="56">
        <f ca="1">IF(RTD("tos.rtd",,$A$2,"."&amp;D$135&amp;D$1&amp;"C"&amp;$A146)="N/A",0,RTD("tos.rtd",,$A$2,"."&amp;D$135&amp;D$1&amp;"C"&amp;$A146))-IF(RTD("tos.rtd",,$A$2,"."&amp;D$135&amp;D$1&amp;"P"&amp;$A146)="N/A",0,RTD("tos.rtd",,$A$2,"."&amp;D$135&amp;D$1&amp;"P"&amp;$A146))</f>
        <v>7</v>
      </c>
      <c r="E146" s="56">
        <f ca="1">IF(RTD("tos.rtd",,$A$2,"."&amp;E$135&amp;E$1&amp;"C"&amp;$A146)="N/A",0,RTD("tos.rtd",,$A$2,"."&amp;E$135&amp;E$1&amp;"C"&amp;$A146))-IF(RTD("tos.rtd",,$A$2,"."&amp;E$135&amp;E$1&amp;"P"&amp;$A146)="N/A",0,RTD("tos.rtd",,$A$2,"."&amp;E$135&amp;E$1&amp;"P"&amp;$A146))</f>
        <v>4</v>
      </c>
      <c r="F146" s="56">
        <f ca="1">IF(RTD("tos.rtd",,$A$2,"."&amp;F$135&amp;F$1&amp;"C"&amp;$A146)="N/A",0,RTD("tos.rtd",,$A$2,"."&amp;F$135&amp;F$1&amp;"C"&amp;$A146))-IF(RTD("tos.rtd",,$A$2,"."&amp;F$135&amp;F$1&amp;"P"&amp;$A146)="N/A",0,RTD("tos.rtd",,$A$2,"."&amp;F$135&amp;F$1&amp;"P"&amp;$A146))</f>
        <v>0</v>
      </c>
      <c r="G146" s="56">
        <f ca="1">IF(RTD("tos.rtd",,$A$2,"."&amp;G$135&amp;G$1&amp;"C"&amp;$A146)="N/A",0,RTD("tos.rtd",,$A$2,"."&amp;G$135&amp;G$1&amp;"C"&amp;$A146))-IF(RTD("tos.rtd",,$A$2,"."&amp;G$135&amp;G$1&amp;"P"&amp;$A146)="N/A",0,RTD("tos.rtd",,$A$2,"."&amp;G$135&amp;G$1&amp;"P"&amp;$A146))</f>
        <v>0</v>
      </c>
      <c r="H146" s="56">
        <f ca="1">IF(RTD("tos.rtd",,$A$2,"."&amp;H$135&amp;H$1&amp;"C"&amp;$A146)="N/A",0,RTD("tos.rtd",,$A$2,"."&amp;H$135&amp;H$1&amp;"C"&amp;$A146))-IF(RTD("tos.rtd",,$A$2,"."&amp;H$135&amp;H$1&amp;"P"&amp;$A146)="N/A",0,RTD("tos.rtd",,$A$2,"."&amp;H$135&amp;H$1&amp;"P"&amp;$A146))</f>
        <v>0</v>
      </c>
      <c r="I146" s="56">
        <f ca="1">IF(RTD("tos.rtd",,$A$2,"."&amp;I$135&amp;I$1&amp;"C"&amp;$A146)="N/A",0,RTD("tos.rtd",,$A$2,"."&amp;I$135&amp;I$1&amp;"C"&amp;$A146))-IF(RTD("tos.rtd",,$A$2,"."&amp;I$135&amp;I$1&amp;"P"&amp;$A146)="N/A",0,RTD("tos.rtd",,$A$2,"."&amp;I$135&amp;I$1&amp;"P"&amp;$A146))</f>
        <v>0</v>
      </c>
      <c r="J146" s="56">
        <f ca="1">IF(RTD("tos.rtd",,$A$2,"."&amp;J$135&amp;J$1&amp;"C"&amp;$A146)="N/A",0,RTD("tos.rtd",,$A$2,"."&amp;J$135&amp;J$1&amp;"C"&amp;$A146))-IF(RTD("tos.rtd",,$A$2,"."&amp;J$135&amp;J$1&amp;"P"&amp;$A146)="N/A",0,RTD("tos.rtd",,$A$2,"."&amp;J$135&amp;J$1&amp;"P"&amp;$A146))</f>
        <v>0</v>
      </c>
      <c r="K146" s="56">
        <f ca="1">IF(RTD("tos.rtd",,$A$2,"."&amp;K$135&amp;K$1&amp;"C"&amp;$A146)="N/A",0,RTD("tos.rtd",,$A$2,"."&amp;K$135&amp;K$1&amp;"C"&amp;$A146))-IF(RTD("tos.rtd",,$A$2,"."&amp;K$135&amp;K$1&amp;"P"&amp;$A146)="N/A",0,RTD("tos.rtd",,$A$2,"."&amp;K$135&amp;K$1&amp;"P"&amp;$A146))</f>
        <v>0</v>
      </c>
      <c r="L146" s="56">
        <f ca="1">IF(RTD("tos.rtd",,$A$2,"."&amp;L$135&amp;L$1&amp;"C"&amp;$A146)="N/A",0,RTD("tos.rtd",,$A$2,"."&amp;L$135&amp;L$1&amp;"C"&amp;$A146))-IF(RTD("tos.rtd",,$A$2,"."&amp;L$135&amp;L$1&amp;"P"&amp;$A146)="N/A",0,RTD("tos.rtd",,$A$2,"."&amp;L$135&amp;L$1&amp;"P"&amp;$A146))</f>
        <v>0</v>
      </c>
      <c r="M146" s="56">
        <f ca="1">IF(RTD("tos.rtd",,$A$2,"."&amp;M$135&amp;M$1&amp;"C"&amp;$A146)="N/A",0,RTD("tos.rtd",,$A$2,"."&amp;M$135&amp;M$1&amp;"C"&amp;$A146))-IF(RTD("tos.rtd",,$A$2,"."&amp;M$135&amp;M$1&amp;"P"&amp;$A146)="N/A",0,RTD("tos.rtd",,$A$2,"."&amp;M$135&amp;M$1&amp;"P"&amp;$A146))</f>
        <v>0</v>
      </c>
      <c r="N146" s="56">
        <f ca="1">IF(RTD("tos.rtd",,$A$2,"."&amp;N$135&amp;N$1&amp;"C"&amp;$A146)="N/A",0,RTD("tos.rtd",,$A$2,"."&amp;N$135&amp;N$1&amp;"C"&amp;$A146))-IF(RTD("tos.rtd",,$A$2,"."&amp;N$135&amp;N$1&amp;"P"&amp;$A146)="N/A",0,RTD("tos.rtd",,$A$2,"."&amp;N$135&amp;N$1&amp;"P"&amp;$A146))</f>
        <v>0</v>
      </c>
      <c r="O146" s="56">
        <f ca="1">IF(RTD("tos.rtd",,$A$2,"."&amp;O$135&amp;O$1&amp;"C"&amp;$A146)="N/A",0,RTD("tos.rtd",,$A$2,"."&amp;O$135&amp;O$1&amp;"C"&amp;$A146))-IF(RTD("tos.rtd",,$A$2,"."&amp;O$135&amp;O$1&amp;"P"&amp;$A146)="N/A",0,RTD("tos.rtd",,$A$2,"."&amp;O$135&amp;O$1&amp;"P"&amp;$A146))</f>
        <v>0</v>
      </c>
      <c r="P146" s="56">
        <f ca="1">IF(RTD("tos.rtd",,$A$2,"."&amp;P$135&amp;P$1&amp;"C"&amp;$A146)="N/A",0,RTD("tos.rtd",,$A$2,"."&amp;P$135&amp;P$1&amp;"C"&amp;$A146))-IF(RTD("tos.rtd",,$A$2,"."&amp;P$135&amp;P$1&amp;"P"&amp;$A146)="N/A",0,RTD("tos.rtd",,$A$2,"."&amp;P$135&amp;P$1&amp;"P"&amp;$A146))</f>
        <v>0</v>
      </c>
      <c r="Q146" s="56">
        <f ca="1">IF(RTD("tos.rtd",,$A$2,"."&amp;Q$135&amp;Q$1&amp;"C"&amp;$A146)="N/A",0,RTD("tos.rtd",,$A$2,"."&amp;Q$135&amp;Q$1&amp;"C"&amp;$A146))-IF(RTD("tos.rtd",,$A$2,"."&amp;Q$135&amp;Q$1&amp;"P"&amp;$A146)="N/A",0,RTD("tos.rtd",,$A$2,"."&amp;Q$135&amp;Q$1&amp;"P"&amp;$A146))</f>
        <v>0</v>
      </c>
      <c r="R146" s="56">
        <f ca="1">IF(RTD("tos.rtd",,$A$2,"."&amp;R$135&amp;R$1&amp;"C"&amp;$A146)="N/A",0,RTD("tos.rtd",,$A$2,"."&amp;R$135&amp;R$1&amp;"C"&amp;$A146))-IF(RTD("tos.rtd",,$A$2,"."&amp;R$135&amp;R$1&amp;"P"&amp;$A146)="N/A",0,RTD("tos.rtd",,$A$2,"."&amp;R$135&amp;R$1&amp;"P"&amp;$A146))</f>
        <v>0</v>
      </c>
      <c r="S146" s="56">
        <f ca="1">IF(RTD("tos.rtd",,$A$2,"."&amp;S$135&amp;S$1&amp;"C"&amp;$A146)="N/A",0,RTD("tos.rtd",,$A$2,"."&amp;S$135&amp;S$1&amp;"C"&amp;$A146))-IF(RTD("tos.rtd",,$A$2,"."&amp;S$135&amp;S$1&amp;"P"&amp;$A146)="N/A",0,RTD("tos.rtd",,$A$2,"."&amp;S$135&amp;S$1&amp;"P"&amp;$A146))</f>
        <v>0</v>
      </c>
      <c r="T146" s="56">
        <f ca="1">IF(RTD("tos.rtd",,$A$2,"."&amp;T$135&amp;T$1&amp;"C"&amp;$A146)="N/A",0,RTD("tos.rtd",,$A$2,"."&amp;T$135&amp;T$1&amp;"C"&amp;$A146))-IF(RTD("tos.rtd",,$A$2,"."&amp;T$135&amp;T$1&amp;"P"&amp;$A146)="N/A",0,RTD("tos.rtd",,$A$2,"."&amp;T$135&amp;T$1&amp;"P"&amp;$A146))</f>
        <v>0</v>
      </c>
      <c r="U146" s="56">
        <f ca="1">IF(RTD("tos.rtd",,$A$2,"."&amp;U$135&amp;U$1&amp;"C"&amp;$A146)="N/A",0,RTD("tos.rtd",,$A$2,"."&amp;U$135&amp;U$1&amp;"C"&amp;$A146))-IF(RTD("tos.rtd",,$A$2,"."&amp;U$135&amp;U$1&amp;"P"&amp;$A146)="N/A",0,RTD("tos.rtd",,$A$2,"."&amp;U$135&amp;U$1&amp;"P"&amp;$A146))</f>
        <v>0</v>
      </c>
      <c r="V146" s="56">
        <f ca="1">IF(RTD("tos.rtd",,$A$2,"."&amp;V$135&amp;V$1&amp;"C"&amp;$A146)="N/A",0,RTD("tos.rtd",,$A$2,"."&amp;V$135&amp;V$1&amp;"C"&amp;$A146))-IF(RTD("tos.rtd",,$A$2,"."&amp;V$135&amp;V$1&amp;"P"&amp;$A146)="N/A",0,RTD("tos.rtd",,$A$2,"."&amp;V$135&amp;V$1&amp;"P"&amp;$A146))</f>
        <v>0</v>
      </c>
      <c r="W146" s="56">
        <f ca="1">IF(RTD("tos.rtd",,$A$2,"."&amp;W$135&amp;W$1&amp;"C"&amp;$A146)="N/A",0,RTD("tos.rtd",,$A$2,"."&amp;W$135&amp;W$1&amp;"C"&amp;$A146))-IF(RTD("tos.rtd",,$A$2,"."&amp;W$135&amp;W$1&amp;"P"&amp;$A146)="N/A",0,RTD("tos.rtd",,$A$2,"."&amp;W$135&amp;W$1&amp;"P"&amp;$A146))</f>
        <v>0</v>
      </c>
      <c r="X146" s="56">
        <f ca="1">IF(RTD("tos.rtd",,$A$2,"."&amp;X$135&amp;X$1&amp;"C"&amp;$A146)="N/A",0,RTD("tos.rtd",,$A$2,"."&amp;X$135&amp;X$1&amp;"C"&amp;$A146))-IF(RTD("tos.rtd",,$A$2,"."&amp;X$135&amp;X$1&amp;"P"&amp;$A146)="N/A",0,RTD("tos.rtd",,$A$2,"."&amp;X$135&amp;X$1&amp;"P"&amp;$A146))</f>
        <v>0</v>
      </c>
      <c r="Y146" s="63">
        <f t="shared" ca="1" si="16"/>
        <v>82</v>
      </c>
      <c r="Z146" s="56"/>
      <c r="AA146" s="56"/>
    </row>
    <row r="147" spans="1:27" x14ac:dyDescent="0.25">
      <c r="A147" s="58">
        <f>+Hoja1!A146</f>
        <v>25375</v>
      </c>
      <c r="B147" s="56">
        <f ca="1">IF(RTD("tos.rtd",,$A$2,"."&amp;B$135&amp;B$1&amp;"C"&amp;$A147)="N/A",0,RTD("tos.rtd",,$A$2,"."&amp;B$135&amp;B$1&amp;"C"&amp;$A147))-IF(RTD("tos.rtd",,$A$2,"."&amp;B$135&amp;B$1&amp;"P"&amp;$A147)="N/A",0,RTD("tos.rtd",,$A$2,"."&amp;B$135&amp;B$1&amp;"P"&amp;$A147))</f>
        <v>0</v>
      </c>
      <c r="C147" s="56">
        <f ca="1">IF(RTD("tos.rtd",,$A$2,"."&amp;C$135&amp;C$1&amp;"C"&amp;$A147)="N/A",0,RTD("tos.rtd",,$A$2,"."&amp;C$135&amp;C$1&amp;"C"&amp;$A147))-IF(RTD("tos.rtd",,$A$2,"."&amp;C$135&amp;C$1&amp;"P"&amp;$A147)="N/A",0,RTD("tos.rtd",,$A$2,"."&amp;C$135&amp;C$1&amp;"P"&amp;$A147))</f>
        <v>0</v>
      </c>
      <c r="D147" s="56">
        <f ca="1">IF(RTD("tos.rtd",,$A$2,"."&amp;D$135&amp;D$1&amp;"C"&amp;$A147)="N/A",0,RTD("tos.rtd",,$A$2,"."&amp;D$135&amp;D$1&amp;"C"&amp;$A147))-IF(RTD("tos.rtd",,$A$2,"."&amp;D$135&amp;D$1&amp;"P"&amp;$A147)="N/A",0,RTD("tos.rtd",,$A$2,"."&amp;D$135&amp;D$1&amp;"P"&amp;$A147))</f>
        <v>0</v>
      </c>
      <c r="E147" s="56">
        <f ca="1">IF(RTD("tos.rtd",,$A$2,"."&amp;E$135&amp;E$1&amp;"C"&amp;$A147)="N/A",0,RTD("tos.rtd",,$A$2,"."&amp;E$135&amp;E$1&amp;"C"&amp;$A147))-IF(RTD("tos.rtd",,$A$2,"."&amp;E$135&amp;E$1&amp;"P"&amp;$A147)="N/A",0,RTD("tos.rtd",,$A$2,"."&amp;E$135&amp;E$1&amp;"P"&amp;$A147))</f>
        <v>0</v>
      </c>
      <c r="F147" s="56">
        <f ca="1">IF(RTD("tos.rtd",,$A$2,"."&amp;F$135&amp;F$1&amp;"C"&amp;$A147)="N/A",0,RTD("tos.rtd",,$A$2,"."&amp;F$135&amp;F$1&amp;"C"&amp;$A147))-IF(RTD("tos.rtd",,$A$2,"."&amp;F$135&amp;F$1&amp;"P"&amp;$A147)="N/A",0,RTD("tos.rtd",,$A$2,"."&amp;F$135&amp;F$1&amp;"P"&amp;$A147))</f>
        <v>0</v>
      </c>
      <c r="G147" s="56">
        <f ca="1">IF(RTD("tos.rtd",,$A$2,"."&amp;G$135&amp;G$1&amp;"C"&amp;$A147)="N/A",0,RTD("tos.rtd",,$A$2,"."&amp;G$135&amp;G$1&amp;"C"&amp;$A147))-IF(RTD("tos.rtd",,$A$2,"."&amp;G$135&amp;G$1&amp;"P"&amp;$A147)="N/A",0,RTD("tos.rtd",,$A$2,"."&amp;G$135&amp;G$1&amp;"P"&amp;$A147))</f>
        <v>0</v>
      </c>
      <c r="H147" s="56">
        <f ca="1">IF(RTD("tos.rtd",,$A$2,"."&amp;H$135&amp;H$1&amp;"C"&amp;$A147)="N/A",0,RTD("tos.rtd",,$A$2,"."&amp;H$135&amp;H$1&amp;"C"&amp;$A147))-IF(RTD("tos.rtd",,$A$2,"."&amp;H$135&amp;H$1&amp;"P"&amp;$A147)="N/A",0,RTD("tos.rtd",,$A$2,"."&amp;H$135&amp;H$1&amp;"P"&amp;$A147))</f>
        <v>0</v>
      </c>
      <c r="I147" s="56">
        <f ca="1">IF(RTD("tos.rtd",,$A$2,"."&amp;I$135&amp;I$1&amp;"C"&amp;$A147)="N/A",0,RTD("tos.rtd",,$A$2,"."&amp;I$135&amp;I$1&amp;"C"&amp;$A147))-IF(RTD("tos.rtd",,$A$2,"."&amp;I$135&amp;I$1&amp;"P"&amp;$A147)="N/A",0,RTD("tos.rtd",,$A$2,"."&amp;I$135&amp;I$1&amp;"P"&amp;$A147))</f>
        <v>1</v>
      </c>
      <c r="J147" s="56">
        <f ca="1">IF(RTD("tos.rtd",,$A$2,"."&amp;J$135&amp;J$1&amp;"C"&amp;$A147)="N/A",0,RTD("tos.rtd",,$A$2,"."&amp;J$135&amp;J$1&amp;"C"&amp;$A147))-IF(RTD("tos.rtd",,$A$2,"."&amp;J$135&amp;J$1&amp;"P"&amp;$A147)="N/A",0,RTD("tos.rtd",,$A$2,"."&amp;J$135&amp;J$1&amp;"P"&amp;$A147))</f>
        <v>0</v>
      </c>
      <c r="K147" s="56">
        <f ca="1">IF(RTD("tos.rtd",,$A$2,"."&amp;K$135&amp;K$1&amp;"C"&amp;$A147)="N/A",0,RTD("tos.rtd",,$A$2,"."&amp;K$135&amp;K$1&amp;"C"&amp;$A147))-IF(RTD("tos.rtd",,$A$2,"."&amp;K$135&amp;K$1&amp;"P"&amp;$A147)="N/A",0,RTD("tos.rtd",,$A$2,"."&amp;K$135&amp;K$1&amp;"P"&amp;$A147))</f>
        <v>0</v>
      </c>
      <c r="L147" s="56">
        <f ca="1">IF(RTD("tos.rtd",,$A$2,"."&amp;L$135&amp;L$1&amp;"C"&amp;$A147)="N/A",0,RTD("tos.rtd",,$A$2,"."&amp;L$135&amp;L$1&amp;"C"&amp;$A147))-IF(RTD("tos.rtd",,$A$2,"."&amp;L$135&amp;L$1&amp;"P"&amp;$A147)="N/A",0,RTD("tos.rtd",,$A$2,"."&amp;L$135&amp;L$1&amp;"P"&amp;$A147))</f>
        <v>0</v>
      </c>
      <c r="M147" s="56">
        <f ca="1">IF(RTD("tos.rtd",,$A$2,"."&amp;M$135&amp;M$1&amp;"C"&amp;$A147)="N/A",0,RTD("tos.rtd",,$A$2,"."&amp;M$135&amp;M$1&amp;"C"&amp;$A147))-IF(RTD("tos.rtd",,$A$2,"."&amp;M$135&amp;M$1&amp;"P"&amp;$A147)="N/A",0,RTD("tos.rtd",,$A$2,"."&amp;M$135&amp;M$1&amp;"P"&amp;$A147))</f>
        <v>0</v>
      </c>
      <c r="N147" s="56">
        <f ca="1">IF(RTD("tos.rtd",,$A$2,"."&amp;N$135&amp;N$1&amp;"C"&amp;$A147)="N/A",0,RTD("tos.rtd",,$A$2,"."&amp;N$135&amp;N$1&amp;"C"&amp;$A147))-IF(RTD("tos.rtd",,$A$2,"."&amp;N$135&amp;N$1&amp;"P"&amp;$A147)="N/A",0,RTD("tos.rtd",,$A$2,"."&amp;N$135&amp;N$1&amp;"P"&amp;$A147))</f>
        <v>0</v>
      </c>
      <c r="O147" s="56">
        <f ca="1">IF(RTD("tos.rtd",,$A$2,"."&amp;O$135&amp;O$1&amp;"C"&amp;$A147)="N/A",0,RTD("tos.rtd",,$A$2,"."&amp;O$135&amp;O$1&amp;"C"&amp;$A147))-IF(RTD("tos.rtd",,$A$2,"."&amp;O$135&amp;O$1&amp;"P"&amp;$A147)="N/A",0,RTD("tos.rtd",,$A$2,"."&amp;O$135&amp;O$1&amp;"P"&amp;$A147))</f>
        <v>0</v>
      </c>
      <c r="P147" s="56">
        <f ca="1">IF(RTD("tos.rtd",,$A$2,"."&amp;P$135&amp;P$1&amp;"C"&amp;$A147)="N/A",0,RTD("tos.rtd",,$A$2,"."&amp;P$135&amp;P$1&amp;"C"&amp;$A147))-IF(RTD("tos.rtd",,$A$2,"."&amp;P$135&amp;P$1&amp;"P"&amp;$A147)="N/A",0,RTD("tos.rtd",,$A$2,"."&amp;P$135&amp;P$1&amp;"P"&amp;$A147))</f>
        <v>0</v>
      </c>
      <c r="Q147" s="56">
        <f ca="1">IF(RTD("tos.rtd",,$A$2,"."&amp;Q$135&amp;Q$1&amp;"C"&amp;$A147)="N/A",0,RTD("tos.rtd",,$A$2,"."&amp;Q$135&amp;Q$1&amp;"C"&amp;$A147))-IF(RTD("tos.rtd",,$A$2,"."&amp;Q$135&amp;Q$1&amp;"P"&amp;$A147)="N/A",0,RTD("tos.rtd",,$A$2,"."&amp;Q$135&amp;Q$1&amp;"P"&amp;$A147))</f>
        <v>0</v>
      </c>
      <c r="R147" s="56">
        <f ca="1">IF(RTD("tos.rtd",,$A$2,"."&amp;R$135&amp;R$1&amp;"C"&amp;$A147)="N/A",0,RTD("tos.rtd",,$A$2,"."&amp;R$135&amp;R$1&amp;"C"&amp;$A147))-IF(RTD("tos.rtd",,$A$2,"."&amp;R$135&amp;R$1&amp;"P"&amp;$A147)="N/A",0,RTD("tos.rtd",,$A$2,"."&amp;R$135&amp;R$1&amp;"P"&amp;$A147))</f>
        <v>0</v>
      </c>
      <c r="S147" s="56">
        <f ca="1">IF(RTD("tos.rtd",,$A$2,"."&amp;S$135&amp;S$1&amp;"C"&amp;$A147)="N/A",0,RTD("tos.rtd",,$A$2,"."&amp;S$135&amp;S$1&amp;"C"&amp;$A147))-IF(RTD("tos.rtd",,$A$2,"."&amp;S$135&amp;S$1&amp;"P"&amp;$A147)="N/A",0,RTD("tos.rtd",,$A$2,"."&amp;S$135&amp;S$1&amp;"P"&amp;$A147))</f>
        <v>0</v>
      </c>
      <c r="T147" s="56">
        <f ca="1">IF(RTD("tos.rtd",,$A$2,"."&amp;T$135&amp;T$1&amp;"C"&amp;$A147)="N/A",0,RTD("tos.rtd",,$A$2,"."&amp;T$135&amp;T$1&amp;"C"&amp;$A147))-IF(RTD("tos.rtd",,$A$2,"."&amp;T$135&amp;T$1&amp;"P"&amp;$A147)="N/A",0,RTD("tos.rtd",,$A$2,"."&amp;T$135&amp;T$1&amp;"P"&amp;$A147))</f>
        <v>0</v>
      </c>
      <c r="U147" s="56">
        <f ca="1">IF(RTD("tos.rtd",,$A$2,"."&amp;U$135&amp;U$1&amp;"C"&amp;$A147)="N/A",0,RTD("tos.rtd",,$A$2,"."&amp;U$135&amp;U$1&amp;"C"&amp;$A147))-IF(RTD("tos.rtd",,$A$2,"."&amp;U$135&amp;U$1&amp;"P"&amp;$A147)="N/A",0,RTD("tos.rtd",,$A$2,"."&amp;U$135&amp;U$1&amp;"P"&amp;$A147))</f>
        <v>0</v>
      </c>
      <c r="V147" s="56">
        <f ca="1">IF(RTD("tos.rtd",,$A$2,"."&amp;V$135&amp;V$1&amp;"C"&amp;$A147)="N/A",0,RTD("tos.rtd",,$A$2,"."&amp;V$135&amp;V$1&amp;"C"&amp;$A147))-IF(RTD("tos.rtd",,$A$2,"."&amp;V$135&amp;V$1&amp;"P"&amp;$A147)="N/A",0,RTD("tos.rtd",,$A$2,"."&amp;V$135&amp;V$1&amp;"P"&amp;$A147))</f>
        <v>0</v>
      </c>
      <c r="W147" s="56">
        <f ca="1">IF(RTD("tos.rtd",,$A$2,"."&amp;W$135&amp;W$1&amp;"C"&amp;$A147)="N/A",0,RTD("tos.rtd",,$A$2,"."&amp;W$135&amp;W$1&amp;"C"&amp;$A147))-IF(RTD("tos.rtd",,$A$2,"."&amp;W$135&amp;W$1&amp;"P"&amp;$A147)="N/A",0,RTD("tos.rtd",,$A$2,"."&amp;W$135&amp;W$1&amp;"P"&amp;$A147))</f>
        <v>0</v>
      </c>
      <c r="X147" s="56">
        <f ca="1">IF(RTD("tos.rtd",,$A$2,"."&amp;X$135&amp;X$1&amp;"C"&amp;$A147)="N/A",0,RTD("tos.rtd",,$A$2,"."&amp;X$135&amp;X$1&amp;"C"&amp;$A147))-IF(RTD("tos.rtd",,$A$2,"."&amp;X$135&amp;X$1&amp;"P"&amp;$A147)="N/A",0,RTD("tos.rtd",,$A$2,"."&amp;X$135&amp;X$1&amp;"P"&amp;$A147))</f>
        <v>0</v>
      </c>
      <c r="Y147" s="63">
        <f t="shared" ca="1" si="16"/>
        <v>1</v>
      </c>
      <c r="Z147" s="56"/>
      <c r="AA147" s="56"/>
    </row>
    <row r="148" spans="1:27" x14ac:dyDescent="0.25">
      <c r="A148" s="58">
        <f>+Hoja1!A147</f>
        <v>25350</v>
      </c>
      <c r="B148" s="56">
        <f ca="1">IF(RTD("tos.rtd",,$A$2,"."&amp;B$135&amp;B$1&amp;"C"&amp;$A148)="N/A",0,RTD("tos.rtd",,$A$2,"."&amp;B$135&amp;B$1&amp;"C"&amp;$A148))-IF(RTD("tos.rtd",,$A$2,"."&amp;B$135&amp;B$1&amp;"P"&amp;$A148)="N/A",0,RTD("tos.rtd",,$A$2,"."&amp;B$135&amp;B$1&amp;"P"&amp;$A148))</f>
        <v>3</v>
      </c>
      <c r="C148" s="56">
        <f ca="1">IF(RTD("tos.rtd",,$A$2,"."&amp;C$135&amp;C$1&amp;"C"&amp;$A148)="N/A",0,RTD("tos.rtd",,$A$2,"."&amp;C$135&amp;C$1&amp;"C"&amp;$A148))-IF(RTD("tos.rtd",,$A$2,"."&amp;C$135&amp;C$1&amp;"P"&amp;$A148)="N/A",0,RTD("tos.rtd",,$A$2,"."&amp;C$135&amp;C$1&amp;"P"&amp;$A148))</f>
        <v>-2</v>
      </c>
      <c r="D148" s="56">
        <f ca="1">IF(RTD("tos.rtd",,$A$2,"."&amp;D$135&amp;D$1&amp;"C"&amp;$A148)="N/A",0,RTD("tos.rtd",,$A$2,"."&amp;D$135&amp;D$1&amp;"C"&amp;$A148))-IF(RTD("tos.rtd",,$A$2,"."&amp;D$135&amp;D$1&amp;"P"&amp;$A148)="N/A",0,RTD("tos.rtd",,$A$2,"."&amp;D$135&amp;D$1&amp;"P"&amp;$A148))</f>
        <v>2</v>
      </c>
      <c r="E148" s="56">
        <f ca="1">IF(RTD("tos.rtd",,$A$2,"."&amp;E$135&amp;E$1&amp;"C"&amp;$A148)="N/A",0,RTD("tos.rtd",,$A$2,"."&amp;E$135&amp;E$1&amp;"C"&amp;$A148))-IF(RTD("tos.rtd",,$A$2,"."&amp;E$135&amp;E$1&amp;"P"&amp;$A148)="N/A",0,RTD("tos.rtd",,$A$2,"."&amp;E$135&amp;E$1&amp;"P"&amp;$A148))</f>
        <v>0</v>
      </c>
      <c r="F148" s="56">
        <f ca="1">IF(RTD("tos.rtd",,$A$2,"."&amp;F$135&amp;F$1&amp;"C"&amp;$A148)="N/A",0,RTD("tos.rtd",,$A$2,"."&amp;F$135&amp;F$1&amp;"C"&amp;$A148))-IF(RTD("tos.rtd",,$A$2,"."&amp;F$135&amp;F$1&amp;"P"&amp;$A148)="N/A",0,RTD("tos.rtd",,$A$2,"."&amp;F$135&amp;F$1&amp;"P"&amp;$A148))</f>
        <v>0</v>
      </c>
      <c r="G148" s="56">
        <f ca="1">IF(RTD("tos.rtd",,$A$2,"."&amp;G$135&amp;G$1&amp;"C"&amp;$A148)="N/A",0,RTD("tos.rtd",,$A$2,"."&amp;G$135&amp;G$1&amp;"C"&amp;$A148))-IF(RTD("tos.rtd",,$A$2,"."&amp;G$135&amp;G$1&amp;"P"&amp;$A148)="N/A",0,RTD("tos.rtd",,$A$2,"."&amp;G$135&amp;G$1&amp;"P"&amp;$A148))</f>
        <v>0</v>
      </c>
      <c r="H148" s="56">
        <f ca="1">IF(RTD("tos.rtd",,$A$2,"."&amp;H$135&amp;H$1&amp;"C"&amp;$A148)="N/A",0,RTD("tos.rtd",,$A$2,"."&amp;H$135&amp;H$1&amp;"C"&amp;$A148))-IF(RTD("tos.rtd",,$A$2,"."&amp;H$135&amp;H$1&amp;"P"&amp;$A148)="N/A",0,RTD("tos.rtd",,$A$2,"."&amp;H$135&amp;H$1&amp;"P"&amp;$A148))</f>
        <v>0</v>
      </c>
      <c r="I148" s="56">
        <f ca="1">IF(RTD("tos.rtd",,$A$2,"."&amp;I$135&amp;I$1&amp;"C"&amp;$A148)="N/A",0,RTD("tos.rtd",,$A$2,"."&amp;I$135&amp;I$1&amp;"C"&amp;$A148))-IF(RTD("tos.rtd",,$A$2,"."&amp;I$135&amp;I$1&amp;"P"&amp;$A148)="N/A",0,RTD("tos.rtd",,$A$2,"."&amp;I$135&amp;I$1&amp;"P"&amp;$A148))</f>
        <v>21</v>
      </c>
      <c r="J148" s="56">
        <f ca="1">IF(RTD("tos.rtd",,$A$2,"."&amp;J$135&amp;J$1&amp;"C"&amp;$A148)="N/A",0,RTD("tos.rtd",,$A$2,"."&amp;J$135&amp;J$1&amp;"C"&amp;$A148))-IF(RTD("tos.rtd",,$A$2,"."&amp;J$135&amp;J$1&amp;"P"&amp;$A148)="N/A",0,RTD("tos.rtd",,$A$2,"."&amp;J$135&amp;J$1&amp;"P"&amp;$A148))</f>
        <v>0</v>
      </c>
      <c r="K148" s="56">
        <f ca="1">IF(RTD("tos.rtd",,$A$2,"."&amp;K$135&amp;K$1&amp;"C"&amp;$A148)="N/A",0,RTD("tos.rtd",,$A$2,"."&amp;K$135&amp;K$1&amp;"C"&amp;$A148))-IF(RTD("tos.rtd",,$A$2,"."&amp;K$135&amp;K$1&amp;"P"&amp;$A148)="N/A",0,RTD("tos.rtd",,$A$2,"."&amp;K$135&amp;K$1&amp;"P"&amp;$A148))</f>
        <v>0</v>
      </c>
      <c r="L148" s="56">
        <f ca="1">IF(RTD("tos.rtd",,$A$2,"."&amp;L$135&amp;L$1&amp;"C"&amp;$A148)="N/A",0,RTD("tos.rtd",,$A$2,"."&amp;L$135&amp;L$1&amp;"C"&amp;$A148))-IF(RTD("tos.rtd",,$A$2,"."&amp;L$135&amp;L$1&amp;"P"&amp;$A148)="N/A",0,RTD("tos.rtd",,$A$2,"."&amp;L$135&amp;L$1&amp;"P"&amp;$A148))</f>
        <v>0</v>
      </c>
      <c r="M148" s="56">
        <f ca="1">IF(RTD("tos.rtd",,$A$2,"."&amp;M$135&amp;M$1&amp;"C"&amp;$A148)="N/A",0,RTD("tos.rtd",,$A$2,"."&amp;M$135&amp;M$1&amp;"C"&amp;$A148))-IF(RTD("tos.rtd",,$A$2,"."&amp;M$135&amp;M$1&amp;"P"&amp;$A148)="N/A",0,RTD("tos.rtd",,$A$2,"."&amp;M$135&amp;M$1&amp;"P"&amp;$A148))</f>
        <v>0</v>
      </c>
      <c r="N148" s="56">
        <f ca="1">IF(RTD("tos.rtd",,$A$2,"."&amp;N$135&amp;N$1&amp;"C"&amp;$A148)="N/A",0,RTD("tos.rtd",,$A$2,"."&amp;N$135&amp;N$1&amp;"C"&amp;$A148))-IF(RTD("tos.rtd",,$A$2,"."&amp;N$135&amp;N$1&amp;"P"&amp;$A148)="N/A",0,RTD("tos.rtd",,$A$2,"."&amp;N$135&amp;N$1&amp;"P"&amp;$A148))</f>
        <v>0</v>
      </c>
      <c r="O148" s="56">
        <f ca="1">IF(RTD("tos.rtd",,$A$2,"."&amp;O$135&amp;O$1&amp;"C"&amp;$A148)="N/A",0,RTD("tos.rtd",,$A$2,"."&amp;O$135&amp;O$1&amp;"C"&amp;$A148))-IF(RTD("tos.rtd",,$A$2,"."&amp;O$135&amp;O$1&amp;"P"&amp;$A148)="N/A",0,RTD("tos.rtd",,$A$2,"."&amp;O$135&amp;O$1&amp;"P"&amp;$A148))</f>
        <v>0</v>
      </c>
      <c r="P148" s="56">
        <f ca="1">IF(RTD("tos.rtd",,$A$2,"."&amp;P$135&amp;P$1&amp;"C"&amp;$A148)="N/A",0,RTD("tos.rtd",,$A$2,"."&amp;P$135&amp;P$1&amp;"C"&amp;$A148))-IF(RTD("tos.rtd",,$A$2,"."&amp;P$135&amp;P$1&amp;"P"&amp;$A148)="N/A",0,RTD("tos.rtd",,$A$2,"."&amp;P$135&amp;P$1&amp;"P"&amp;$A148))</f>
        <v>0</v>
      </c>
      <c r="Q148" s="56">
        <f ca="1">IF(RTD("tos.rtd",,$A$2,"."&amp;Q$135&amp;Q$1&amp;"C"&amp;$A148)="N/A",0,RTD("tos.rtd",,$A$2,"."&amp;Q$135&amp;Q$1&amp;"C"&amp;$A148))-IF(RTD("tos.rtd",,$A$2,"."&amp;Q$135&amp;Q$1&amp;"P"&amp;$A148)="N/A",0,RTD("tos.rtd",,$A$2,"."&amp;Q$135&amp;Q$1&amp;"P"&amp;$A148))</f>
        <v>0</v>
      </c>
      <c r="R148" s="56">
        <f ca="1">IF(RTD("tos.rtd",,$A$2,"."&amp;R$135&amp;R$1&amp;"C"&amp;$A148)="N/A",0,RTD("tos.rtd",,$A$2,"."&amp;R$135&amp;R$1&amp;"C"&amp;$A148))-IF(RTD("tos.rtd",,$A$2,"."&amp;R$135&amp;R$1&amp;"P"&amp;$A148)="N/A",0,RTD("tos.rtd",,$A$2,"."&amp;R$135&amp;R$1&amp;"P"&amp;$A148))</f>
        <v>0</v>
      </c>
      <c r="S148" s="56">
        <f ca="1">IF(RTD("tos.rtd",,$A$2,"."&amp;S$135&amp;S$1&amp;"C"&amp;$A148)="N/A",0,RTD("tos.rtd",,$A$2,"."&amp;S$135&amp;S$1&amp;"C"&amp;$A148))-IF(RTD("tos.rtd",,$A$2,"."&amp;S$135&amp;S$1&amp;"P"&amp;$A148)="N/A",0,RTD("tos.rtd",,$A$2,"."&amp;S$135&amp;S$1&amp;"P"&amp;$A148))</f>
        <v>0</v>
      </c>
      <c r="T148" s="56">
        <f ca="1">IF(RTD("tos.rtd",,$A$2,"."&amp;T$135&amp;T$1&amp;"C"&amp;$A148)="N/A",0,RTD("tos.rtd",,$A$2,"."&amp;T$135&amp;T$1&amp;"C"&amp;$A148))-IF(RTD("tos.rtd",,$A$2,"."&amp;T$135&amp;T$1&amp;"P"&amp;$A148)="N/A",0,RTD("tos.rtd",,$A$2,"."&amp;T$135&amp;T$1&amp;"P"&amp;$A148))</f>
        <v>0</v>
      </c>
      <c r="U148" s="56">
        <f ca="1">IF(RTD("tos.rtd",,$A$2,"."&amp;U$135&amp;U$1&amp;"C"&amp;$A148)="N/A",0,RTD("tos.rtd",,$A$2,"."&amp;U$135&amp;U$1&amp;"C"&amp;$A148))-IF(RTD("tos.rtd",,$A$2,"."&amp;U$135&amp;U$1&amp;"P"&amp;$A148)="N/A",0,RTD("tos.rtd",,$A$2,"."&amp;U$135&amp;U$1&amp;"P"&amp;$A148))</f>
        <v>0</v>
      </c>
      <c r="V148" s="56">
        <f ca="1">IF(RTD("tos.rtd",,$A$2,"."&amp;V$135&amp;V$1&amp;"C"&amp;$A148)="N/A",0,RTD("tos.rtd",,$A$2,"."&amp;V$135&amp;V$1&amp;"C"&amp;$A148))-IF(RTD("tos.rtd",,$A$2,"."&amp;V$135&amp;V$1&amp;"P"&amp;$A148)="N/A",0,RTD("tos.rtd",,$A$2,"."&amp;V$135&amp;V$1&amp;"P"&amp;$A148))</f>
        <v>0</v>
      </c>
      <c r="W148" s="56">
        <f ca="1">IF(RTD("tos.rtd",,$A$2,"."&amp;W$135&amp;W$1&amp;"C"&amp;$A148)="N/A",0,RTD("tos.rtd",,$A$2,"."&amp;W$135&amp;W$1&amp;"C"&amp;$A148))-IF(RTD("tos.rtd",,$A$2,"."&amp;W$135&amp;W$1&amp;"P"&amp;$A148)="N/A",0,RTD("tos.rtd",,$A$2,"."&amp;W$135&amp;W$1&amp;"P"&amp;$A148))</f>
        <v>0</v>
      </c>
      <c r="X148" s="56">
        <f ca="1">IF(RTD("tos.rtd",,$A$2,"."&amp;X$135&amp;X$1&amp;"C"&amp;$A148)="N/A",0,RTD("tos.rtd",,$A$2,"."&amp;X$135&amp;X$1&amp;"C"&amp;$A148))-IF(RTD("tos.rtd",,$A$2,"."&amp;X$135&amp;X$1&amp;"P"&amp;$A148)="N/A",0,RTD("tos.rtd",,$A$2,"."&amp;X$135&amp;X$1&amp;"P"&amp;$A148))</f>
        <v>0</v>
      </c>
      <c r="Y148" s="63">
        <f t="shared" ca="1" si="16"/>
        <v>24</v>
      </c>
      <c r="Z148" s="56"/>
      <c r="AA148" s="56"/>
    </row>
    <row r="149" spans="1:27" x14ac:dyDescent="0.25">
      <c r="A149" s="58">
        <f>+Hoja1!A148</f>
        <v>25325</v>
      </c>
      <c r="B149" s="56">
        <f ca="1">IF(RTD("tos.rtd",,$A$2,"."&amp;B$135&amp;B$1&amp;"C"&amp;$A149)="N/A",0,RTD("tos.rtd",,$A$2,"."&amp;B$135&amp;B$1&amp;"C"&amp;$A149))-IF(RTD("tos.rtd",,$A$2,"."&amp;B$135&amp;B$1&amp;"P"&amp;$A149)="N/A",0,RTD("tos.rtd",,$A$2,"."&amp;B$135&amp;B$1&amp;"P"&amp;$A149))</f>
        <v>0</v>
      </c>
      <c r="C149" s="56">
        <f ca="1">IF(RTD("tos.rtd",,$A$2,"."&amp;C$135&amp;C$1&amp;"C"&amp;$A149)="N/A",0,RTD("tos.rtd",,$A$2,"."&amp;C$135&amp;C$1&amp;"C"&amp;$A149))-IF(RTD("tos.rtd",,$A$2,"."&amp;C$135&amp;C$1&amp;"P"&amp;$A149)="N/A",0,RTD("tos.rtd",,$A$2,"."&amp;C$135&amp;C$1&amp;"P"&amp;$A149))</f>
        <v>0</v>
      </c>
      <c r="D149" s="56">
        <f ca="1">IF(RTD("tos.rtd",,$A$2,"."&amp;D$135&amp;D$1&amp;"C"&amp;$A149)="N/A",0,RTD("tos.rtd",,$A$2,"."&amp;D$135&amp;D$1&amp;"C"&amp;$A149))-IF(RTD("tos.rtd",,$A$2,"."&amp;D$135&amp;D$1&amp;"P"&amp;$A149)="N/A",0,RTD("tos.rtd",,$A$2,"."&amp;D$135&amp;D$1&amp;"P"&amp;$A149))</f>
        <v>0</v>
      </c>
      <c r="E149" s="56">
        <f ca="1">IF(RTD("tos.rtd",,$A$2,"."&amp;E$135&amp;E$1&amp;"C"&amp;$A149)="N/A",0,RTD("tos.rtd",,$A$2,"."&amp;E$135&amp;E$1&amp;"C"&amp;$A149))-IF(RTD("tos.rtd",,$A$2,"."&amp;E$135&amp;E$1&amp;"P"&amp;$A149)="N/A",0,RTD("tos.rtd",,$A$2,"."&amp;E$135&amp;E$1&amp;"P"&amp;$A149))</f>
        <v>0</v>
      </c>
      <c r="F149" s="56">
        <f ca="1">IF(RTD("tos.rtd",,$A$2,"."&amp;F$135&amp;F$1&amp;"C"&amp;$A149)="N/A",0,RTD("tos.rtd",,$A$2,"."&amp;F$135&amp;F$1&amp;"C"&amp;$A149))-IF(RTD("tos.rtd",,$A$2,"."&amp;F$135&amp;F$1&amp;"P"&amp;$A149)="N/A",0,RTD("tos.rtd",,$A$2,"."&amp;F$135&amp;F$1&amp;"P"&amp;$A149))</f>
        <v>0</v>
      </c>
      <c r="G149" s="56">
        <f ca="1">IF(RTD("tos.rtd",,$A$2,"."&amp;G$135&amp;G$1&amp;"C"&amp;$A149)="N/A",0,RTD("tos.rtd",,$A$2,"."&amp;G$135&amp;G$1&amp;"C"&amp;$A149))-IF(RTD("tos.rtd",,$A$2,"."&amp;G$135&amp;G$1&amp;"P"&amp;$A149)="N/A",0,RTD("tos.rtd",,$A$2,"."&amp;G$135&amp;G$1&amp;"P"&amp;$A149))</f>
        <v>0</v>
      </c>
      <c r="H149" s="56">
        <f ca="1">IF(RTD("tos.rtd",,$A$2,"."&amp;H$135&amp;H$1&amp;"C"&amp;$A149)="N/A",0,RTD("tos.rtd",,$A$2,"."&amp;H$135&amp;H$1&amp;"C"&amp;$A149))-IF(RTD("tos.rtd",,$A$2,"."&amp;H$135&amp;H$1&amp;"P"&amp;$A149)="N/A",0,RTD("tos.rtd",,$A$2,"."&amp;H$135&amp;H$1&amp;"P"&amp;$A149))</f>
        <v>0</v>
      </c>
      <c r="I149" s="56">
        <f ca="1">IF(RTD("tos.rtd",,$A$2,"."&amp;I$135&amp;I$1&amp;"C"&amp;$A149)="N/A",0,RTD("tos.rtd",,$A$2,"."&amp;I$135&amp;I$1&amp;"C"&amp;$A149))-IF(RTD("tos.rtd",,$A$2,"."&amp;I$135&amp;I$1&amp;"P"&amp;$A149)="N/A",0,RTD("tos.rtd",,$A$2,"."&amp;I$135&amp;I$1&amp;"P"&amp;$A149))</f>
        <v>0</v>
      </c>
      <c r="J149" s="56">
        <f ca="1">IF(RTD("tos.rtd",,$A$2,"."&amp;J$135&amp;J$1&amp;"C"&amp;$A149)="N/A",0,RTD("tos.rtd",,$A$2,"."&amp;J$135&amp;J$1&amp;"C"&amp;$A149))-IF(RTD("tos.rtd",,$A$2,"."&amp;J$135&amp;J$1&amp;"P"&amp;$A149)="N/A",0,RTD("tos.rtd",,$A$2,"."&amp;J$135&amp;J$1&amp;"P"&amp;$A149))</f>
        <v>0</v>
      </c>
      <c r="K149" s="56">
        <f ca="1">IF(RTD("tos.rtd",,$A$2,"."&amp;K$135&amp;K$1&amp;"C"&amp;$A149)="N/A",0,RTD("tos.rtd",,$A$2,"."&amp;K$135&amp;K$1&amp;"C"&amp;$A149))-IF(RTD("tos.rtd",,$A$2,"."&amp;K$135&amp;K$1&amp;"P"&amp;$A149)="N/A",0,RTD("tos.rtd",,$A$2,"."&amp;K$135&amp;K$1&amp;"P"&amp;$A149))</f>
        <v>0</v>
      </c>
      <c r="L149" s="56">
        <f ca="1">IF(RTD("tos.rtd",,$A$2,"."&amp;L$135&amp;L$1&amp;"C"&amp;$A149)="N/A",0,RTD("tos.rtd",,$A$2,"."&amp;L$135&amp;L$1&amp;"C"&amp;$A149))-IF(RTD("tos.rtd",,$A$2,"."&amp;L$135&amp;L$1&amp;"P"&amp;$A149)="N/A",0,RTD("tos.rtd",,$A$2,"."&amp;L$135&amp;L$1&amp;"P"&amp;$A149))</f>
        <v>0</v>
      </c>
      <c r="M149" s="56">
        <f ca="1">IF(RTD("tos.rtd",,$A$2,"."&amp;M$135&amp;M$1&amp;"C"&amp;$A149)="N/A",0,RTD("tos.rtd",,$A$2,"."&amp;M$135&amp;M$1&amp;"C"&amp;$A149))-IF(RTD("tos.rtd",,$A$2,"."&amp;M$135&amp;M$1&amp;"P"&amp;$A149)="N/A",0,RTD("tos.rtd",,$A$2,"."&amp;M$135&amp;M$1&amp;"P"&amp;$A149))</f>
        <v>0</v>
      </c>
      <c r="N149" s="56">
        <f ca="1">IF(RTD("tos.rtd",,$A$2,"."&amp;N$135&amp;N$1&amp;"C"&amp;$A149)="N/A",0,RTD("tos.rtd",,$A$2,"."&amp;N$135&amp;N$1&amp;"C"&amp;$A149))-IF(RTD("tos.rtd",,$A$2,"."&amp;N$135&amp;N$1&amp;"P"&amp;$A149)="N/A",0,RTD("tos.rtd",,$A$2,"."&amp;N$135&amp;N$1&amp;"P"&amp;$A149))</f>
        <v>0</v>
      </c>
      <c r="O149" s="56">
        <f ca="1">IF(RTD("tos.rtd",,$A$2,"."&amp;O$135&amp;O$1&amp;"C"&amp;$A149)="N/A",0,RTD("tos.rtd",,$A$2,"."&amp;O$135&amp;O$1&amp;"C"&amp;$A149))-IF(RTD("tos.rtd",,$A$2,"."&amp;O$135&amp;O$1&amp;"P"&amp;$A149)="N/A",0,RTD("tos.rtd",,$A$2,"."&amp;O$135&amp;O$1&amp;"P"&amp;$A149))</f>
        <v>0</v>
      </c>
      <c r="P149" s="56">
        <f ca="1">IF(RTD("tos.rtd",,$A$2,"."&amp;P$135&amp;P$1&amp;"C"&amp;$A149)="N/A",0,RTD("tos.rtd",,$A$2,"."&amp;P$135&amp;P$1&amp;"C"&amp;$A149))-IF(RTD("tos.rtd",,$A$2,"."&amp;P$135&amp;P$1&amp;"P"&amp;$A149)="N/A",0,RTD("tos.rtd",,$A$2,"."&amp;P$135&amp;P$1&amp;"P"&amp;$A149))</f>
        <v>0</v>
      </c>
      <c r="Q149" s="56">
        <f ca="1">IF(RTD("tos.rtd",,$A$2,"."&amp;Q$135&amp;Q$1&amp;"C"&amp;$A149)="N/A",0,RTD("tos.rtd",,$A$2,"."&amp;Q$135&amp;Q$1&amp;"C"&amp;$A149))-IF(RTD("tos.rtd",,$A$2,"."&amp;Q$135&amp;Q$1&amp;"P"&amp;$A149)="N/A",0,RTD("tos.rtd",,$A$2,"."&amp;Q$135&amp;Q$1&amp;"P"&amp;$A149))</f>
        <v>0</v>
      </c>
      <c r="R149" s="56">
        <f ca="1">IF(RTD("tos.rtd",,$A$2,"."&amp;R$135&amp;R$1&amp;"C"&amp;$A149)="N/A",0,RTD("tos.rtd",,$A$2,"."&amp;R$135&amp;R$1&amp;"C"&amp;$A149))-IF(RTD("tos.rtd",,$A$2,"."&amp;R$135&amp;R$1&amp;"P"&amp;$A149)="N/A",0,RTD("tos.rtd",,$A$2,"."&amp;R$135&amp;R$1&amp;"P"&amp;$A149))</f>
        <v>0</v>
      </c>
      <c r="S149" s="56">
        <f ca="1">IF(RTD("tos.rtd",,$A$2,"."&amp;S$135&amp;S$1&amp;"C"&amp;$A149)="N/A",0,RTD("tos.rtd",,$A$2,"."&amp;S$135&amp;S$1&amp;"C"&amp;$A149))-IF(RTD("tos.rtd",,$A$2,"."&amp;S$135&amp;S$1&amp;"P"&amp;$A149)="N/A",0,RTD("tos.rtd",,$A$2,"."&amp;S$135&amp;S$1&amp;"P"&amp;$A149))</f>
        <v>0</v>
      </c>
      <c r="T149" s="56">
        <f ca="1">IF(RTD("tos.rtd",,$A$2,"."&amp;T$135&amp;T$1&amp;"C"&amp;$A149)="N/A",0,RTD("tos.rtd",,$A$2,"."&amp;T$135&amp;T$1&amp;"C"&amp;$A149))-IF(RTD("tos.rtd",,$A$2,"."&amp;T$135&amp;T$1&amp;"P"&amp;$A149)="N/A",0,RTD("tos.rtd",,$A$2,"."&amp;T$135&amp;T$1&amp;"P"&amp;$A149))</f>
        <v>0</v>
      </c>
      <c r="U149" s="56">
        <f ca="1">IF(RTD("tos.rtd",,$A$2,"."&amp;U$135&amp;U$1&amp;"C"&amp;$A149)="N/A",0,RTD("tos.rtd",,$A$2,"."&amp;U$135&amp;U$1&amp;"C"&amp;$A149))-IF(RTD("tos.rtd",,$A$2,"."&amp;U$135&amp;U$1&amp;"P"&amp;$A149)="N/A",0,RTD("tos.rtd",,$A$2,"."&amp;U$135&amp;U$1&amp;"P"&amp;$A149))</f>
        <v>0</v>
      </c>
      <c r="V149" s="56">
        <f ca="1">IF(RTD("tos.rtd",,$A$2,"."&amp;V$135&amp;V$1&amp;"C"&amp;$A149)="N/A",0,RTD("tos.rtd",,$A$2,"."&amp;V$135&amp;V$1&amp;"C"&amp;$A149))-IF(RTD("tos.rtd",,$A$2,"."&amp;V$135&amp;V$1&amp;"P"&amp;$A149)="N/A",0,RTD("tos.rtd",,$A$2,"."&amp;V$135&amp;V$1&amp;"P"&amp;$A149))</f>
        <v>0</v>
      </c>
      <c r="W149" s="56">
        <f ca="1">IF(RTD("tos.rtd",,$A$2,"."&amp;W$135&amp;W$1&amp;"C"&amp;$A149)="N/A",0,RTD("tos.rtd",,$A$2,"."&amp;W$135&amp;W$1&amp;"C"&amp;$A149))-IF(RTD("tos.rtd",,$A$2,"."&amp;W$135&amp;W$1&amp;"P"&amp;$A149)="N/A",0,RTD("tos.rtd",,$A$2,"."&amp;W$135&amp;W$1&amp;"P"&amp;$A149))</f>
        <v>0</v>
      </c>
      <c r="X149" s="56">
        <f ca="1">IF(RTD("tos.rtd",,$A$2,"."&amp;X$135&amp;X$1&amp;"C"&amp;$A149)="N/A",0,RTD("tos.rtd",,$A$2,"."&amp;X$135&amp;X$1&amp;"C"&amp;$A149))-IF(RTD("tos.rtd",,$A$2,"."&amp;X$135&amp;X$1&amp;"P"&amp;$A149)="N/A",0,RTD("tos.rtd",,$A$2,"."&amp;X$135&amp;X$1&amp;"P"&amp;$A149))</f>
        <v>0</v>
      </c>
      <c r="Y149" s="63">
        <f t="shared" ca="1" si="16"/>
        <v>0</v>
      </c>
      <c r="Z149" s="56"/>
      <c r="AA149" s="56"/>
    </row>
    <row r="150" spans="1:27" x14ac:dyDescent="0.25">
      <c r="A150" s="58">
        <f>+Hoja1!A149</f>
        <v>25300</v>
      </c>
      <c r="B150" s="56">
        <f ca="1">IF(RTD("tos.rtd",,$A$2,"."&amp;B$135&amp;B$1&amp;"C"&amp;$A150)="N/A",0,RTD("tos.rtd",,$A$2,"."&amp;B$135&amp;B$1&amp;"C"&amp;$A150))-IF(RTD("tos.rtd",,$A$2,"."&amp;B$135&amp;B$1&amp;"P"&amp;$A150)="N/A",0,RTD("tos.rtd",,$A$2,"."&amp;B$135&amp;B$1&amp;"P"&amp;$A150))</f>
        <v>300</v>
      </c>
      <c r="C150" s="56">
        <f ca="1">IF(RTD("tos.rtd",,$A$2,"."&amp;C$135&amp;C$1&amp;"C"&amp;$A150)="N/A",0,RTD("tos.rtd",,$A$2,"."&amp;C$135&amp;C$1&amp;"C"&amp;$A150))-IF(RTD("tos.rtd",,$A$2,"."&amp;C$135&amp;C$1&amp;"P"&amp;$A150)="N/A",0,RTD("tos.rtd",,$A$2,"."&amp;C$135&amp;C$1&amp;"P"&amp;$A150))</f>
        <v>50</v>
      </c>
      <c r="D150" s="56">
        <f ca="1">IF(RTD("tos.rtd",,$A$2,"."&amp;D$135&amp;D$1&amp;"C"&amp;$A150)="N/A",0,RTD("tos.rtd",,$A$2,"."&amp;D$135&amp;D$1&amp;"C"&amp;$A150))-IF(RTD("tos.rtd",,$A$2,"."&amp;D$135&amp;D$1&amp;"P"&amp;$A150)="N/A",0,RTD("tos.rtd",,$A$2,"."&amp;D$135&amp;D$1&amp;"P"&amp;$A150))</f>
        <v>6</v>
      </c>
      <c r="E150" s="56">
        <f ca="1">IF(RTD("tos.rtd",,$A$2,"."&amp;E$135&amp;E$1&amp;"C"&amp;$A150)="N/A",0,RTD("tos.rtd",,$A$2,"."&amp;E$135&amp;E$1&amp;"C"&amp;$A150))-IF(RTD("tos.rtd",,$A$2,"."&amp;E$135&amp;E$1&amp;"P"&amp;$A150)="N/A",0,RTD("tos.rtd",,$A$2,"."&amp;E$135&amp;E$1&amp;"P"&amp;$A150))</f>
        <v>13</v>
      </c>
      <c r="F150" s="56">
        <f ca="1">IF(RTD("tos.rtd",,$A$2,"."&amp;F$135&amp;F$1&amp;"C"&amp;$A150)="N/A",0,RTD("tos.rtd",,$A$2,"."&amp;F$135&amp;F$1&amp;"C"&amp;$A150))-IF(RTD("tos.rtd",,$A$2,"."&amp;F$135&amp;F$1&amp;"P"&amp;$A150)="N/A",0,RTD("tos.rtd",,$A$2,"."&amp;F$135&amp;F$1&amp;"P"&amp;$A150))</f>
        <v>0</v>
      </c>
      <c r="G150" s="56">
        <f ca="1">IF(RTD("tos.rtd",,$A$2,"."&amp;G$135&amp;G$1&amp;"C"&amp;$A150)="N/A",0,RTD("tos.rtd",,$A$2,"."&amp;G$135&amp;G$1&amp;"C"&amp;$A150))-IF(RTD("tos.rtd",,$A$2,"."&amp;G$135&amp;G$1&amp;"P"&amp;$A150)="N/A",0,RTD("tos.rtd",,$A$2,"."&amp;G$135&amp;G$1&amp;"P"&amp;$A150))</f>
        <v>0</v>
      </c>
      <c r="H150" s="56">
        <f ca="1">IF(RTD("tos.rtd",,$A$2,"."&amp;H$135&amp;H$1&amp;"C"&amp;$A150)="N/A",0,RTD("tos.rtd",,$A$2,"."&amp;H$135&amp;H$1&amp;"C"&amp;$A150))-IF(RTD("tos.rtd",,$A$2,"."&amp;H$135&amp;H$1&amp;"P"&amp;$A150)="N/A",0,RTD("tos.rtd",,$A$2,"."&amp;H$135&amp;H$1&amp;"P"&amp;$A150))</f>
        <v>0</v>
      </c>
      <c r="I150" s="56">
        <f ca="1">IF(RTD("tos.rtd",,$A$2,"."&amp;I$135&amp;I$1&amp;"C"&amp;$A150)="N/A",0,RTD("tos.rtd",,$A$2,"."&amp;I$135&amp;I$1&amp;"C"&amp;$A150))-IF(RTD("tos.rtd",,$A$2,"."&amp;I$135&amp;I$1&amp;"P"&amp;$A150)="N/A",0,RTD("tos.rtd",,$A$2,"."&amp;I$135&amp;I$1&amp;"P"&amp;$A150))</f>
        <v>0</v>
      </c>
      <c r="J150" s="56">
        <f ca="1">IF(RTD("tos.rtd",,$A$2,"."&amp;J$135&amp;J$1&amp;"C"&amp;$A150)="N/A",0,RTD("tos.rtd",,$A$2,"."&amp;J$135&amp;J$1&amp;"C"&amp;$A150))-IF(RTD("tos.rtd",,$A$2,"."&amp;J$135&amp;J$1&amp;"P"&amp;$A150)="N/A",0,RTD("tos.rtd",,$A$2,"."&amp;J$135&amp;J$1&amp;"P"&amp;$A150))</f>
        <v>0</v>
      </c>
      <c r="K150" s="56">
        <f ca="1">IF(RTD("tos.rtd",,$A$2,"."&amp;K$135&amp;K$1&amp;"C"&amp;$A150)="N/A",0,RTD("tos.rtd",,$A$2,"."&amp;K$135&amp;K$1&amp;"C"&amp;$A150))-IF(RTD("tos.rtd",,$A$2,"."&amp;K$135&amp;K$1&amp;"P"&amp;$A150)="N/A",0,RTD("tos.rtd",,$A$2,"."&amp;K$135&amp;K$1&amp;"P"&amp;$A150))</f>
        <v>-3</v>
      </c>
      <c r="L150" s="56">
        <f ca="1">IF(RTD("tos.rtd",,$A$2,"."&amp;L$135&amp;L$1&amp;"C"&amp;$A150)="N/A",0,RTD("tos.rtd",,$A$2,"."&amp;L$135&amp;L$1&amp;"C"&amp;$A150))-IF(RTD("tos.rtd",,$A$2,"."&amp;L$135&amp;L$1&amp;"P"&amp;$A150)="N/A",0,RTD("tos.rtd",,$A$2,"."&amp;L$135&amp;L$1&amp;"P"&amp;$A150))</f>
        <v>0</v>
      </c>
      <c r="M150" s="56">
        <f ca="1">IF(RTD("tos.rtd",,$A$2,"."&amp;M$135&amp;M$1&amp;"C"&amp;$A150)="N/A",0,RTD("tos.rtd",,$A$2,"."&amp;M$135&amp;M$1&amp;"C"&amp;$A150))-IF(RTD("tos.rtd",,$A$2,"."&amp;M$135&amp;M$1&amp;"P"&amp;$A150)="N/A",0,RTD("tos.rtd",,$A$2,"."&amp;M$135&amp;M$1&amp;"P"&amp;$A150))</f>
        <v>0</v>
      </c>
      <c r="N150" s="56">
        <f ca="1">IF(RTD("tos.rtd",,$A$2,"."&amp;N$135&amp;N$1&amp;"C"&amp;$A150)="N/A",0,RTD("tos.rtd",,$A$2,"."&amp;N$135&amp;N$1&amp;"C"&amp;$A150))-IF(RTD("tos.rtd",,$A$2,"."&amp;N$135&amp;N$1&amp;"P"&amp;$A150)="N/A",0,RTD("tos.rtd",,$A$2,"."&amp;N$135&amp;N$1&amp;"P"&amp;$A150))</f>
        <v>0</v>
      </c>
      <c r="O150" s="56">
        <f ca="1">IF(RTD("tos.rtd",,$A$2,"."&amp;O$135&amp;O$1&amp;"C"&amp;$A150)="N/A",0,RTD("tos.rtd",,$A$2,"."&amp;O$135&amp;O$1&amp;"C"&amp;$A150))-IF(RTD("tos.rtd",,$A$2,"."&amp;O$135&amp;O$1&amp;"P"&amp;$A150)="N/A",0,RTD("tos.rtd",,$A$2,"."&amp;O$135&amp;O$1&amp;"P"&amp;$A150))</f>
        <v>0</v>
      </c>
      <c r="P150" s="56">
        <f ca="1">IF(RTD("tos.rtd",,$A$2,"."&amp;P$135&amp;P$1&amp;"C"&amp;$A150)="N/A",0,RTD("tos.rtd",,$A$2,"."&amp;P$135&amp;P$1&amp;"C"&amp;$A150))-IF(RTD("tos.rtd",,$A$2,"."&amp;P$135&amp;P$1&amp;"P"&amp;$A150)="N/A",0,RTD("tos.rtd",,$A$2,"."&amp;P$135&amp;P$1&amp;"P"&amp;$A150))</f>
        <v>0</v>
      </c>
      <c r="Q150" s="56">
        <f ca="1">IF(RTD("tos.rtd",,$A$2,"."&amp;Q$135&amp;Q$1&amp;"C"&amp;$A150)="N/A",0,RTD("tos.rtd",,$A$2,"."&amp;Q$135&amp;Q$1&amp;"C"&amp;$A150))-IF(RTD("tos.rtd",,$A$2,"."&amp;Q$135&amp;Q$1&amp;"P"&amp;$A150)="N/A",0,RTD("tos.rtd",,$A$2,"."&amp;Q$135&amp;Q$1&amp;"P"&amp;$A150))</f>
        <v>0</v>
      </c>
      <c r="R150" s="56">
        <f ca="1">IF(RTD("tos.rtd",,$A$2,"."&amp;R$135&amp;R$1&amp;"C"&amp;$A150)="N/A",0,RTD("tos.rtd",,$A$2,"."&amp;R$135&amp;R$1&amp;"C"&amp;$A150))-IF(RTD("tos.rtd",,$A$2,"."&amp;R$135&amp;R$1&amp;"P"&amp;$A150)="N/A",0,RTD("tos.rtd",,$A$2,"."&amp;R$135&amp;R$1&amp;"P"&amp;$A150))</f>
        <v>0</v>
      </c>
      <c r="S150" s="56">
        <f ca="1">IF(RTD("tos.rtd",,$A$2,"."&amp;S$135&amp;S$1&amp;"C"&amp;$A150)="N/A",0,RTD("tos.rtd",,$A$2,"."&amp;S$135&amp;S$1&amp;"C"&amp;$A150))-IF(RTD("tos.rtd",,$A$2,"."&amp;S$135&amp;S$1&amp;"P"&amp;$A150)="N/A",0,RTD("tos.rtd",,$A$2,"."&amp;S$135&amp;S$1&amp;"P"&amp;$A150))</f>
        <v>0</v>
      </c>
      <c r="T150" s="56">
        <f ca="1">IF(RTD("tos.rtd",,$A$2,"."&amp;T$135&amp;T$1&amp;"C"&amp;$A150)="N/A",0,RTD("tos.rtd",,$A$2,"."&amp;T$135&amp;T$1&amp;"C"&amp;$A150))-IF(RTD("tos.rtd",,$A$2,"."&amp;T$135&amp;T$1&amp;"P"&amp;$A150)="N/A",0,RTD("tos.rtd",,$A$2,"."&amp;T$135&amp;T$1&amp;"P"&amp;$A150))</f>
        <v>0</v>
      </c>
      <c r="U150" s="56">
        <f ca="1">IF(RTD("tos.rtd",,$A$2,"."&amp;U$135&amp;U$1&amp;"C"&amp;$A150)="N/A",0,RTD("tos.rtd",,$A$2,"."&amp;U$135&amp;U$1&amp;"C"&amp;$A150))-IF(RTD("tos.rtd",,$A$2,"."&amp;U$135&amp;U$1&amp;"P"&amp;$A150)="N/A",0,RTD("tos.rtd",,$A$2,"."&amp;U$135&amp;U$1&amp;"P"&amp;$A150))</f>
        <v>0</v>
      </c>
      <c r="V150" s="56">
        <f ca="1">IF(RTD("tos.rtd",,$A$2,"."&amp;V$135&amp;V$1&amp;"C"&amp;$A150)="N/A",0,RTD("tos.rtd",,$A$2,"."&amp;V$135&amp;V$1&amp;"C"&amp;$A150))-IF(RTD("tos.rtd",,$A$2,"."&amp;V$135&amp;V$1&amp;"P"&amp;$A150)="N/A",0,RTD("tos.rtd",,$A$2,"."&amp;V$135&amp;V$1&amp;"P"&amp;$A150))</f>
        <v>0</v>
      </c>
      <c r="W150" s="56">
        <f ca="1">IF(RTD("tos.rtd",,$A$2,"."&amp;W$135&amp;W$1&amp;"C"&amp;$A150)="N/A",0,RTD("tos.rtd",,$A$2,"."&amp;W$135&amp;W$1&amp;"C"&amp;$A150))-IF(RTD("tos.rtd",,$A$2,"."&amp;W$135&amp;W$1&amp;"P"&amp;$A150)="N/A",0,RTD("tos.rtd",,$A$2,"."&amp;W$135&amp;W$1&amp;"P"&amp;$A150))</f>
        <v>0</v>
      </c>
      <c r="X150" s="56">
        <f ca="1">IF(RTD("tos.rtd",,$A$2,"."&amp;X$135&amp;X$1&amp;"C"&amp;$A150)="N/A",0,RTD("tos.rtd",,$A$2,"."&amp;X$135&amp;X$1&amp;"C"&amp;$A150))-IF(RTD("tos.rtd",,$A$2,"."&amp;X$135&amp;X$1&amp;"P"&amp;$A150)="N/A",0,RTD("tos.rtd",,$A$2,"."&amp;X$135&amp;X$1&amp;"P"&amp;$A150))</f>
        <v>0</v>
      </c>
      <c r="Y150" s="63">
        <f t="shared" ca="1" si="16"/>
        <v>366</v>
      </c>
      <c r="Z150" s="56"/>
      <c r="AA150" s="56"/>
    </row>
    <row r="151" spans="1:27" x14ac:dyDescent="0.25">
      <c r="A151" s="58">
        <f>+Hoja1!A150</f>
        <v>25275</v>
      </c>
      <c r="B151" s="56">
        <f ca="1">IF(RTD("tos.rtd",,$A$2,"."&amp;B$135&amp;B$1&amp;"C"&amp;$A151)="N/A",0,RTD("tos.rtd",,$A$2,"."&amp;B$135&amp;B$1&amp;"C"&amp;$A151))-IF(RTD("tos.rtd",,$A$2,"."&amp;B$135&amp;B$1&amp;"P"&amp;$A151)="N/A",0,RTD("tos.rtd",,$A$2,"."&amp;B$135&amp;B$1&amp;"P"&amp;$A151))</f>
        <v>0</v>
      </c>
      <c r="C151" s="56">
        <f ca="1">IF(RTD("tos.rtd",,$A$2,"."&amp;C$135&amp;C$1&amp;"C"&amp;$A151)="N/A",0,RTD("tos.rtd",,$A$2,"."&amp;C$135&amp;C$1&amp;"C"&amp;$A151))-IF(RTD("tos.rtd",,$A$2,"."&amp;C$135&amp;C$1&amp;"P"&amp;$A151)="N/A",0,RTD("tos.rtd",,$A$2,"."&amp;C$135&amp;C$1&amp;"P"&amp;$A151))</f>
        <v>0</v>
      </c>
      <c r="D151" s="56">
        <f ca="1">IF(RTD("tos.rtd",,$A$2,"."&amp;D$135&amp;D$1&amp;"C"&amp;$A151)="N/A",0,RTD("tos.rtd",,$A$2,"."&amp;D$135&amp;D$1&amp;"C"&amp;$A151))-IF(RTD("tos.rtd",,$A$2,"."&amp;D$135&amp;D$1&amp;"P"&amp;$A151)="N/A",0,RTD("tos.rtd",,$A$2,"."&amp;D$135&amp;D$1&amp;"P"&amp;$A151))</f>
        <v>0</v>
      </c>
      <c r="E151" s="56">
        <f ca="1">IF(RTD("tos.rtd",,$A$2,"."&amp;E$135&amp;E$1&amp;"C"&amp;$A151)="N/A",0,RTD("tos.rtd",,$A$2,"."&amp;E$135&amp;E$1&amp;"C"&amp;$A151))-IF(RTD("tos.rtd",,$A$2,"."&amp;E$135&amp;E$1&amp;"P"&amp;$A151)="N/A",0,RTD("tos.rtd",,$A$2,"."&amp;E$135&amp;E$1&amp;"P"&amp;$A151))</f>
        <v>0</v>
      </c>
      <c r="F151" s="56">
        <f ca="1">IF(RTD("tos.rtd",,$A$2,"."&amp;F$135&amp;F$1&amp;"C"&amp;$A151)="N/A",0,RTD("tos.rtd",,$A$2,"."&amp;F$135&amp;F$1&amp;"C"&amp;$A151))-IF(RTD("tos.rtd",,$A$2,"."&amp;F$135&amp;F$1&amp;"P"&amp;$A151)="N/A",0,RTD("tos.rtd",,$A$2,"."&amp;F$135&amp;F$1&amp;"P"&amp;$A151))</f>
        <v>0</v>
      </c>
      <c r="G151" s="56">
        <f ca="1">IF(RTD("tos.rtd",,$A$2,"."&amp;G$135&amp;G$1&amp;"C"&amp;$A151)="N/A",0,RTD("tos.rtd",,$A$2,"."&amp;G$135&amp;G$1&amp;"C"&amp;$A151))-IF(RTD("tos.rtd",,$A$2,"."&amp;G$135&amp;G$1&amp;"P"&amp;$A151)="N/A",0,RTD("tos.rtd",,$A$2,"."&amp;G$135&amp;G$1&amp;"P"&amp;$A151))</f>
        <v>0</v>
      </c>
      <c r="H151" s="56">
        <f ca="1">IF(RTD("tos.rtd",,$A$2,"."&amp;H$135&amp;H$1&amp;"C"&amp;$A151)="N/A",0,RTD("tos.rtd",,$A$2,"."&amp;H$135&amp;H$1&amp;"C"&amp;$A151))-IF(RTD("tos.rtd",,$A$2,"."&amp;H$135&amp;H$1&amp;"P"&amp;$A151)="N/A",0,RTD("tos.rtd",,$A$2,"."&amp;H$135&amp;H$1&amp;"P"&amp;$A151))</f>
        <v>0</v>
      </c>
      <c r="I151" s="56">
        <f ca="1">IF(RTD("tos.rtd",,$A$2,"."&amp;I$135&amp;I$1&amp;"C"&amp;$A151)="N/A",0,RTD("tos.rtd",,$A$2,"."&amp;I$135&amp;I$1&amp;"C"&amp;$A151))-IF(RTD("tos.rtd",,$A$2,"."&amp;I$135&amp;I$1&amp;"P"&amp;$A151)="N/A",0,RTD("tos.rtd",,$A$2,"."&amp;I$135&amp;I$1&amp;"P"&amp;$A151))</f>
        <v>0</v>
      </c>
      <c r="J151" s="56">
        <f ca="1">IF(RTD("tos.rtd",,$A$2,"."&amp;J$135&amp;J$1&amp;"C"&amp;$A151)="N/A",0,RTD("tos.rtd",,$A$2,"."&amp;J$135&amp;J$1&amp;"C"&amp;$A151))-IF(RTD("tos.rtd",,$A$2,"."&amp;J$135&amp;J$1&amp;"P"&amp;$A151)="N/A",0,RTD("tos.rtd",,$A$2,"."&amp;J$135&amp;J$1&amp;"P"&amp;$A151))</f>
        <v>0</v>
      </c>
      <c r="K151" s="56">
        <f ca="1">IF(RTD("tos.rtd",,$A$2,"."&amp;K$135&amp;K$1&amp;"C"&amp;$A151)="N/A",0,RTD("tos.rtd",,$A$2,"."&amp;K$135&amp;K$1&amp;"C"&amp;$A151))-IF(RTD("tos.rtd",,$A$2,"."&amp;K$135&amp;K$1&amp;"P"&amp;$A151)="N/A",0,RTD("tos.rtd",,$A$2,"."&amp;K$135&amp;K$1&amp;"P"&amp;$A151))</f>
        <v>3</v>
      </c>
      <c r="L151" s="56">
        <f ca="1">IF(RTD("tos.rtd",,$A$2,"."&amp;L$135&amp;L$1&amp;"C"&amp;$A151)="N/A",0,RTD("tos.rtd",,$A$2,"."&amp;L$135&amp;L$1&amp;"C"&amp;$A151))-IF(RTD("tos.rtd",,$A$2,"."&amp;L$135&amp;L$1&amp;"P"&amp;$A151)="N/A",0,RTD("tos.rtd",,$A$2,"."&amp;L$135&amp;L$1&amp;"P"&amp;$A151))</f>
        <v>0</v>
      </c>
      <c r="M151" s="56">
        <f ca="1">IF(RTD("tos.rtd",,$A$2,"."&amp;M$135&amp;M$1&amp;"C"&amp;$A151)="N/A",0,RTD("tos.rtd",,$A$2,"."&amp;M$135&amp;M$1&amp;"C"&amp;$A151))-IF(RTD("tos.rtd",,$A$2,"."&amp;M$135&amp;M$1&amp;"P"&amp;$A151)="N/A",0,RTD("tos.rtd",,$A$2,"."&amp;M$135&amp;M$1&amp;"P"&amp;$A151))</f>
        <v>0</v>
      </c>
      <c r="N151" s="56">
        <f ca="1">IF(RTD("tos.rtd",,$A$2,"."&amp;N$135&amp;N$1&amp;"C"&amp;$A151)="N/A",0,RTD("tos.rtd",,$A$2,"."&amp;N$135&amp;N$1&amp;"C"&amp;$A151))-IF(RTD("tos.rtd",,$A$2,"."&amp;N$135&amp;N$1&amp;"P"&amp;$A151)="N/A",0,RTD("tos.rtd",,$A$2,"."&amp;N$135&amp;N$1&amp;"P"&amp;$A151))</f>
        <v>0</v>
      </c>
      <c r="O151" s="56">
        <f ca="1">IF(RTD("tos.rtd",,$A$2,"."&amp;O$135&amp;O$1&amp;"C"&amp;$A151)="N/A",0,RTD("tos.rtd",,$A$2,"."&amp;O$135&amp;O$1&amp;"C"&amp;$A151))-IF(RTD("tos.rtd",,$A$2,"."&amp;O$135&amp;O$1&amp;"P"&amp;$A151)="N/A",0,RTD("tos.rtd",,$A$2,"."&amp;O$135&amp;O$1&amp;"P"&amp;$A151))</f>
        <v>0</v>
      </c>
      <c r="P151" s="56">
        <f ca="1">IF(RTD("tos.rtd",,$A$2,"."&amp;P$135&amp;P$1&amp;"C"&amp;$A151)="N/A",0,RTD("tos.rtd",,$A$2,"."&amp;P$135&amp;P$1&amp;"C"&amp;$A151))-IF(RTD("tos.rtd",,$A$2,"."&amp;P$135&amp;P$1&amp;"P"&amp;$A151)="N/A",0,RTD("tos.rtd",,$A$2,"."&amp;P$135&amp;P$1&amp;"P"&amp;$A151))</f>
        <v>0</v>
      </c>
      <c r="Q151" s="56">
        <f ca="1">IF(RTD("tos.rtd",,$A$2,"."&amp;Q$135&amp;Q$1&amp;"C"&amp;$A151)="N/A",0,RTD("tos.rtd",,$A$2,"."&amp;Q$135&amp;Q$1&amp;"C"&amp;$A151))-IF(RTD("tos.rtd",,$A$2,"."&amp;Q$135&amp;Q$1&amp;"P"&amp;$A151)="N/A",0,RTD("tos.rtd",,$A$2,"."&amp;Q$135&amp;Q$1&amp;"P"&amp;$A151))</f>
        <v>0</v>
      </c>
      <c r="R151" s="56">
        <f ca="1">IF(RTD("tos.rtd",,$A$2,"."&amp;R$135&amp;R$1&amp;"C"&amp;$A151)="N/A",0,RTD("tos.rtd",,$A$2,"."&amp;R$135&amp;R$1&amp;"C"&amp;$A151))-IF(RTD("tos.rtd",,$A$2,"."&amp;R$135&amp;R$1&amp;"P"&amp;$A151)="N/A",0,RTD("tos.rtd",,$A$2,"."&amp;R$135&amp;R$1&amp;"P"&amp;$A151))</f>
        <v>0</v>
      </c>
      <c r="S151" s="56">
        <f ca="1">IF(RTD("tos.rtd",,$A$2,"."&amp;S$135&amp;S$1&amp;"C"&amp;$A151)="N/A",0,RTD("tos.rtd",,$A$2,"."&amp;S$135&amp;S$1&amp;"C"&amp;$A151))-IF(RTD("tos.rtd",,$A$2,"."&amp;S$135&amp;S$1&amp;"P"&amp;$A151)="N/A",0,RTD("tos.rtd",,$A$2,"."&amp;S$135&amp;S$1&amp;"P"&amp;$A151))</f>
        <v>0</v>
      </c>
      <c r="T151" s="56">
        <f ca="1">IF(RTD("tos.rtd",,$A$2,"."&amp;T$135&amp;T$1&amp;"C"&amp;$A151)="N/A",0,RTD("tos.rtd",,$A$2,"."&amp;T$135&amp;T$1&amp;"C"&amp;$A151))-IF(RTD("tos.rtd",,$A$2,"."&amp;T$135&amp;T$1&amp;"P"&amp;$A151)="N/A",0,RTD("tos.rtd",,$A$2,"."&amp;T$135&amp;T$1&amp;"P"&amp;$A151))</f>
        <v>0</v>
      </c>
      <c r="U151" s="56">
        <f ca="1">IF(RTD("tos.rtd",,$A$2,"."&amp;U$135&amp;U$1&amp;"C"&amp;$A151)="N/A",0,RTD("tos.rtd",,$A$2,"."&amp;U$135&amp;U$1&amp;"C"&amp;$A151))-IF(RTD("tos.rtd",,$A$2,"."&amp;U$135&amp;U$1&amp;"P"&amp;$A151)="N/A",0,RTD("tos.rtd",,$A$2,"."&amp;U$135&amp;U$1&amp;"P"&amp;$A151))</f>
        <v>0</v>
      </c>
      <c r="V151" s="56">
        <f ca="1">IF(RTD("tos.rtd",,$A$2,"."&amp;V$135&amp;V$1&amp;"C"&amp;$A151)="N/A",0,RTD("tos.rtd",,$A$2,"."&amp;V$135&amp;V$1&amp;"C"&amp;$A151))-IF(RTD("tos.rtd",,$A$2,"."&amp;V$135&amp;V$1&amp;"P"&amp;$A151)="N/A",0,RTD("tos.rtd",,$A$2,"."&amp;V$135&amp;V$1&amp;"P"&amp;$A151))</f>
        <v>0</v>
      </c>
      <c r="W151" s="56">
        <f ca="1">IF(RTD("tos.rtd",,$A$2,"."&amp;W$135&amp;W$1&amp;"C"&amp;$A151)="N/A",0,RTD("tos.rtd",,$A$2,"."&amp;W$135&amp;W$1&amp;"C"&amp;$A151))-IF(RTD("tos.rtd",,$A$2,"."&amp;W$135&amp;W$1&amp;"P"&amp;$A151)="N/A",0,RTD("tos.rtd",,$A$2,"."&amp;W$135&amp;W$1&amp;"P"&amp;$A151))</f>
        <v>0</v>
      </c>
      <c r="X151" s="56">
        <f ca="1">IF(RTD("tos.rtd",,$A$2,"."&amp;X$135&amp;X$1&amp;"C"&amp;$A151)="N/A",0,RTD("tos.rtd",,$A$2,"."&amp;X$135&amp;X$1&amp;"C"&amp;$A151))-IF(RTD("tos.rtd",,$A$2,"."&amp;X$135&amp;X$1&amp;"P"&amp;$A151)="N/A",0,RTD("tos.rtd",,$A$2,"."&amp;X$135&amp;X$1&amp;"P"&amp;$A151))</f>
        <v>0</v>
      </c>
      <c r="Y151" s="63">
        <f t="shared" ca="1" si="16"/>
        <v>3</v>
      </c>
      <c r="Z151" s="56"/>
      <c r="AA151" s="56"/>
    </row>
    <row r="152" spans="1:27" x14ac:dyDescent="0.25">
      <c r="A152" s="58">
        <f>+Hoja1!A151</f>
        <v>25250</v>
      </c>
      <c r="B152" s="56">
        <f ca="1">IF(RTD("tos.rtd",,$A$2,"."&amp;B$135&amp;B$1&amp;"C"&amp;$A152)="N/A",0,RTD("tos.rtd",,$A$2,"."&amp;B$135&amp;B$1&amp;"C"&amp;$A152))-IF(RTD("tos.rtd",,$A$2,"."&amp;B$135&amp;B$1&amp;"P"&amp;$A152)="N/A",0,RTD("tos.rtd",,$A$2,"."&amp;B$135&amp;B$1&amp;"P"&amp;$A152))</f>
        <v>37</v>
      </c>
      <c r="C152" s="56">
        <f ca="1">IF(RTD("tos.rtd",,$A$2,"."&amp;C$135&amp;C$1&amp;"C"&amp;$A152)="N/A",0,RTD("tos.rtd",,$A$2,"."&amp;C$135&amp;C$1&amp;"C"&amp;$A152))-IF(RTD("tos.rtd",,$A$2,"."&amp;C$135&amp;C$1&amp;"P"&amp;$A152)="N/A",0,RTD("tos.rtd",,$A$2,"."&amp;C$135&amp;C$1&amp;"P"&amp;$A152))</f>
        <v>0</v>
      </c>
      <c r="D152" s="56">
        <f ca="1">IF(RTD("tos.rtd",,$A$2,"."&amp;D$135&amp;D$1&amp;"C"&amp;$A152)="N/A",0,RTD("tos.rtd",,$A$2,"."&amp;D$135&amp;D$1&amp;"C"&amp;$A152))-IF(RTD("tos.rtd",,$A$2,"."&amp;D$135&amp;D$1&amp;"P"&amp;$A152)="N/A",0,RTD("tos.rtd",,$A$2,"."&amp;D$135&amp;D$1&amp;"P"&amp;$A152))</f>
        <v>0</v>
      </c>
      <c r="E152" s="56">
        <f ca="1">IF(RTD("tos.rtd",,$A$2,"."&amp;E$135&amp;E$1&amp;"C"&amp;$A152)="N/A",0,RTD("tos.rtd",,$A$2,"."&amp;E$135&amp;E$1&amp;"C"&amp;$A152))-IF(RTD("tos.rtd",,$A$2,"."&amp;E$135&amp;E$1&amp;"P"&amp;$A152)="N/A",0,RTD("tos.rtd",,$A$2,"."&amp;E$135&amp;E$1&amp;"P"&amp;$A152))</f>
        <v>2</v>
      </c>
      <c r="F152" s="56">
        <f ca="1">IF(RTD("tos.rtd",,$A$2,"."&amp;F$135&amp;F$1&amp;"C"&amp;$A152)="N/A",0,RTD("tos.rtd",,$A$2,"."&amp;F$135&amp;F$1&amp;"C"&amp;$A152))-IF(RTD("tos.rtd",,$A$2,"."&amp;F$135&amp;F$1&amp;"P"&amp;$A152)="N/A",0,RTD("tos.rtd",,$A$2,"."&amp;F$135&amp;F$1&amp;"P"&amp;$A152))</f>
        <v>0</v>
      </c>
      <c r="G152" s="56">
        <f ca="1">IF(RTD("tos.rtd",,$A$2,"."&amp;G$135&amp;G$1&amp;"C"&amp;$A152)="N/A",0,RTD("tos.rtd",,$A$2,"."&amp;G$135&amp;G$1&amp;"C"&amp;$A152))-IF(RTD("tos.rtd",,$A$2,"."&amp;G$135&amp;G$1&amp;"P"&amp;$A152)="N/A",0,RTD("tos.rtd",,$A$2,"."&amp;G$135&amp;G$1&amp;"P"&amp;$A152))</f>
        <v>0</v>
      </c>
      <c r="H152" s="56">
        <f ca="1">IF(RTD("tos.rtd",,$A$2,"."&amp;H$135&amp;H$1&amp;"C"&amp;$A152)="N/A",0,RTD("tos.rtd",,$A$2,"."&amp;H$135&amp;H$1&amp;"C"&amp;$A152))-IF(RTD("tos.rtd",,$A$2,"."&amp;H$135&amp;H$1&amp;"P"&amp;$A152)="N/A",0,RTD("tos.rtd",,$A$2,"."&amp;H$135&amp;H$1&amp;"P"&amp;$A152))</f>
        <v>0</v>
      </c>
      <c r="I152" s="56">
        <f ca="1">IF(RTD("tos.rtd",,$A$2,"."&amp;I$135&amp;I$1&amp;"C"&amp;$A152)="N/A",0,RTD("tos.rtd",,$A$2,"."&amp;I$135&amp;I$1&amp;"C"&amp;$A152))-IF(RTD("tos.rtd",,$A$2,"."&amp;I$135&amp;I$1&amp;"P"&amp;$A152)="N/A",0,RTD("tos.rtd",,$A$2,"."&amp;I$135&amp;I$1&amp;"P"&amp;$A152))</f>
        <v>1</v>
      </c>
      <c r="J152" s="56">
        <f ca="1">IF(RTD("tos.rtd",,$A$2,"."&amp;J$135&amp;J$1&amp;"C"&amp;$A152)="N/A",0,RTD("tos.rtd",,$A$2,"."&amp;J$135&amp;J$1&amp;"C"&amp;$A152))-IF(RTD("tos.rtd",,$A$2,"."&amp;J$135&amp;J$1&amp;"P"&amp;$A152)="N/A",0,RTD("tos.rtd",,$A$2,"."&amp;J$135&amp;J$1&amp;"P"&amp;$A152))</f>
        <v>0</v>
      </c>
      <c r="K152" s="56">
        <f ca="1">IF(RTD("tos.rtd",,$A$2,"."&amp;K$135&amp;K$1&amp;"C"&amp;$A152)="N/A",0,RTD("tos.rtd",,$A$2,"."&amp;K$135&amp;K$1&amp;"C"&amp;$A152))-IF(RTD("tos.rtd",,$A$2,"."&amp;K$135&amp;K$1&amp;"P"&amp;$A152)="N/A",0,RTD("tos.rtd",,$A$2,"."&amp;K$135&amp;K$1&amp;"P"&amp;$A152))</f>
        <v>1</v>
      </c>
      <c r="L152" s="56">
        <f ca="1">IF(RTD("tos.rtd",,$A$2,"."&amp;L$135&amp;L$1&amp;"C"&amp;$A152)="N/A",0,RTD("tos.rtd",,$A$2,"."&amp;L$135&amp;L$1&amp;"C"&amp;$A152))-IF(RTD("tos.rtd",,$A$2,"."&amp;L$135&amp;L$1&amp;"P"&amp;$A152)="N/A",0,RTD("tos.rtd",,$A$2,"."&amp;L$135&amp;L$1&amp;"P"&amp;$A152))</f>
        <v>0</v>
      </c>
      <c r="M152" s="56">
        <f ca="1">IF(RTD("tos.rtd",,$A$2,"."&amp;M$135&amp;M$1&amp;"C"&amp;$A152)="N/A",0,RTD("tos.rtd",,$A$2,"."&amp;M$135&amp;M$1&amp;"C"&amp;$A152))-IF(RTD("tos.rtd",,$A$2,"."&amp;M$135&amp;M$1&amp;"P"&amp;$A152)="N/A",0,RTD("tos.rtd",,$A$2,"."&amp;M$135&amp;M$1&amp;"P"&amp;$A152))</f>
        <v>0</v>
      </c>
      <c r="N152" s="56">
        <f ca="1">IF(RTD("tos.rtd",,$A$2,"."&amp;N$135&amp;N$1&amp;"C"&amp;$A152)="N/A",0,RTD("tos.rtd",,$A$2,"."&amp;N$135&amp;N$1&amp;"C"&amp;$A152))-IF(RTD("tos.rtd",,$A$2,"."&amp;N$135&amp;N$1&amp;"P"&amp;$A152)="N/A",0,RTD("tos.rtd",,$A$2,"."&amp;N$135&amp;N$1&amp;"P"&amp;$A152))</f>
        <v>0</v>
      </c>
      <c r="O152" s="56">
        <f ca="1">IF(RTD("tos.rtd",,$A$2,"."&amp;O$135&amp;O$1&amp;"C"&amp;$A152)="N/A",0,RTD("tos.rtd",,$A$2,"."&amp;O$135&amp;O$1&amp;"C"&amp;$A152))-IF(RTD("tos.rtd",,$A$2,"."&amp;O$135&amp;O$1&amp;"P"&amp;$A152)="N/A",0,RTD("tos.rtd",,$A$2,"."&amp;O$135&amp;O$1&amp;"P"&amp;$A152))</f>
        <v>0</v>
      </c>
      <c r="P152" s="56">
        <f ca="1">IF(RTD("tos.rtd",,$A$2,"."&amp;P$135&amp;P$1&amp;"C"&amp;$A152)="N/A",0,RTD("tos.rtd",,$A$2,"."&amp;P$135&amp;P$1&amp;"C"&amp;$A152))-IF(RTD("tos.rtd",,$A$2,"."&amp;P$135&amp;P$1&amp;"P"&amp;$A152)="N/A",0,RTD("tos.rtd",,$A$2,"."&amp;P$135&amp;P$1&amp;"P"&amp;$A152))</f>
        <v>0</v>
      </c>
      <c r="Q152" s="56">
        <f ca="1">IF(RTD("tos.rtd",,$A$2,"."&amp;Q$135&amp;Q$1&amp;"C"&amp;$A152)="N/A",0,RTD("tos.rtd",,$A$2,"."&amp;Q$135&amp;Q$1&amp;"C"&amp;$A152))-IF(RTD("tos.rtd",,$A$2,"."&amp;Q$135&amp;Q$1&amp;"P"&amp;$A152)="N/A",0,RTD("tos.rtd",,$A$2,"."&amp;Q$135&amp;Q$1&amp;"P"&amp;$A152))</f>
        <v>0</v>
      </c>
      <c r="R152" s="56">
        <f ca="1">IF(RTD("tos.rtd",,$A$2,"."&amp;R$135&amp;R$1&amp;"C"&amp;$A152)="N/A",0,RTD("tos.rtd",,$A$2,"."&amp;R$135&amp;R$1&amp;"C"&amp;$A152))-IF(RTD("tos.rtd",,$A$2,"."&amp;R$135&amp;R$1&amp;"P"&amp;$A152)="N/A",0,RTD("tos.rtd",,$A$2,"."&amp;R$135&amp;R$1&amp;"P"&amp;$A152))</f>
        <v>0</v>
      </c>
      <c r="S152" s="56">
        <f ca="1">IF(RTD("tos.rtd",,$A$2,"."&amp;S$135&amp;S$1&amp;"C"&amp;$A152)="N/A",0,RTD("tos.rtd",,$A$2,"."&amp;S$135&amp;S$1&amp;"C"&amp;$A152))-IF(RTD("tos.rtd",,$A$2,"."&amp;S$135&amp;S$1&amp;"P"&amp;$A152)="N/A",0,RTD("tos.rtd",,$A$2,"."&amp;S$135&amp;S$1&amp;"P"&amp;$A152))</f>
        <v>0</v>
      </c>
      <c r="T152" s="56">
        <f ca="1">IF(RTD("tos.rtd",,$A$2,"."&amp;T$135&amp;T$1&amp;"C"&amp;$A152)="N/A",0,RTD("tos.rtd",,$A$2,"."&amp;T$135&amp;T$1&amp;"C"&amp;$A152))-IF(RTD("tos.rtd",,$A$2,"."&amp;T$135&amp;T$1&amp;"P"&amp;$A152)="N/A",0,RTD("tos.rtd",,$A$2,"."&amp;T$135&amp;T$1&amp;"P"&amp;$A152))</f>
        <v>0</v>
      </c>
      <c r="U152" s="56">
        <f ca="1">IF(RTD("tos.rtd",,$A$2,"."&amp;U$135&amp;U$1&amp;"C"&amp;$A152)="N/A",0,RTD("tos.rtd",,$A$2,"."&amp;U$135&amp;U$1&amp;"C"&amp;$A152))-IF(RTD("tos.rtd",,$A$2,"."&amp;U$135&amp;U$1&amp;"P"&amp;$A152)="N/A",0,RTD("tos.rtd",,$A$2,"."&amp;U$135&amp;U$1&amp;"P"&amp;$A152))</f>
        <v>0</v>
      </c>
      <c r="V152" s="56">
        <f ca="1">IF(RTD("tos.rtd",,$A$2,"."&amp;V$135&amp;V$1&amp;"C"&amp;$A152)="N/A",0,RTD("tos.rtd",,$A$2,"."&amp;V$135&amp;V$1&amp;"C"&amp;$A152))-IF(RTD("tos.rtd",,$A$2,"."&amp;V$135&amp;V$1&amp;"P"&amp;$A152)="N/A",0,RTD("tos.rtd",,$A$2,"."&amp;V$135&amp;V$1&amp;"P"&amp;$A152))</f>
        <v>0</v>
      </c>
      <c r="W152" s="56">
        <f ca="1">IF(RTD("tos.rtd",,$A$2,"."&amp;W$135&amp;W$1&amp;"C"&amp;$A152)="N/A",0,RTD("tos.rtd",,$A$2,"."&amp;W$135&amp;W$1&amp;"C"&amp;$A152))-IF(RTD("tos.rtd",,$A$2,"."&amp;W$135&amp;W$1&amp;"P"&amp;$A152)="N/A",0,RTD("tos.rtd",,$A$2,"."&amp;W$135&amp;W$1&amp;"P"&amp;$A152))</f>
        <v>0</v>
      </c>
      <c r="X152" s="56">
        <f ca="1">IF(RTD("tos.rtd",,$A$2,"."&amp;X$135&amp;X$1&amp;"C"&amp;$A152)="N/A",0,RTD("tos.rtd",,$A$2,"."&amp;X$135&amp;X$1&amp;"C"&amp;$A152))-IF(RTD("tos.rtd",,$A$2,"."&amp;X$135&amp;X$1&amp;"P"&amp;$A152)="N/A",0,RTD("tos.rtd",,$A$2,"."&amp;X$135&amp;X$1&amp;"P"&amp;$A152))</f>
        <v>0</v>
      </c>
      <c r="Y152" s="63">
        <f t="shared" ca="1" si="16"/>
        <v>41</v>
      </c>
      <c r="Z152" s="56"/>
      <c r="AA152" s="56"/>
    </row>
    <row r="153" spans="1:27" x14ac:dyDescent="0.25">
      <c r="A153" s="58">
        <f>+Hoja1!A152</f>
        <v>25225</v>
      </c>
      <c r="B153" s="56">
        <f ca="1">IF(RTD("tos.rtd",,$A$2,"."&amp;B$135&amp;B$1&amp;"C"&amp;$A153)="N/A",0,RTD("tos.rtd",,$A$2,"."&amp;B$135&amp;B$1&amp;"C"&amp;$A153))-IF(RTD("tos.rtd",,$A$2,"."&amp;B$135&amp;B$1&amp;"P"&amp;$A153)="N/A",0,RTD("tos.rtd",,$A$2,"."&amp;B$135&amp;B$1&amp;"P"&amp;$A153))</f>
        <v>0</v>
      </c>
      <c r="C153" s="56">
        <f ca="1">IF(RTD("tos.rtd",,$A$2,"."&amp;C$135&amp;C$1&amp;"C"&amp;$A153)="N/A",0,RTD("tos.rtd",,$A$2,"."&amp;C$135&amp;C$1&amp;"C"&amp;$A153))-IF(RTD("tos.rtd",,$A$2,"."&amp;C$135&amp;C$1&amp;"P"&amp;$A153)="N/A",0,RTD("tos.rtd",,$A$2,"."&amp;C$135&amp;C$1&amp;"P"&amp;$A153))</f>
        <v>0</v>
      </c>
      <c r="D153" s="56">
        <f ca="1">IF(RTD("tos.rtd",,$A$2,"."&amp;D$135&amp;D$1&amp;"C"&amp;$A153)="N/A",0,RTD("tos.rtd",,$A$2,"."&amp;D$135&amp;D$1&amp;"C"&amp;$A153))-IF(RTD("tos.rtd",,$A$2,"."&amp;D$135&amp;D$1&amp;"P"&amp;$A153)="N/A",0,RTD("tos.rtd",,$A$2,"."&amp;D$135&amp;D$1&amp;"P"&amp;$A153))</f>
        <v>0</v>
      </c>
      <c r="E153" s="56">
        <f ca="1">IF(RTD("tos.rtd",,$A$2,"."&amp;E$135&amp;E$1&amp;"C"&amp;$A153)="N/A",0,RTD("tos.rtd",,$A$2,"."&amp;E$135&amp;E$1&amp;"C"&amp;$A153))-IF(RTD("tos.rtd",,$A$2,"."&amp;E$135&amp;E$1&amp;"P"&amp;$A153)="N/A",0,RTD("tos.rtd",,$A$2,"."&amp;E$135&amp;E$1&amp;"P"&amp;$A153))</f>
        <v>0</v>
      </c>
      <c r="F153" s="56">
        <f ca="1">IF(RTD("tos.rtd",,$A$2,"."&amp;F$135&amp;F$1&amp;"C"&amp;$A153)="N/A",0,RTD("tos.rtd",,$A$2,"."&amp;F$135&amp;F$1&amp;"C"&amp;$A153))-IF(RTD("tos.rtd",,$A$2,"."&amp;F$135&amp;F$1&amp;"P"&amp;$A153)="N/A",0,RTD("tos.rtd",,$A$2,"."&amp;F$135&amp;F$1&amp;"P"&amp;$A153))</f>
        <v>0</v>
      </c>
      <c r="G153" s="56">
        <f ca="1">IF(RTD("tos.rtd",,$A$2,"."&amp;G$135&amp;G$1&amp;"C"&amp;$A153)="N/A",0,RTD("tos.rtd",,$A$2,"."&amp;G$135&amp;G$1&amp;"C"&amp;$A153))-IF(RTD("tos.rtd",,$A$2,"."&amp;G$135&amp;G$1&amp;"P"&amp;$A153)="N/A",0,RTD("tos.rtd",,$A$2,"."&amp;G$135&amp;G$1&amp;"P"&amp;$A153))</f>
        <v>0</v>
      </c>
      <c r="H153" s="56">
        <f ca="1">IF(RTD("tos.rtd",,$A$2,"."&amp;H$135&amp;H$1&amp;"C"&amp;$A153)="N/A",0,RTD("tos.rtd",,$A$2,"."&amp;H$135&amp;H$1&amp;"C"&amp;$A153))-IF(RTD("tos.rtd",,$A$2,"."&amp;H$135&amp;H$1&amp;"P"&amp;$A153)="N/A",0,RTD("tos.rtd",,$A$2,"."&amp;H$135&amp;H$1&amp;"P"&amp;$A153))</f>
        <v>0</v>
      </c>
      <c r="I153" s="56">
        <f ca="1">IF(RTD("tos.rtd",,$A$2,"."&amp;I$135&amp;I$1&amp;"C"&amp;$A153)="N/A",0,RTD("tos.rtd",,$A$2,"."&amp;I$135&amp;I$1&amp;"C"&amp;$A153))-IF(RTD("tos.rtd",,$A$2,"."&amp;I$135&amp;I$1&amp;"P"&amp;$A153)="N/A",0,RTD("tos.rtd",,$A$2,"."&amp;I$135&amp;I$1&amp;"P"&amp;$A153))</f>
        <v>-1</v>
      </c>
      <c r="J153" s="56">
        <f ca="1">IF(RTD("tos.rtd",,$A$2,"."&amp;J$135&amp;J$1&amp;"C"&amp;$A153)="N/A",0,RTD("tos.rtd",,$A$2,"."&amp;J$135&amp;J$1&amp;"C"&amp;$A153))-IF(RTD("tos.rtd",,$A$2,"."&amp;J$135&amp;J$1&amp;"P"&amp;$A153)="N/A",0,RTD("tos.rtd",,$A$2,"."&amp;J$135&amp;J$1&amp;"P"&amp;$A153))</f>
        <v>0</v>
      </c>
      <c r="K153" s="56">
        <f ca="1">IF(RTD("tos.rtd",,$A$2,"."&amp;K$135&amp;K$1&amp;"C"&amp;$A153)="N/A",0,RTD("tos.rtd",,$A$2,"."&amp;K$135&amp;K$1&amp;"C"&amp;$A153))-IF(RTD("tos.rtd",,$A$2,"."&amp;K$135&amp;K$1&amp;"P"&amp;$A153)="N/A",0,RTD("tos.rtd",,$A$2,"."&amp;K$135&amp;K$1&amp;"P"&amp;$A153))</f>
        <v>1</v>
      </c>
      <c r="L153" s="56">
        <f ca="1">IF(RTD("tos.rtd",,$A$2,"."&amp;L$135&amp;L$1&amp;"C"&amp;$A153)="N/A",0,RTD("tos.rtd",,$A$2,"."&amp;L$135&amp;L$1&amp;"C"&amp;$A153))-IF(RTD("tos.rtd",,$A$2,"."&amp;L$135&amp;L$1&amp;"P"&amp;$A153)="N/A",0,RTD("tos.rtd",,$A$2,"."&amp;L$135&amp;L$1&amp;"P"&amp;$A153))</f>
        <v>0</v>
      </c>
      <c r="M153" s="56">
        <f ca="1">IF(RTD("tos.rtd",,$A$2,"."&amp;M$135&amp;M$1&amp;"C"&amp;$A153)="N/A",0,RTD("tos.rtd",,$A$2,"."&amp;M$135&amp;M$1&amp;"C"&amp;$A153))-IF(RTD("tos.rtd",,$A$2,"."&amp;M$135&amp;M$1&amp;"P"&amp;$A153)="N/A",0,RTD("tos.rtd",,$A$2,"."&amp;M$135&amp;M$1&amp;"P"&amp;$A153))</f>
        <v>0</v>
      </c>
      <c r="N153" s="56">
        <f ca="1">IF(RTD("tos.rtd",,$A$2,"."&amp;N$135&amp;N$1&amp;"C"&amp;$A153)="N/A",0,RTD("tos.rtd",,$A$2,"."&amp;N$135&amp;N$1&amp;"C"&amp;$A153))-IF(RTD("tos.rtd",,$A$2,"."&amp;N$135&amp;N$1&amp;"P"&amp;$A153)="N/A",0,RTD("tos.rtd",,$A$2,"."&amp;N$135&amp;N$1&amp;"P"&amp;$A153))</f>
        <v>0</v>
      </c>
      <c r="O153" s="56">
        <f ca="1">IF(RTD("tos.rtd",,$A$2,"."&amp;O$135&amp;O$1&amp;"C"&amp;$A153)="N/A",0,RTD("tos.rtd",,$A$2,"."&amp;O$135&amp;O$1&amp;"C"&amp;$A153))-IF(RTD("tos.rtd",,$A$2,"."&amp;O$135&amp;O$1&amp;"P"&amp;$A153)="N/A",0,RTD("tos.rtd",,$A$2,"."&amp;O$135&amp;O$1&amp;"P"&amp;$A153))</f>
        <v>0</v>
      </c>
      <c r="P153" s="56">
        <f ca="1">IF(RTD("tos.rtd",,$A$2,"."&amp;P$135&amp;P$1&amp;"C"&amp;$A153)="N/A",0,RTD("tos.rtd",,$A$2,"."&amp;P$135&amp;P$1&amp;"C"&amp;$A153))-IF(RTD("tos.rtd",,$A$2,"."&amp;P$135&amp;P$1&amp;"P"&amp;$A153)="N/A",0,RTD("tos.rtd",,$A$2,"."&amp;P$135&amp;P$1&amp;"P"&amp;$A153))</f>
        <v>0</v>
      </c>
      <c r="Q153" s="56">
        <f ca="1">IF(RTD("tos.rtd",,$A$2,"."&amp;Q$135&amp;Q$1&amp;"C"&amp;$A153)="N/A",0,RTD("tos.rtd",,$A$2,"."&amp;Q$135&amp;Q$1&amp;"C"&amp;$A153))-IF(RTD("tos.rtd",,$A$2,"."&amp;Q$135&amp;Q$1&amp;"P"&amp;$A153)="N/A",0,RTD("tos.rtd",,$A$2,"."&amp;Q$135&amp;Q$1&amp;"P"&amp;$A153))</f>
        <v>0</v>
      </c>
      <c r="R153" s="56">
        <f ca="1">IF(RTD("tos.rtd",,$A$2,"."&amp;R$135&amp;R$1&amp;"C"&amp;$A153)="N/A",0,RTD("tos.rtd",,$A$2,"."&amp;R$135&amp;R$1&amp;"C"&amp;$A153))-IF(RTD("tos.rtd",,$A$2,"."&amp;R$135&amp;R$1&amp;"P"&amp;$A153)="N/A",0,RTD("tos.rtd",,$A$2,"."&amp;R$135&amp;R$1&amp;"P"&amp;$A153))</f>
        <v>0</v>
      </c>
      <c r="S153" s="56">
        <f ca="1">IF(RTD("tos.rtd",,$A$2,"."&amp;S$135&amp;S$1&amp;"C"&amp;$A153)="N/A",0,RTD("tos.rtd",,$A$2,"."&amp;S$135&amp;S$1&amp;"C"&amp;$A153))-IF(RTD("tos.rtd",,$A$2,"."&amp;S$135&amp;S$1&amp;"P"&amp;$A153)="N/A",0,RTD("tos.rtd",,$A$2,"."&amp;S$135&amp;S$1&amp;"P"&amp;$A153))</f>
        <v>0</v>
      </c>
      <c r="T153" s="56">
        <f ca="1">IF(RTD("tos.rtd",,$A$2,"."&amp;T$135&amp;T$1&amp;"C"&amp;$A153)="N/A",0,RTD("tos.rtd",,$A$2,"."&amp;T$135&amp;T$1&amp;"C"&amp;$A153))-IF(RTD("tos.rtd",,$A$2,"."&amp;T$135&amp;T$1&amp;"P"&amp;$A153)="N/A",0,RTD("tos.rtd",,$A$2,"."&amp;T$135&amp;T$1&amp;"P"&amp;$A153))</f>
        <v>0</v>
      </c>
      <c r="U153" s="56">
        <f ca="1">IF(RTD("tos.rtd",,$A$2,"."&amp;U$135&amp;U$1&amp;"C"&amp;$A153)="N/A",0,RTD("tos.rtd",,$A$2,"."&amp;U$135&amp;U$1&amp;"C"&amp;$A153))-IF(RTD("tos.rtd",,$A$2,"."&amp;U$135&amp;U$1&amp;"P"&amp;$A153)="N/A",0,RTD("tos.rtd",,$A$2,"."&amp;U$135&amp;U$1&amp;"P"&amp;$A153))</f>
        <v>0</v>
      </c>
      <c r="V153" s="56">
        <f ca="1">IF(RTD("tos.rtd",,$A$2,"."&amp;V$135&amp;V$1&amp;"C"&amp;$A153)="N/A",0,RTD("tos.rtd",,$A$2,"."&amp;V$135&amp;V$1&amp;"C"&amp;$A153))-IF(RTD("tos.rtd",,$A$2,"."&amp;V$135&amp;V$1&amp;"P"&amp;$A153)="N/A",0,RTD("tos.rtd",,$A$2,"."&amp;V$135&amp;V$1&amp;"P"&amp;$A153))</f>
        <v>0</v>
      </c>
      <c r="W153" s="56">
        <f ca="1">IF(RTD("tos.rtd",,$A$2,"."&amp;W$135&amp;W$1&amp;"C"&amp;$A153)="N/A",0,RTD("tos.rtd",,$A$2,"."&amp;W$135&amp;W$1&amp;"C"&amp;$A153))-IF(RTD("tos.rtd",,$A$2,"."&amp;W$135&amp;W$1&amp;"P"&amp;$A153)="N/A",0,RTD("tos.rtd",,$A$2,"."&amp;W$135&amp;W$1&amp;"P"&amp;$A153))</f>
        <v>0</v>
      </c>
      <c r="X153" s="56">
        <f ca="1">IF(RTD("tos.rtd",,$A$2,"."&amp;X$135&amp;X$1&amp;"C"&amp;$A153)="N/A",0,RTD("tos.rtd",,$A$2,"."&amp;X$135&amp;X$1&amp;"C"&amp;$A153))-IF(RTD("tos.rtd",,$A$2,"."&amp;X$135&amp;X$1&amp;"P"&amp;$A153)="N/A",0,RTD("tos.rtd",,$A$2,"."&amp;X$135&amp;X$1&amp;"P"&amp;$A153))</f>
        <v>0</v>
      </c>
      <c r="Y153" s="63">
        <f t="shared" ca="1" si="16"/>
        <v>0</v>
      </c>
      <c r="Z153" s="56"/>
      <c r="AA153" s="56"/>
    </row>
    <row r="154" spans="1:27" x14ac:dyDescent="0.25">
      <c r="A154" s="58">
        <f>+Hoja1!A153</f>
        <v>25200</v>
      </c>
      <c r="B154" s="56">
        <f ca="1">IF(RTD("tos.rtd",,$A$2,"."&amp;B$135&amp;B$1&amp;"C"&amp;$A154)="N/A",0,RTD("tos.rtd",,$A$2,"."&amp;B$135&amp;B$1&amp;"C"&amp;$A154))-IF(RTD("tos.rtd",,$A$2,"."&amp;B$135&amp;B$1&amp;"P"&amp;$A154)="N/A",0,RTD("tos.rtd",,$A$2,"."&amp;B$135&amp;B$1&amp;"P"&amp;$A154))</f>
        <v>190</v>
      </c>
      <c r="C154" s="56">
        <f ca="1">IF(RTD("tos.rtd",,$A$2,"."&amp;C$135&amp;C$1&amp;"C"&amp;$A154)="N/A",0,RTD("tos.rtd",,$A$2,"."&amp;C$135&amp;C$1&amp;"C"&amp;$A154))-IF(RTD("tos.rtd",,$A$2,"."&amp;C$135&amp;C$1&amp;"P"&amp;$A154)="N/A",0,RTD("tos.rtd",,$A$2,"."&amp;C$135&amp;C$1&amp;"P"&amp;$A154))</f>
        <v>0</v>
      </c>
      <c r="D154" s="56">
        <f ca="1">IF(RTD("tos.rtd",,$A$2,"."&amp;D$135&amp;D$1&amp;"C"&amp;$A154)="N/A",0,RTD("tos.rtd",,$A$2,"."&amp;D$135&amp;D$1&amp;"C"&amp;$A154))-IF(RTD("tos.rtd",,$A$2,"."&amp;D$135&amp;D$1&amp;"P"&amp;$A154)="N/A",0,RTD("tos.rtd",,$A$2,"."&amp;D$135&amp;D$1&amp;"P"&amp;$A154))</f>
        <v>10</v>
      </c>
      <c r="E154" s="56">
        <f ca="1">IF(RTD("tos.rtd",,$A$2,"."&amp;E$135&amp;E$1&amp;"C"&amp;$A154)="N/A",0,RTD("tos.rtd",,$A$2,"."&amp;E$135&amp;E$1&amp;"C"&amp;$A154))-IF(RTD("tos.rtd",,$A$2,"."&amp;E$135&amp;E$1&amp;"P"&amp;$A154)="N/A",0,RTD("tos.rtd",,$A$2,"."&amp;E$135&amp;E$1&amp;"P"&amp;$A154))</f>
        <v>13</v>
      </c>
      <c r="F154" s="56">
        <f ca="1">IF(RTD("tos.rtd",,$A$2,"."&amp;F$135&amp;F$1&amp;"C"&amp;$A154)="N/A",0,RTD("tos.rtd",,$A$2,"."&amp;F$135&amp;F$1&amp;"C"&amp;$A154))-IF(RTD("tos.rtd",,$A$2,"."&amp;F$135&amp;F$1&amp;"P"&amp;$A154)="N/A",0,RTD("tos.rtd",,$A$2,"."&amp;F$135&amp;F$1&amp;"P"&amp;$A154))</f>
        <v>0</v>
      </c>
      <c r="G154" s="56">
        <f ca="1">IF(RTD("tos.rtd",,$A$2,"."&amp;G$135&amp;G$1&amp;"C"&amp;$A154)="N/A",0,RTD("tos.rtd",,$A$2,"."&amp;G$135&amp;G$1&amp;"C"&amp;$A154))-IF(RTD("tos.rtd",,$A$2,"."&amp;G$135&amp;G$1&amp;"P"&amp;$A154)="N/A",0,RTD("tos.rtd",,$A$2,"."&amp;G$135&amp;G$1&amp;"P"&amp;$A154))</f>
        <v>0</v>
      </c>
      <c r="H154" s="56">
        <f ca="1">IF(RTD("tos.rtd",,$A$2,"."&amp;H$135&amp;H$1&amp;"C"&amp;$A154)="N/A",0,RTD("tos.rtd",,$A$2,"."&amp;H$135&amp;H$1&amp;"C"&amp;$A154))-IF(RTD("tos.rtd",,$A$2,"."&amp;H$135&amp;H$1&amp;"P"&amp;$A154)="N/A",0,RTD("tos.rtd",,$A$2,"."&amp;H$135&amp;H$1&amp;"P"&amp;$A154))</f>
        <v>0</v>
      </c>
      <c r="I154" s="56">
        <f ca="1">IF(RTD("tos.rtd",,$A$2,"."&amp;I$135&amp;I$1&amp;"C"&amp;$A154)="N/A",0,RTD("tos.rtd",,$A$2,"."&amp;I$135&amp;I$1&amp;"C"&amp;$A154))-IF(RTD("tos.rtd",,$A$2,"."&amp;I$135&amp;I$1&amp;"P"&amp;$A154)="N/A",0,RTD("tos.rtd",,$A$2,"."&amp;I$135&amp;I$1&amp;"P"&amp;$A154))</f>
        <v>1</v>
      </c>
      <c r="J154" s="56">
        <f ca="1">IF(RTD("tos.rtd",,$A$2,"."&amp;J$135&amp;J$1&amp;"C"&amp;$A154)="N/A",0,RTD("tos.rtd",,$A$2,"."&amp;J$135&amp;J$1&amp;"C"&amp;$A154))-IF(RTD("tos.rtd",,$A$2,"."&amp;J$135&amp;J$1&amp;"P"&amp;$A154)="N/A",0,RTD("tos.rtd",,$A$2,"."&amp;J$135&amp;J$1&amp;"P"&amp;$A154))</f>
        <v>0</v>
      </c>
      <c r="K154" s="56">
        <f ca="1">IF(RTD("tos.rtd",,$A$2,"."&amp;K$135&amp;K$1&amp;"C"&amp;$A154)="N/A",0,RTD("tos.rtd",,$A$2,"."&amp;K$135&amp;K$1&amp;"C"&amp;$A154))-IF(RTD("tos.rtd",,$A$2,"."&amp;K$135&amp;K$1&amp;"P"&amp;$A154)="N/A",0,RTD("tos.rtd",,$A$2,"."&amp;K$135&amp;K$1&amp;"P"&amp;$A154))</f>
        <v>1</v>
      </c>
      <c r="L154" s="56">
        <f ca="1">IF(RTD("tos.rtd",,$A$2,"."&amp;L$135&amp;L$1&amp;"C"&amp;$A154)="N/A",0,RTD("tos.rtd",,$A$2,"."&amp;L$135&amp;L$1&amp;"C"&amp;$A154))-IF(RTD("tos.rtd",,$A$2,"."&amp;L$135&amp;L$1&amp;"P"&amp;$A154)="N/A",0,RTD("tos.rtd",,$A$2,"."&amp;L$135&amp;L$1&amp;"P"&amp;$A154))</f>
        <v>0</v>
      </c>
      <c r="M154" s="56">
        <f ca="1">IF(RTD("tos.rtd",,$A$2,"."&amp;M$135&amp;M$1&amp;"C"&amp;$A154)="N/A",0,RTD("tos.rtd",,$A$2,"."&amp;M$135&amp;M$1&amp;"C"&amp;$A154))-IF(RTD("tos.rtd",,$A$2,"."&amp;M$135&amp;M$1&amp;"P"&amp;$A154)="N/A",0,RTD("tos.rtd",,$A$2,"."&amp;M$135&amp;M$1&amp;"P"&amp;$A154))</f>
        <v>0</v>
      </c>
      <c r="N154" s="56">
        <f ca="1">IF(RTD("tos.rtd",,$A$2,"."&amp;N$135&amp;N$1&amp;"C"&amp;$A154)="N/A",0,RTD("tos.rtd",,$A$2,"."&amp;N$135&amp;N$1&amp;"C"&amp;$A154))-IF(RTD("tos.rtd",,$A$2,"."&amp;N$135&amp;N$1&amp;"P"&amp;$A154)="N/A",0,RTD("tos.rtd",,$A$2,"."&amp;N$135&amp;N$1&amp;"P"&amp;$A154))</f>
        <v>0</v>
      </c>
      <c r="O154" s="56">
        <f ca="1">IF(RTD("tos.rtd",,$A$2,"."&amp;O$135&amp;O$1&amp;"C"&amp;$A154)="N/A",0,RTD("tos.rtd",,$A$2,"."&amp;O$135&amp;O$1&amp;"C"&amp;$A154))-IF(RTD("tos.rtd",,$A$2,"."&amp;O$135&amp;O$1&amp;"P"&amp;$A154)="N/A",0,RTD("tos.rtd",,$A$2,"."&amp;O$135&amp;O$1&amp;"P"&amp;$A154))</f>
        <v>0</v>
      </c>
      <c r="P154" s="56">
        <f ca="1">IF(RTD("tos.rtd",,$A$2,"."&amp;P$135&amp;P$1&amp;"C"&amp;$A154)="N/A",0,RTD("tos.rtd",,$A$2,"."&amp;P$135&amp;P$1&amp;"C"&amp;$A154))-IF(RTD("tos.rtd",,$A$2,"."&amp;P$135&amp;P$1&amp;"P"&amp;$A154)="N/A",0,RTD("tos.rtd",,$A$2,"."&amp;P$135&amp;P$1&amp;"P"&amp;$A154))</f>
        <v>0</v>
      </c>
      <c r="Q154" s="56">
        <f ca="1">IF(RTD("tos.rtd",,$A$2,"."&amp;Q$135&amp;Q$1&amp;"C"&amp;$A154)="N/A",0,RTD("tos.rtd",,$A$2,"."&amp;Q$135&amp;Q$1&amp;"C"&amp;$A154))-IF(RTD("tos.rtd",,$A$2,"."&amp;Q$135&amp;Q$1&amp;"P"&amp;$A154)="N/A",0,RTD("tos.rtd",,$A$2,"."&amp;Q$135&amp;Q$1&amp;"P"&amp;$A154))</f>
        <v>0</v>
      </c>
      <c r="R154" s="56">
        <f ca="1">IF(RTD("tos.rtd",,$A$2,"."&amp;R$135&amp;R$1&amp;"C"&amp;$A154)="N/A",0,RTD("tos.rtd",,$A$2,"."&amp;R$135&amp;R$1&amp;"C"&amp;$A154))-IF(RTD("tos.rtd",,$A$2,"."&amp;R$135&amp;R$1&amp;"P"&amp;$A154)="N/A",0,RTD("tos.rtd",,$A$2,"."&amp;R$135&amp;R$1&amp;"P"&amp;$A154))</f>
        <v>0</v>
      </c>
      <c r="S154" s="56">
        <f ca="1">IF(RTD("tos.rtd",,$A$2,"."&amp;S$135&amp;S$1&amp;"C"&amp;$A154)="N/A",0,RTD("tos.rtd",,$A$2,"."&amp;S$135&amp;S$1&amp;"C"&amp;$A154))-IF(RTD("tos.rtd",,$A$2,"."&amp;S$135&amp;S$1&amp;"P"&amp;$A154)="N/A",0,RTD("tos.rtd",,$A$2,"."&amp;S$135&amp;S$1&amp;"P"&amp;$A154))</f>
        <v>0</v>
      </c>
      <c r="T154" s="56">
        <f ca="1">IF(RTD("tos.rtd",,$A$2,"."&amp;T$135&amp;T$1&amp;"C"&amp;$A154)="N/A",0,RTD("tos.rtd",,$A$2,"."&amp;T$135&amp;T$1&amp;"C"&amp;$A154))-IF(RTD("tos.rtd",,$A$2,"."&amp;T$135&amp;T$1&amp;"P"&amp;$A154)="N/A",0,RTD("tos.rtd",,$A$2,"."&amp;T$135&amp;T$1&amp;"P"&amp;$A154))</f>
        <v>0</v>
      </c>
      <c r="U154" s="56">
        <f ca="1">IF(RTD("tos.rtd",,$A$2,"."&amp;U$135&amp;U$1&amp;"C"&amp;$A154)="N/A",0,RTD("tos.rtd",,$A$2,"."&amp;U$135&amp;U$1&amp;"C"&amp;$A154))-IF(RTD("tos.rtd",,$A$2,"."&amp;U$135&amp;U$1&amp;"P"&amp;$A154)="N/A",0,RTD("tos.rtd",,$A$2,"."&amp;U$135&amp;U$1&amp;"P"&amp;$A154))</f>
        <v>0</v>
      </c>
      <c r="V154" s="56">
        <f ca="1">IF(RTD("tos.rtd",,$A$2,"."&amp;V$135&amp;V$1&amp;"C"&amp;$A154)="N/A",0,RTD("tos.rtd",,$A$2,"."&amp;V$135&amp;V$1&amp;"C"&amp;$A154))-IF(RTD("tos.rtd",,$A$2,"."&amp;V$135&amp;V$1&amp;"P"&amp;$A154)="N/A",0,RTD("tos.rtd",,$A$2,"."&amp;V$135&amp;V$1&amp;"P"&amp;$A154))</f>
        <v>0</v>
      </c>
      <c r="W154" s="56">
        <f ca="1">IF(RTD("tos.rtd",,$A$2,"."&amp;W$135&amp;W$1&amp;"C"&amp;$A154)="N/A",0,RTD("tos.rtd",,$A$2,"."&amp;W$135&amp;W$1&amp;"C"&amp;$A154))-IF(RTD("tos.rtd",,$A$2,"."&amp;W$135&amp;W$1&amp;"P"&amp;$A154)="N/A",0,RTD("tos.rtd",,$A$2,"."&amp;W$135&amp;W$1&amp;"P"&amp;$A154))</f>
        <v>0</v>
      </c>
      <c r="X154" s="56">
        <f ca="1">IF(RTD("tos.rtd",,$A$2,"."&amp;X$135&amp;X$1&amp;"C"&amp;$A154)="N/A",0,RTD("tos.rtd",,$A$2,"."&amp;X$135&amp;X$1&amp;"C"&amp;$A154))-IF(RTD("tos.rtd",,$A$2,"."&amp;X$135&amp;X$1&amp;"P"&amp;$A154)="N/A",0,RTD("tos.rtd",,$A$2,"."&amp;X$135&amp;X$1&amp;"P"&amp;$A154))</f>
        <v>0</v>
      </c>
      <c r="Y154" s="63">
        <f t="shared" ca="1" si="16"/>
        <v>215</v>
      </c>
      <c r="Z154" s="56"/>
      <c r="AA154" s="56"/>
    </row>
    <row r="155" spans="1:27" x14ac:dyDescent="0.25">
      <c r="A155" s="58">
        <f>+Hoja1!A154</f>
        <v>25175</v>
      </c>
      <c r="B155" s="56">
        <f ca="1">IF(RTD("tos.rtd",,$A$2,"."&amp;B$135&amp;B$1&amp;"C"&amp;$A155)="N/A",0,RTD("tos.rtd",,$A$2,"."&amp;B$135&amp;B$1&amp;"C"&amp;$A155))-IF(RTD("tos.rtd",,$A$2,"."&amp;B$135&amp;B$1&amp;"P"&amp;$A155)="N/A",0,RTD("tos.rtd",,$A$2,"."&amp;B$135&amp;B$1&amp;"P"&amp;$A155))</f>
        <v>0</v>
      </c>
      <c r="C155" s="56">
        <f ca="1">IF(RTD("tos.rtd",,$A$2,"."&amp;C$135&amp;C$1&amp;"C"&amp;$A155)="N/A",0,RTD("tos.rtd",,$A$2,"."&amp;C$135&amp;C$1&amp;"C"&amp;$A155))-IF(RTD("tos.rtd",,$A$2,"."&amp;C$135&amp;C$1&amp;"P"&amp;$A155)="N/A",0,RTD("tos.rtd",,$A$2,"."&amp;C$135&amp;C$1&amp;"P"&amp;$A155))</f>
        <v>0</v>
      </c>
      <c r="D155" s="56">
        <f ca="1">IF(RTD("tos.rtd",,$A$2,"."&amp;D$135&amp;D$1&amp;"C"&amp;$A155)="N/A",0,RTD("tos.rtd",,$A$2,"."&amp;D$135&amp;D$1&amp;"C"&amp;$A155))-IF(RTD("tos.rtd",,$A$2,"."&amp;D$135&amp;D$1&amp;"P"&amp;$A155)="N/A",0,RTD("tos.rtd",,$A$2,"."&amp;D$135&amp;D$1&amp;"P"&amp;$A155))</f>
        <v>0</v>
      </c>
      <c r="E155" s="56">
        <f ca="1">IF(RTD("tos.rtd",,$A$2,"."&amp;E$135&amp;E$1&amp;"C"&amp;$A155)="N/A",0,RTD("tos.rtd",,$A$2,"."&amp;E$135&amp;E$1&amp;"C"&amp;$A155))-IF(RTD("tos.rtd",,$A$2,"."&amp;E$135&amp;E$1&amp;"P"&amp;$A155)="N/A",0,RTD("tos.rtd",,$A$2,"."&amp;E$135&amp;E$1&amp;"P"&amp;$A155))</f>
        <v>0</v>
      </c>
      <c r="F155" s="56">
        <f ca="1">IF(RTD("tos.rtd",,$A$2,"."&amp;F$135&amp;F$1&amp;"C"&amp;$A155)="N/A",0,RTD("tos.rtd",,$A$2,"."&amp;F$135&amp;F$1&amp;"C"&amp;$A155))-IF(RTD("tos.rtd",,$A$2,"."&amp;F$135&amp;F$1&amp;"P"&amp;$A155)="N/A",0,RTD("tos.rtd",,$A$2,"."&amp;F$135&amp;F$1&amp;"P"&amp;$A155))</f>
        <v>0</v>
      </c>
      <c r="G155" s="56">
        <f ca="1">IF(RTD("tos.rtd",,$A$2,"."&amp;G$135&amp;G$1&amp;"C"&amp;$A155)="N/A",0,RTD("tos.rtd",,$A$2,"."&amp;G$135&amp;G$1&amp;"C"&amp;$A155))-IF(RTD("tos.rtd",,$A$2,"."&amp;G$135&amp;G$1&amp;"P"&amp;$A155)="N/A",0,RTD("tos.rtd",,$A$2,"."&amp;G$135&amp;G$1&amp;"P"&amp;$A155))</f>
        <v>0</v>
      </c>
      <c r="H155" s="56">
        <f ca="1">IF(RTD("tos.rtd",,$A$2,"."&amp;H$135&amp;H$1&amp;"C"&amp;$A155)="N/A",0,RTD("tos.rtd",,$A$2,"."&amp;H$135&amp;H$1&amp;"C"&amp;$A155))-IF(RTD("tos.rtd",,$A$2,"."&amp;H$135&amp;H$1&amp;"P"&amp;$A155)="N/A",0,RTD("tos.rtd",,$A$2,"."&amp;H$135&amp;H$1&amp;"P"&amp;$A155))</f>
        <v>0</v>
      </c>
      <c r="I155" s="56">
        <f ca="1">IF(RTD("tos.rtd",,$A$2,"."&amp;I$135&amp;I$1&amp;"C"&amp;$A155)="N/A",0,RTD("tos.rtd",,$A$2,"."&amp;I$135&amp;I$1&amp;"C"&amp;$A155))-IF(RTD("tos.rtd",,$A$2,"."&amp;I$135&amp;I$1&amp;"P"&amp;$A155)="N/A",0,RTD("tos.rtd",,$A$2,"."&amp;I$135&amp;I$1&amp;"P"&amp;$A155))</f>
        <v>3</v>
      </c>
      <c r="J155" s="56">
        <f ca="1">IF(RTD("tos.rtd",,$A$2,"."&amp;J$135&amp;J$1&amp;"C"&amp;$A155)="N/A",0,RTD("tos.rtd",,$A$2,"."&amp;J$135&amp;J$1&amp;"C"&amp;$A155))-IF(RTD("tos.rtd",,$A$2,"."&amp;J$135&amp;J$1&amp;"P"&amp;$A155)="N/A",0,RTD("tos.rtd",,$A$2,"."&amp;J$135&amp;J$1&amp;"P"&amp;$A155))</f>
        <v>0</v>
      </c>
      <c r="K155" s="56">
        <f ca="1">IF(RTD("tos.rtd",,$A$2,"."&amp;K$135&amp;K$1&amp;"C"&amp;$A155)="N/A",0,RTD("tos.rtd",,$A$2,"."&amp;K$135&amp;K$1&amp;"C"&amp;$A155))-IF(RTD("tos.rtd",,$A$2,"."&amp;K$135&amp;K$1&amp;"P"&amp;$A155)="N/A",0,RTD("tos.rtd",,$A$2,"."&amp;K$135&amp;K$1&amp;"P"&amp;$A155))</f>
        <v>1</v>
      </c>
      <c r="L155" s="56">
        <f ca="1">IF(RTD("tos.rtd",,$A$2,"."&amp;L$135&amp;L$1&amp;"C"&amp;$A155)="N/A",0,RTD("tos.rtd",,$A$2,"."&amp;L$135&amp;L$1&amp;"C"&amp;$A155))-IF(RTD("tos.rtd",,$A$2,"."&amp;L$135&amp;L$1&amp;"P"&amp;$A155)="N/A",0,RTD("tos.rtd",,$A$2,"."&amp;L$135&amp;L$1&amp;"P"&amp;$A155))</f>
        <v>0</v>
      </c>
      <c r="M155" s="56">
        <f ca="1">IF(RTD("tos.rtd",,$A$2,"."&amp;M$135&amp;M$1&amp;"C"&amp;$A155)="N/A",0,RTD("tos.rtd",,$A$2,"."&amp;M$135&amp;M$1&amp;"C"&amp;$A155))-IF(RTD("tos.rtd",,$A$2,"."&amp;M$135&amp;M$1&amp;"P"&amp;$A155)="N/A",0,RTD("tos.rtd",,$A$2,"."&amp;M$135&amp;M$1&amp;"P"&amp;$A155))</f>
        <v>0</v>
      </c>
      <c r="N155" s="56">
        <f ca="1">IF(RTD("tos.rtd",,$A$2,"."&amp;N$135&amp;N$1&amp;"C"&amp;$A155)="N/A",0,RTD("tos.rtd",,$A$2,"."&amp;N$135&amp;N$1&amp;"C"&amp;$A155))-IF(RTD("tos.rtd",,$A$2,"."&amp;N$135&amp;N$1&amp;"P"&amp;$A155)="N/A",0,RTD("tos.rtd",,$A$2,"."&amp;N$135&amp;N$1&amp;"P"&amp;$A155))</f>
        <v>0</v>
      </c>
      <c r="O155" s="56">
        <f ca="1">IF(RTD("tos.rtd",,$A$2,"."&amp;O$135&amp;O$1&amp;"C"&amp;$A155)="N/A",0,RTD("tos.rtd",,$A$2,"."&amp;O$135&amp;O$1&amp;"C"&amp;$A155))-IF(RTD("tos.rtd",,$A$2,"."&amp;O$135&amp;O$1&amp;"P"&amp;$A155)="N/A",0,RTD("tos.rtd",,$A$2,"."&amp;O$135&amp;O$1&amp;"P"&amp;$A155))</f>
        <v>0</v>
      </c>
      <c r="P155" s="56">
        <f ca="1">IF(RTD("tos.rtd",,$A$2,"."&amp;P$135&amp;P$1&amp;"C"&amp;$A155)="N/A",0,RTD("tos.rtd",,$A$2,"."&amp;P$135&amp;P$1&amp;"C"&amp;$A155))-IF(RTD("tos.rtd",,$A$2,"."&amp;P$135&amp;P$1&amp;"P"&amp;$A155)="N/A",0,RTD("tos.rtd",,$A$2,"."&amp;P$135&amp;P$1&amp;"P"&amp;$A155))</f>
        <v>0</v>
      </c>
      <c r="Q155" s="56">
        <f ca="1">IF(RTD("tos.rtd",,$A$2,"."&amp;Q$135&amp;Q$1&amp;"C"&amp;$A155)="N/A",0,RTD("tos.rtd",,$A$2,"."&amp;Q$135&amp;Q$1&amp;"C"&amp;$A155))-IF(RTD("tos.rtd",,$A$2,"."&amp;Q$135&amp;Q$1&amp;"P"&amp;$A155)="N/A",0,RTD("tos.rtd",,$A$2,"."&amp;Q$135&amp;Q$1&amp;"P"&amp;$A155))</f>
        <v>0</v>
      </c>
      <c r="R155" s="56">
        <f ca="1">IF(RTD("tos.rtd",,$A$2,"."&amp;R$135&amp;R$1&amp;"C"&amp;$A155)="N/A",0,RTD("tos.rtd",,$A$2,"."&amp;R$135&amp;R$1&amp;"C"&amp;$A155))-IF(RTD("tos.rtd",,$A$2,"."&amp;R$135&amp;R$1&amp;"P"&amp;$A155)="N/A",0,RTD("tos.rtd",,$A$2,"."&amp;R$135&amp;R$1&amp;"P"&amp;$A155))</f>
        <v>0</v>
      </c>
      <c r="S155" s="56">
        <f ca="1">IF(RTD("tos.rtd",,$A$2,"."&amp;S$135&amp;S$1&amp;"C"&amp;$A155)="N/A",0,RTD("tos.rtd",,$A$2,"."&amp;S$135&amp;S$1&amp;"C"&amp;$A155))-IF(RTD("tos.rtd",,$A$2,"."&amp;S$135&amp;S$1&amp;"P"&amp;$A155)="N/A",0,RTD("tos.rtd",,$A$2,"."&amp;S$135&amp;S$1&amp;"P"&amp;$A155))</f>
        <v>0</v>
      </c>
      <c r="T155" s="56">
        <f ca="1">IF(RTD("tos.rtd",,$A$2,"."&amp;T$135&amp;T$1&amp;"C"&amp;$A155)="N/A",0,RTD("tos.rtd",,$A$2,"."&amp;T$135&amp;T$1&amp;"C"&amp;$A155))-IF(RTD("tos.rtd",,$A$2,"."&amp;T$135&amp;T$1&amp;"P"&amp;$A155)="N/A",0,RTD("tos.rtd",,$A$2,"."&amp;T$135&amp;T$1&amp;"P"&amp;$A155))</f>
        <v>0</v>
      </c>
      <c r="U155" s="56">
        <f ca="1">IF(RTD("tos.rtd",,$A$2,"."&amp;U$135&amp;U$1&amp;"C"&amp;$A155)="N/A",0,RTD("tos.rtd",,$A$2,"."&amp;U$135&amp;U$1&amp;"C"&amp;$A155))-IF(RTD("tos.rtd",,$A$2,"."&amp;U$135&amp;U$1&amp;"P"&amp;$A155)="N/A",0,RTD("tos.rtd",,$A$2,"."&amp;U$135&amp;U$1&amp;"P"&amp;$A155))</f>
        <v>0</v>
      </c>
      <c r="V155" s="56">
        <f ca="1">IF(RTD("tos.rtd",,$A$2,"."&amp;V$135&amp;V$1&amp;"C"&amp;$A155)="N/A",0,RTD("tos.rtd",,$A$2,"."&amp;V$135&amp;V$1&amp;"C"&amp;$A155))-IF(RTD("tos.rtd",,$A$2,"."&amp;V$135&amp;V$1&amp;"P"&amp;$A155)="N/A",0,RTD("tos.rtd",,$A$2,"."&amp;V$135&amp;V$1&amp;"P"&amp;$A155))</f>
        <v>0</v>
      </c>
      <c r="W155" s="56">
        <f ca="1">IF(RTD("tos.rtd",,$A$2,"."&amp;W$135&amp;W$1&amp;"C"&amp;$A155)="N/A",0,RTD("tos.rtd",,$A$2,"."&amp;W$135&amp;W$1&amp;"C"&amp;$A155))-IF(RTD("tos.rtd",,$A$2,"."&amp;W$135&amp;W$1&amp;"P"&amp;$A155)="N/A",0,RTD("tos.rtd",,$A$2,"."&amp;W$135&amp;W$1&amp;"P"&amp;$A155))</f>
        <v>0</v>
      </c>
      <c r="X155" s="56">
        <f ca="1">IF(RTD("tos.rtd",,$A$2,"."&amp;X$135&amp;X$1&amp;"C"&amp;$A155)="N/A",0,RTD("tos.rtd",,$A$2,"."&amp;X$135&amp;X$1&amp;"C"&amp;$A155))-IF(RTD("tos.rtd",,$A$2,"."&amp;X$135&amp;X$1&amp;"P"&amp;$A155)="N/A",0,RTD("tos.rtd",,$A$2,"."&amp;X$135&amp;X$1&amp;"P"&amp;$A155))</f>
        <v>0</v>
      </c>
      <c r="Y155" s="63">
        <f t="shared" ca="1" si="16"/>
        <v>4</v>
      </c>
      <c r="Z155" s="56"/>
      <c r="AA155" s="56"/>
    </row>
    <row r="156" spans="1:27" x14ac:dyDescent="0.25">
      <c r="A156" s="58">
        <f>+Hoja1!A155</f>
        <v>25150</v>
      </c>
      <c r="B156" s="56">
        <f ca="1">IF(RTD("tos.rtd",,$A$2,"."&amp;B$135&amp;B$1&amp;"C"&amp;$A156)="N/A",0,RTD("tos.rtd",,$A$2,"."&amp;B$135&amp;B$1&amp;"C"&amp;$A156))-IF(RTD("tos.rtd",,$A$2,"."&amp;B$135&amp;B$1&amp;"P"&amp;$A156)="N/A",0,RTD("tos.rtd",,$A$2,"."&amp;B$135&amp;B$1&amp;"P"&amp;$A156))</f>
        <v>68</v>
      </c>
      <c r="C156" s="56">
        <f ca="1">IF(RTD("tos.rtd",,$A$2,"."&amp;C$135&amp;C$1&amp;"C"&amp;$A156)="N/A",0,RTD("tos.rtd",,$A$2,"."&amp;C$135&amp;C$1&amp;"C"&amp;$A156))-IF(RTD("tos.rtd",,$A$2,"."&amp;C$135&amp;C$1&amp;"P"&amp;$A156)="N/A",0,RTD("tos.rtd",,$A$2,"."&amp;C$135&amp;C$1&amp;"P"&amp;$A156))</f>
        <v>1</v>
      </c>
      <c r="D156" s="56">
        <f ca="1">IF(RTD("tos.rtd",,$A$2,"."&amp;D$135&amp;D$1&amp;"C"&amp;$A156)="N/A",0,RTD("tos.rtd",,$A$2,"."&amp;D$135&amp;D$1&amp;"C"&amp;$A156))-IF(RTD("tos.rtd",,$A$2,"."&amp;D$135&amp;D$1&amp;"P"&amp;$A156)="N/A",0,RTD("tos.rtd",,$A$2,"."&amp;D$135&amp;D$1&amp;"P"&amp;$A156))</f>
        <v>-5</v>
      </c>
      <c r="E156" s="56">
        <f ca="1">IF(RTD("tos.rtd",,$A$2,"."&amp;E$135&amp;E$1&amp;"C"&amp;$A156)="N/A",0,RTD("tos.rtd",,$A$2,"."&amp;E$135&amp;E$1&amp;"C"&amp;$A156))-IF(RTD("tos.rtd",,$A$2,"."&amp;E$135&amp;E$1&amp;"P"&amp;$A156)="N/A",0,RTD("tos.rtd",,$A$2,"."&amp;E$135&amp;E$1&amp;"P"&amp;$A156))</f>
        <v>0</v>
      </c>
      <c r="F156" s="56">
        <f ca="1">IF(RTD("tos.rtd",,$A$2,"."&amp;F$135&amp;F$1&amp;"C"&amp;$A156)="N/A",0,RTD("tos.rtd",,$A$2,"."&amp;F$135&amp;F$1&amp;"C"&amp;$A156))-IF(RTD("tos.rtd",,$A$2,"."&amp;F$135&amp;F$1&amp;"P"&amp;$A156)="N/A",0,RTD("tos.rtd",,$A$2,"."&amp;F$135&amp;F$1&amp;"P"&amp;$A156))</f>
        <v>0</v>
      </c>
      <c r="G156" s="56">
        <f ca="1">IF(RTD("tos.rtd",,$A$2,"."&amp;G$135&amp;G$1&amp;"C"&amp;$A156)="N/A",0,RTD("tos.rtd",,$A$2,"."&amp;G$135&amp;G$1&amp;"C"&amp;$A156))-IF(RTD("tos.rtd",,$A$2,"."&amp;G$135&amp;G$1&amp;"P"&amp;$A156)="N/A",0,RTD("tos.rtd",,$A$2,"."&amp;G$135&amp;G$1&amp;"P"&amp;$A156))</f>
        <v>0</v>
      </c>
      <c r="H156" s="56">
        <f ca="1">IF(RTD("tos.rtd",,$A$2,"."&amp;H$135&amp;H$1&amp;"C"&amp;$A156)="N/A",0,RTD("tos.rtd",,$A$2,"."&amp;H$135&amp;H$1&amp;"C"&amp;$A156))-IF(RTD("tos.rtd",,$A$2,"."&amp;H$135&amp;H$1&amp;"P"&amp;$A156)="N/A",0,RTD("tos.rtd",,$A$2,"."&amp;H$135&amp;H$1&amp;"P"&amp;$A156))</f>
        <v>0</v>
      </c>
      <c r="I156" s="56">
        <f ca="1">IF(RTD("tos.rtd",,$A$2,"."&amp;I$135&amp;I$1&amp;"C"&amp;$A156)="N/A",0,RTD("tos.rtd",,$A$2,"."&amp;I$135&amp;I$1&amp;"C"&amp;$A156))-IF(RTD("tos.rtd",,$A$2,"."&amp;I$135&amp;I$1&amp;"P"&amp;$A156)="N/A",0,RTD("tos.rtd",,$A$2,"."&amp;I$135&amp;I$1&amp;"P"&amp;$A156))</f>
        <v>2</v>
      </c>
      <c r="J156" s="56">
        <f ca="1">IF(RTD("tos.rtd",,$A$2,"."&amp;J$135&amp;J$1&amp;"C"&amp;$A156)="N/A",0,RTD("tos.rtd",,$A$2,"."&amp;J$135&amp;J$1&amp;"C"&amp;$A156))-IF(RTD("tos.rtd",,$A$2,"."&amp;J$135&amp;J$1&amp;"P"&amp;$A156)="N/A",0,RTD("tos.rtd",,$A$2,"."&amp;J$135&amp;J$1&amp;"P"&amp;$A156))</f>
        <v>0</v>
      </c>
      <c r="K156" s="56">
        <f ca="1">IF(RTD("tos.rtd",,$A$2,"."&amp;K$135&amp;K$1&amp;"C"&amp;$A156)="N/A",0,RTD("tos.rtd",,$A$2,"."&amp;K$135&amp;K$1&amp;"C"&amp;$A156))-IF(RTD("tos.rtd",,$A$2,"."&amp;K$135&amp;K$1&amp;"P"&amp;$A156)="N/A",0,RTD("tos.rtd",,$A$2,"."&amp;K$135&amp;K$1&amp;"P"&amp;$A156))</f>
        <v>0</v>
      </c>
      <c r="L156" s="56">
        <f ca="1">IF(RTD("tos.rtd",,$A$2,"."&amp;L$135&amp;L$1&amp;"C"&amp;$A156)="N/A",0,RTD("tos.rtd",,$A$2,"."&amp;L$135&amp;L$1&amp;"C"&amp;$A156))-IF(RTD("tos.rtd",,$A$2,"."&amp;L$135&amp;L$1&amp;"P"&amp;$A156)="N/A",0,RTD("tos.rtd",,$A$2,"."&amp;L$135&amp;L$1&amp;"P"&amp;$A156))</f>
        <v>0</v>
      </c>
      <c r="M156" s="56">
        <f ca="1">IF(RTD("tos.rtd",,$A$2,"."&amp;M$135&amp;M$1&amp;"C"&amp;$A156)="N/A",0,RTD("tos.rtd",,$A$2,"."&amp;M$135&amp;M$1&amp;"C"&amp;$A156))-IF(RTD("tos.rtd",,$A$2,"."&amp;M$135&amp;M$1&amp;"P"&amp;$A156)="N/A",0,RTD("tos.rtd",,$A$2,"."&amp;M$135&amp;M$1&amp;"P"&amp;$A156))</f>
        <v>0</v>
      </c>
      <c r="N156" s="56">
        <f ca="1">IF(RTD("tos.rtd",,$A$2,"."&amp;N$135&amp;N$1&amp;"C"&amp;$A156)="N/A",0,RTD("tos.rtd",,$A$2,"."&amp;N$135&amp;N$1&amp;"C"&amp;$A156))-IF(RTD("tos.rtd",,$A$2,"."&amp;N$135&amp;N$1&amp;"P"&amp;$A156)="N/A",0,RTD("tos.rtd",,$A$2,"."&amp;N$135&amp;N$1&amp;"P"&amp;$A156))</f>
        <v>0</v>
      </c>
      <c r="O156" s="56">
        <f ca="1">IF(RTD("tos.rtd",,$A$2,"."&amp;O$135&amp;O$1&amp;"C"&amp;$A156)="N/A",0,RTD("tos.rtd",,$A$2,"."&amp;O$135&amp;O$1&amp;"C"&amp;$A156))-IF(RTD("tos.rtd",,$A$2,"."&amp;O$135&amp;O$1&amp;"P"&amp;$A156)="N/A",0,RTD("tos.rtd",,$A$2,"."&amp;O$135&amp;O$1&amp;"P"&amp;$A156))</f>
        <v>0</v>
      </c>
      <c r="P156" s="56">
        <f ca="1">IF(RTD("tos.rtd",,$A$2,"."&amp;P$135&amp;P$1&amp;"C"&amp;$A156)="N/A",0,RTD("tos.rtd",,$A$2,"."&amp;P$135&amp;P$1&amp;"C"&amp;$A156))-IF(RTD("tos.rtd",,$A$2,"."&amp;P$135&amp;P$1&amp;"P"&amp;$A156)="N/A",0,RTD("tos.rtd",,$A$2,"."&amp;P$135&amp;P$1&amp;"P"&amp;$A156))</f>
        <v>0</v>
      </c>
      <c r="Q156" s="56">
        <f ca="1">IF(RTD("tos.rtd",,$A$2,"."&amp;Q$135&amp;Q$1&amp;"C"&amp;$A156)="N/A",0,RTD("tos.rtd",,$A$2,"."&amp;Q$135&amp;Q$1&amp;"C"&amp;$A156))-IF(RTD("tos.rtd",,$A$2,"."&amp;Q$135&amp;Q$1&amp;"P"&amp;$A156)="N/A",0,RTD("tos.rtd",,$A$2,"."&amp;Q$135&amp;Q$1&amp;"P"&amp;$A156))</f>
        <v>0</v>
      </c>
      <c r="R156" s="56">
        <f ca="1">IF(RTD("tos.rtd",,$A$2,"."&amp;R$135&amp;R$1&amp;"C"&amp;$A156)="N/A",0,RTD("tos.rtd",,$A$2,"."&amp;R$135&amp;R$1&amp;"C"&amp;$A156))-IF(RTD("tos.rtd",,$A$2,"."&amp;R$135&amp;R$1&amp;"P"&amp;$A156)="N/A",0,RTD("tos.rtd",,$A$2,"."&amp;R$135&amp;R$1&amp;"P"&amp;$A156))</f>
        <v>0</v>
      </c>
      <c r="S156" s="56">
        <f ca="1">IF(RTD("tos.rtd",,$A$2,"."&amp;S$135&amp;S$1&amp;"C"&amp;$A156)="N/A",0,RTD("tos.rtd",,$A$2,"."&amp;S$135&amp;S$1&amp;"C"&amp;$A156))-IF(RTD("tos.rtd",,$A$2,"."&amp;S$135&amp;S$1&amp;"P"&amp;$A156)="N/A",0,RTD("tos.rtd",,$A$2,"."&amp;S$135&amp;S$1&amp;"P"&amp;$A156))</f>
        <v>0</v>
      </c>
      <c r="T156" s="56">
        <f ca="1">IF(RTD("tos.rtd",,$A$2,"."&amp;T$135&amp;T$1&amp;"C"&amp;$A156)="N/A",0,RTD("tos.rtd",,$A$2,"."&amp;T$135&amp;T$1&amp;"C"&amp;$A156))-IF(RTD("tos.rtd",,$A$2,"."&amp;T$135&amp;T$1&amp;"P"&amp;$A156)="N/A",0,RTD("tos.rtd",,$A$2,"."&amp;T$135&amp;T$1&amp;"P"&amp;$A156))</f>
        <v>0</v>
      </c>
      <c r="U156" s="56">
        <f ca="1">IF(RTD("tos.rtd",,$A$2,"."&amp;U$135&amp;U$1&amp;"C"&amp;$A156)="N/A",0,RTD("tos.rtd",,$A$2,"."&amp;U$135&amp;U$1&amp;"C"&amp;$A156))-IF(RTD("tos.rtd",,$A$2,"."&amp;U$135&amp;U$1&amp;"P"&amp;$A156)="N/A",0,RTD("tos.rtd",,$A$2,"."&amp;U$135&amp;U$1&amp;"P"&amp;$A156))</f>
        <v>0</v>
      </c>
      <c r="V156" s="56">
        <f ca="1">IF(RTD("tos.rtd",,$A$2,"."&amp;V$135&amp;V$1&amp;"C"&amp;$A156)="N/A",0,RTD("tos.rtd",,$A$2,"."&amp;V$135&amp;V$1&amp;"C"&amp;$A156))-IF(RTD("tos.rtd",,$A$2,"."&amp;V$135&amp;V$1&amp;"P"&amp;$A156)="N/A",0,RTD("tos.rtd",,$A$2,"."&amp;V$135&amp;V$1&amp;"P"&amp;$A156))</f>
        <v>0</v>
      </c>
      <c r="W156" s="56">
        <f ca="1">IF(RTD("tos.rtd",,$A$2,"."&amp;W$135&amp;W$1&amp;"C"&amp;$A156)="N/A",0,RTD("tos.rtd",,$A$2,"."&amp;W$135&amp;W$1&amp;"C"&amp;$A156))-IF(RTD("tos.rtd",,$A$2,"."&amp;W$135&amp;W$1&amp;"P"&amp;$A156)="N/A",0,RTD("tos.rtd",,$A$2,"."&amp;W$135&amp;W$1&amp;"P"&amp;$A156))</f>
        <v>0</v>
      </c>
      <c r="X156" s="56">
        <f ca="1">IF(RTD("tos.rtd",,$A$2,"."&amp;X$135&amp;X$1&amp;"C"&amp;$A156)="N/A",0,RTD("tos.rtd",,$A$2,"."&amp;X$135&amp;X$1&amp;"C"&amp;$A156))-IF(RTD("tos.rtd",,$A$2,"."&amp;X$135&amp;X$1&amp;"P"&amp;$A156)="N/A",0,RTD("tos.rtd",,$A$2,"."&amp;X$135&amp;X$1&amp;"P"&amp;$A156))</f>
        <v>0</v>
      </c>
      <c r="Y156" s="63">
        <f t="shared" ca="1" si="16"/>
        <v>66</v>
      </c>
      <c r="Z156" s="56"/>
      <c r="AA156" s="56"/>
    </row>
    <row r="157" spans="1:27" x14ac:dyDescent="0.25">
      <c r="A157" s="58">
        <f>+Hoja1!A156</f>
        <v>25125</v>
      </c>
      <c r="B157" s="56">
        <f ca="1">IF(RTD("tos.rtd",,$A$2,"."&amp;B$135&amp;B$1&amp;"C"&amp;$A157)="N/A",0,RTD("tos.rtd",,$A$2,"."&amp;B$135&amp;B$1&amp;"C"&amp;$A157))-IF(RTD("tos.rtd",,$A$2,"."&amp;B$135&amp;B$1&amp;"P"&amp;$A157)="N/A",0,RTD("tos.rtd",,$A$2,"."&amp;B$135&amp;B$1&amp;"P"&amp;$A157))</f>
        <v>0</v>
      </c>
      <c r="C157" s="56">
        <f ca="1">IF(RTD("tos.rtd",,$A$2,"."&amp;C$135&amp;C$1&amp;"C"&amp;$A157)="N/A",0,RTD("tos.rtd",,$A$2,"."&amp;C$135&amp;C$1&amp;"C"&amp;$A157))-IF(RTD("tos.rtd",,$A$2,"."&amp;C$135&amp;C$1&amp;"P"&amp;$A157)="N/A",0,RTD("tos.rtd",,$A$2,"."&amp;C$135&amp;C$1&amp;"P"&amp;$A157))</f>
        <v>0</v>
      </c>
      <c r="D157" s="56">
        <f ca="1">IF(RTD("tos.rtd",,$A$2,"."&amp;D$135&amp;D$1&amp;"C"&amp;$A157)="N/A",0,RTD("tos.rtd",,$A$2,"."&amp;D$135&amp;D$1&amp;"C"&amp;$A157))-IF(RTD("tos.rtd",,$A$2,"."&amp;D$135&amp;D$1&amp;"P"&amp;$A157)="N/A",0,RTD("tos.rtd",,$A$2,"."&amp;D$135&amp;D$1&amp;"P"&amp;$A157))</f>
        <v>0</v>
      </c>
      <c r="E157" s="56">
        <f ca="1">IF(RTD("tos.rtd",,$A$2,"."&amp;E$135&amp;E$1&amp;"C"&amp;$A157)="N/A",0,RTD("tos.rtd",,$A$2,"."&amp;E$135&amp;E$1&amp;"C"&amp;$A157))-IF(RTD("tos.rtd",,$A$2,"."&amp;E$135&amp;E$1&amp;"P"&amp;$A157)="N/A",0,RTD("tos.rtd",,$A$2,"."&amp;E$135&amp;E$1&amp;"P"&amp;$A157))</f>
        <v>0</v>
      </c>
      <c r="F157" s="56">
        <f ca="1">IF(RTD("tos.rtd",,$A$2,"."&amp;F$135&amp;F$1&amp;"C"&amp;$A157)="N/A",0,RTD("tos.rtd",,$A$2,"."&amp;F$135&amp;F$1&amp;"C"&amp;$A157))-IF(RTD("tos.rtd",,$A$2,"."&amp;F$135&amp;F$1&amp;"P"&amp;$A157)="N/A",0,RTD("tos.rtd",,$A$2,"."&amp;F$135&amp;F$1&amp;"P"&amp;$A157))</f>
        <v>0</v>
      </c>
      <c r="G157" s="56">
        <f ca="1">IF(RTD("tos.rtd",,$A$2,"."&amp;G$135&amp;G$1&amp;"C"&amp;$A157)="N/A",0,RTD("tos.rtd",,$A$2,"."&amp;G$135&amp;G$1&amp;"C"&amp;$A157))-IF(RTD("tos.rtd",,$A$2,"."&amp;G$135&amp;G$1&amp;"P"&amp;$A157)="N/A",0,RTD("tos.rtd",,$A$2,"."&amp;G$135&amp;G$1&amp;"P"&amp;$A157))</f>
        <v>0</v>
      </c>
      <c r="H157" s="56">
        <f ca="1">IF(RTD("tos.rtd",,$A$2,"."&amp;H$135&amp;H$1&amp;"C"&amp;$A157)="N/A",0,RTD("tos.rtd",,$A$2,"."&amp;H$135&amp;H$1&amp;"C"&amp;$A157))-IF(RTD("tos.rtd",,$A$2,"."&amp;H$135&amp;H$1&amp;"P"&amp;$A157)="N/A",0,RTD("tos.rtd",,$A$2,"."&amp;H$135&amp;H$1&amp;"P"&amp;$A157))</f>
        <v>0</v>
      </c>
      <c r="I157" s="56">
        <f ca="1">IF(RTD("tos.rtd",,$A$2,"."&amp;I$135&amp;I$1&amp;"C"&amp;$A157)="N/A",0,RTD("tos.rtd",,$A$2,"."&amp;I$135&amp;I$1&amp;"C"&amp;$A157))-IF(RTD("tos.rtd",,$A$2,"."&amp;I$135&amp;I$1&amp;"P"&amp;$A157)="N/A",0,RTD("tos.rtd",,$A$2,"."&amp;I$135&amp;I$1&amp;"P"&amp;$A157))</f>
        <v>0</v>
      </c>
      <c r="J157" s="56">
        <f ca="1">IF(RTD("tos.rtd",,$A$2,"."&amp;J$135&amp;J$1&amp;"C"&amp;$A157)="N/A",0,RTD("tos.rtd",,$A$2,"."&amp;J$135&amp;J$1&amp;"C"&amp;$A157))-IF(RTD("tos.rtd",,$A$2,"."&amp;J$135&amp;J$1&amp;"P"&amp;$A157)="N/A",0,RTD("tos.rtd",,$A$2,"."&amp;J$135&amp;J$1&amp;"P"&amp;$A157))</f>
        <v>0</v>
      </c>
      <c r="K157" s="56">
        <f ca="1">IF(RTD("tos.rtd",,$A$2,"."&amp;K$135&amp;K$1&amp;"C"&amp;$A157)="N/A",0,RTD("tos.rtd",,$A$2,"."&amp;K$135&amp;K$1&amp;"C"&amp;$A157))-IF(RTD("tos.rtd",,$A$2,"."&amp;K$135&amp;K$1&amp;"P"&amp;$A157)="N/A",0,RTD("tos.rtd",,$A$2,"."&amp;K$135&amp;K$1&amp;"P"&amp;$A157))</f>
        <v>1</v>
      </c>
      <c r="L157" s="56">
        <f ca="1">IF(RTD("tos.rtd",,$A$2,"."&amp;L$135&amp;L$1&amp;"C"&amp;$A157)="N/A",0,RTD("tos.rtd",,$A$2,"."&amp;L$135&amp;L$1&amp;"C"&amp;$A157))-IF(RTD("tos.rtd",,$A$2,"."&amp;L$135&amp;L$1&amp;"P"&amp;$A157)="N/A",0,RTD("tos.rtd",,$A$2,"."&amp;L$135&amp;L$1&amp;"P"&amp;$A157))</f>
        <v>0</v>
      </c>
      <c r="M157" s="56">
        <f ca="1">IF(RTD("tos.rtd",,$A$2,"."&amp;M$135&amp;M$1&amp;"C"&amp;$A157)="N/A",0,RTD("tos.rtd",,$A$2,"."&amp;M$135&amp;M$1&amp;"C"&amp;$A157))-IF(RTD("tos.rtd",,$A$2,"."&amp;M$135&amp;M$1&amp;"P"&amp;$A157)="N/A",0,RTD("tos.rtd",,$A$2,"."&amp;M$135&amp;M$1&amp;"P"&amp;$A157))</f>
        <v>0</v>
      </c>
      <c r="N157" s="56">
        <f ca="1">IF(RTD("tos.rtd",,$A$2,"."&amp;N$135&amp;N$1&amp;"C"&amp;$A157)="N/A",0,RTD("tos.rtd",,$A$2,"."&amp;N$135&amp;N$1&amp;"C"&amp;$A157))-IF(RTD("tos.rtd",,$A$2,"."&amp;N$135&amp;N$1&amp;"P"&amp;$A157)="N/A",0,RTD("tos.rtd",,$A$2,"."&amp;N$135&amp;N$1&amp;"P"&amp;$A157))</f>
        <v>0</v>
      </c>
      <c r="O157" s="56">
        <f ca="1">IF(RTD("tos.rtd",,$A$2,"."&amp;O$135&amp;O$1&amp;"C"&amp;$A157)="N/A",0,RTD("tos.rtd",,$A$2,"."&amp;O$135&amp;O$1&amp;"C"&amp;$A157))-IF(RTD("tos.rtd",,$A$2,"."&amp;O$135&amp;O$1&amp;"P"&amp;$A157)="N/A",0,RTD("tos.rtd",,$A$2,"."&amp;O$135&amp;O$1&amp;"P"&amp;$A157))</f>
        <v>0</v>
      </c>
      <c r="P157" s="56">
        <f ca="1">IF(RTD("tos.rtd",,$A$2,"."&amp;P$135&amp;P$1&amp;"C"&amp;$A157)="N/A",0,RTD("tos.rtd",,$A$2,"."&amp;P$135&amp;P$1&amp;"C"&amp;$A157))-IF(RTD("tos.rtd",,$A$2,"."&amp;P$135&amp;P$1&amp;"P"&amp;$A157)="N/A",0,RTD("tos.rtd",,$A$2,"."&amp;P$135&amp;P$1&amp;"P"&amp;$A157))</f>
        <v>0</v>
      </c>
      <c r="Q157" s="56">
        <f ca="1">IF(RTD("tos.rtd",,$A$2,"."&amp;Q$135&amp;Q$1&amp;"C"&amp;$A157)="N/A",0,RTD("tos.rtd",,$A$2,"."&amp;Q$135&amp;Q$1&amp;"C"&amp;$A157))-IF(RTD("tos.rtd",,$A$2,"."&amp;Q$135&amp;Q$1&amp;"P"&amp;$A157)="N/A",0,RTD("tos.rtd",,$A$2,"."&amp;Q$135&amp;Q$1&amp;"P"&amp;$A157))</f>
        <v>0</v>
      </c>
      <c r="R157" s="56">
        <f ca="1">IF(RTD("tos.rtd",,$A$2,"."&amp;R$135&amp;R$1&amp;"C"&amp;$A157)="N/A",0,RTD("tos.rtd",,$A$2,"."&amp;R$135&amp;R$1&amp;"C"&amp;$A157))-IF(RTD("tos.rtd",,$A$2,"."&amp;R$135&amp;R$1&amp;"P"&amp;$A157)="N/A",0,RTD("tos.rtd",,$A$2,"."&amp;R$135&amp;R$1&amp;"P"&amp;$A157))</f>
        <v>0</v>
      </c>
      <c r="S157" s="56">
        <f ca="1">IF(RTD("tos.rtd",,$A$2,"."&amp;S$135&amp;S$1&amp;"C"&amp;$A157)="N/A",0,RTD("tos.rtd",,$A$2,"."&amp;S$135&amp;S$1&amp;"C"&amp;$A157))-IF(RTD("tos.rtd",,$A$2,"."&amp;S$135&amp;S$1&amp;"P"&amp;$A157)="N/A",0,RTD("tos.rtd",,$A$2,"."&amp;S$135&amp;S$1&amp;"P"&amp;$A157))</f>
        <v>0</v>
      </c>
      <c r="T157" s="56">
        <f ca="1">IF(RTD("tos.rtd",,$A$2,"."&amp;T$135&amp;T$1&amp;"C"&amp;$A157)="N/A",0,RTD("tos.rtd",,$A$2,"."&amp;T$135&amp;T$1&amp;"C"&amp;$A157))-IF(RTD("tos.rtd",,$A$2,"."&amp;T$135&amp;T$1&amp;"P"&amp;$A157)="N/A",0,RTD("tos.rtd",,$A$2,"."&amp;T$135&amp;T$1&amp;"P"&amp;$A157))</f>
        <v>0</v>
      </c>
      <c r="U157" s="56">
        <f ca="1">IF(RTD("tos.rtd",,$A$2,"."&amp;U$135&amp;U$1&amp;"C"&amp;$A157)="N/A",0,RTD("tos.rtd",,$A$2,"."&amp;U$135&amp;U$1&amp;"C"&amp;$A157))-IF(RTD("tos.rtd",,$A$2,"."&amp;U$135&amp;U$1&amp;"P"&amp;$A157)="N/A",0,RTD("tos.rtd",,$A$2,"."&amp;U$135&amp;U$1&amp;"P"&amp;$A157))</f>
        <v>0</v>
      </c>
      <c r="V157" s="56">
        <f ca="1">IF(RTD("tos.rtd",,$A$2,"."&amp;V$135&amp;V$1&amp;"C"&amp;$A157)="N/A",0,RTD("tos.rtd",,$A$2,"."&amp;V$135&amp;V$1&amp;"C"&amp;$A157))-IF(RTD("tos.rtd",,$A$2,"."&amp;V$135&amp;V$1&amp;"P"&amp;$A157)="N/A",0,RTD("tos.rtd",,$A$2,"."&amp;V$135&amp;V$1&amp;"P"&amp;$A157))</f>
        <v>0</v>
      </c>
      <c r="W157" s="56">
        <f ca="1">IF(RTD("tos.rtd",,$A$2,"."&amp;W$135&amp;W$1&amp;"C"&amp;$A157)="N/A",0,RTD("tos.rtd",,$A$2,"."&amp;W$135&amp;W$1&amp;"C"&amp;$A157))-IF(RTD("tos.rtd",,$A$2,"."&amp;W$135&amp;W$1&amp;"P"&amp;$A157)="N/A",0,RTD("tos.rtd",,$A$2,"."&amp;W$135&amp;W$1&amp;"P"&amp;$A157))</f>
        <v>0</v>
      </c>
      <c r="X157" s="56">
        <f ca="1">IF(RTD("tos.rtd",,$A$2,"."&amp;X$135&amp;X$1&amp;"C"&amp;$A157)="N/A",0,RTD("tos.rtd",,$A$2,"."&amp;X$135&amp;X$1&amp;"C"&amp;$A157))-IF(RTD("tos.rtd",,$A$2,"."&amp;X$135&amp;X$1&amp;"P"&amp;$A157)="N/A",0,RTD("tos.rtd",,$A$2,"."&amp;X$135&amp;X$1&amp;"P"&amp;$A157))</f>
        <v>0</v>
      </c>
      <c r="Y157" s="63">
        <f t="shared" ca="1" si="16"/>
        <v>1</v>
      </c>
      <c r="Z157" s="56"/>
      <c r="AA157" s="56"/>
    </row>
    <row r="158" spans="1:27" x14ac:dyDescent="0.25">
      <c r="A158" s="58">
        <f>+Hoja1!A157</f>
        <v>25100</v>
      </c>
      <c r="B158" s="56">
        <f ca="1">IF(RTD("tos.rtd",,$A$2,"."&amp;B$135&amp;B$1&amp;"C"&amp;$A158)="N/A",0,RTD("tos.rtd",,$A$2,"."&amp;B$135&amp;B$1&amp;"C"&amp;$A158))-IF(RTD("tos.rtd",,$A$2,"."&amp;B$135&amp;B$1&amp;"P"&amp;$A158)="N/A",0,RTD("tos.rtd",,$A$2,"."&amp;B$135&amp;B$1&amp;"P"&amp;$A158))</f>
        <v>112</v>
      </c>
      <c r="C158" s="56">
        <f ca="1">IF(RTD("tos.rtd",,$A$2,"."&amp;C$135&amp;C$1&amp;"C"&amp;$A158)="N/A",0,RTD("tos.rtd",,$A$2,"."&amp;C$135&amp;C$1&amp;"C"&amp;$A158))-IF(RTD("tos.rtd",,$A$2,"."&amp;C$135&amp;C$1&amp;"P"&amp;$A158)="N/A",0,RTD("tos.rtd",,$A$2,"."&amp;C$135&amp;C$1&amp;"P"&amp;$A158))</f>
        <v>39</v>
      </c>
      <c r="D158" s="56">
        <f ca="1">IF(RTD("tos.rtd",,$A$2,"."&amp;D$135&amp;D$1&amp;"C"&amp;$A158)="N/A",0,RTD("tos.rtd",,$A$2,"."&amp;D$135&amp;D$1&amp;"C"&amp;$A158))-IF(RTD("tos.rtd",,$A$2,"."&amp;D$135&amp;D$1&amp;"P"&amp;$A158)="N/A",0,RTD("tos.rtd",,$A$2,"."&amp;D$135&amp;D$1&amp;"P"&amp;$A158))</f>
        <v>6</v>
      </c>
      <c r="E158" s="56">
        <f ca="1">IF(RTD("tos.rtd",,$A$2,"."&amp;E$135&amp;E$1&amp;"C"&amp;$A158)="N/A",0,RTD("tos.rtd",,$A$2,"."&amp;E$135&amp;E$1&amp;"C"&amp;$A158))-IF(RTD("tos.rtd",,$A$2,"."&amp;E$135&amp;E$1&amp;"P"&amp;$A158)="N/A",0,RTD("tos.rtd",,$A$2,"."&amp;E$135&amp;E$1&amp;"P"&amp;$A158))</f>
        <v>8</v>
      </c>
      <c r="F158" s="56">
        <f ca="1">IF(RTD("tos.rtd",,$A$2,"."&amp;F$135&amp;F$1&amp;"C"&amp;$A158)="N/A",0,RTD("tos.rtd",,$A$2,"."&amp;F$135&amp;F$1&amp;"C"&amp;$A158))-IF(RTD("tos.rtd",,$A$2,"."&amp;F$135&amp;F$1&amp;"P"&amp;$A158)="N/A",0,RTD("tos.rtd",,$A$2,"."&amp;F$135&amp;F$1&amp;"P"&amp;$A158))</f>
        <v>0</v>
      </c>
      <c r="G158" s="56">
        <f ca="1">IF(RTD("tos.rtd",,$A$2,"."&amp;G$135&amp;G$1&amp;"C"&amp;$A158)="N/A",0,RTD("tos.rtd",,$A$2,"."&amp;G$135&amp;G$1&amp;"C"&amp;$A158))-IF(RTD("tos.rtd",,$A$2,"."&amp;G$135&amp;G$1&amp;"P"&amp;$A158)="N/A",0,RTD("tos.rtd",,$A$2,"."&amp;G$135&amp;G$1&amp;"P"&amp;$A158))</f>
        <v>0</v>
      </c>
      <c r="H158" s="56">
        <f ca="1">IF(RTD("tos.rtd",,$A$2,"."&amp;H$135&amp;H$1&amp;"C"&amp;$A158)="N/A",0,RTD("tos.rtd",,$A$2,"."&amp;H$135&amp;H$1&amp;"C"&amp;$A158))-IF(RTD("tos.rtd",,$A$2,"."&amp;H$135&amp;H$1&amp;"P"&amp;$A158)="N/A",0,RTD("tos.rtd",,$A$2,"."&amp;H$135&amp;H$1&amp;"P"&amp;$A158))</f>
        <v>0</v>
      </c>
      <c r="I158" s="56">
        <f ca="1">IF(RTD("tos.rtd",,$A$2,"."&amp;I$135&amp;I$1&amp;"C"&amp;$A158)="N/A",0,RTD("tos.rtd",,$A$2,"."&amp;I$135&amp;I$1&amp;"C"&amp;$A158))-IF(RTD("tos.rtd",,$A$2,"."&amp;I$135&amp;I$1&amp;"P"&amp;$A158)="N/A",0,RTD("tos.rtd",,$A$2,"."&amp;I$135&amp;I$1&amp;"P"&amp;$A158))</f>
        <v>0</v>
      </c>
      <c r="J158" s="56">
        <f ca="1">IF(RTD("tos.rtd",,$A$2,"."&amp;J$135&amp;J$1&amp;"C"&amp;$A158)="N/A",0,RTD("tos.rtd",,$A$2,"."&amp;J$135&amp;J$1&amp;"C"&amp;$A158))-IF(RTD("tos.rtd",,$A$2,"."&amp;J$135&amp;J$1&amp;"P"&amp;$A158)="N/A",0,RTD("tos.rtd",,$A$2,"."&amp;J$135&amp;J$1&amp;"P"&amp;$A158))</f>
        <v>0</v>
      </c>
      <c r="K158" s="56">
        <f ca="1">IF(RTD("tos.rtd",,$A$2,"."&amp;K$135&amp;K$1&amp;"C"&amp;$A158)="N/A",0,RTD("tos.rtd",,$A$2,"."&amp;K$135&amp;K$1&amp;"C"&amp;$A158))-IF(RTD("tos.rtd",,$A$2,"."&amp;K$135&amp;K$1&amp;"P"&amp;$A158)="N/A",0,RTD("tos.rtd",,$A$2,"."&amp;K$135&amp;K$1&amp;"P"&amp;$A158))</f>
        <v>-6</v>
      </c>
      <c r="L158" s="56">
        <f ca="1">IF(RTD("tos.rtd",,$A$2,"."&amp;L$135&amp;L$1&amp;"C"&amp;$A158)="N/A",0,RTD("tos.rtd",,$A$2,"."&amp;L$135&amp;L$1&amp;"C"&amp;$A158))-IF(RTD("tos.rtd",,$A$2,"."&amp;L$135&amp;L$1&amp;"P"&amp;$A158)="N/A",0,RTD("tos.rtd",,$A$2,"."&amp;L$135&amp;L$1&amp;"P"&amp;$A158))</f>
        <v>0</v>
      </c>
      <c r="M158" s="56">
        <f ca="1">IF(RTD("tos.rtd",,$A$2,"."&amp;M$135&amp;M$1&amp;"C"&amp;$A158)="N/A",0,RTD("tos.rtd",,$A$2,"."&amp;M$135&amp;M$1&amp;"C"&amp;$A158))-IF(RTD("tos.rtd",,$A$2,"."&amp;M$135&amp;M$1&amp;"P"&amp;$A158)="N/A",0,RTD("tos.rtd",,$A$2,"."&amp;M$135&amp;M$1&amp;"P"&amp;$A158))</f>
        <v>0</v>
      </c>
      <c r="N158" s="56">
        <f ca="1">IF(RTD("tos.rtd",,$A$2,"."&amp;N$135&amp;N$1&amp;"C"&amp;$A158)="N/A",0,RTD("tos.rtd",,$A$2,"."&amp;N$135&amp;N$1&amp;"C"&amp;$A158))-IF(RTD("tos.rtd",,$A$2,"."&amp;N$135&amp;N$1&amp;"P"&amp;$A158)="N/A",0,RTD("tos.rtd",,$A$2,"."&amp;N$135&amp;N$1&amp;"P"&amp;$A158))</f>
        <v>0</v>
      </c>
      <c r="O158" s="56">
        <f ca="1">IF(RTD("tos.rtd",,$A$2,"."&amp;O$135&amp;O$1&amp;"C"&amp;$A158)="N/A",0,RTD("tos.rtd",,$A$2,"."&amp;O$135&amp;O$1&amp;"C"&amp;$A158))-IF(RTD("tos.rtd",,$A$2,"."&amp;O$135&amp;O$1&amp;"P"&amp;$A158)="N/A",0,RTD("tos.rtd",,$A$2,"."&amp;O$135&amp;O$1&amp;"P"&amp;$A158))</f>
        <v>0</v>
      </c>
      <c r="P158" s="56">
        <f ca="1">IF(RTD("tos.rtd",,$A$2,"."&amp;P$135&amp;P$1&amp;"C"&amp;$A158)="N/A",0,RTD("tos.rtd",,$A$2,"."&amp;P$135&amp;P$1&amp;"C"&amp;$A158))-IF(RTD("tos.rtd",,$A$2,"."&amp;P$135&amp;P$1&amp;"P"&amp;$A158)="N/A",0,RTD("tos.rtd",,$A$2,"."&amp;P$135&amp;P$1&amp;"P"&amp;$A158))</f>
        <v>0</v>
      </c>
      <c r="Q158" s="56">
        <f ca="1">IF(RTD("tos.rtd",,$A$2,"."&amp;Q$135&amp;Q$1&amp;"C"&amp;$A158)="N/A",0,RTD("tos.rtd",,$A$2,"."&amp;Q$135&amp;Q$1&amp;"C"&amp;$A158))-IF(RTD("tos.rtd",,$A$2,"."&amp;Q$135&amp;Q$1&amp;"P"&amp;$A158)="N/A",0,RTD("tos.rtd",,$A$2,"."&amp;Q$135&amp;Q$1&amp;"P"&amp;$A158))</f>
        <v>0</v>
      </c>
      <c r="R158" s="56">
        <f ca="1">IF(RTD("tos.rtd",,$A$2,"."&amp;R$135&amp;R$1&amp;"C"&amp;$A158)="N/A",0,RTD("tos.rtd",,$A$2,"."&amp;R$135&amp;R$1&amp;"C"&amp;$A158))-IF(RTD("tos.rtd",,$A$2,"."&amp;R$135&amp;R$1&amp;"P"&amp;$A158)="N/A",0,RTD("tos.rtd",,$A$2,"."&amp;R$135&amp;R$1&amp;"P"&amp;$A158))</f>
        <v>0</v>
      </c>
      <c r="S158" s="56">
        <f ca="1">IF(RTD("tos.rtd",,$A$2,"."&amp;S$135&amp;S$1&amp;"C"&amp;$A158)="N/A",0,RTD("tos.rtd",,$A$2,"."&amp;S$135&amp;S$1&amp;"C"&amp;$A158))-IF(RTD("tos.rtd",,$A$2,"."&amp;S$135&amp;S$1&amp;"P"&amp;$A158)="N/A",0,RTD("tos.rtd",,$A$2,"."&amp;S$135&amp;S$1&amp;"P"&amp;$A158))</f>
        <v>0</v>
      </c>
      <c r="T158" s="56">
        <f ca="1">IF(RTD("tos.rtd",,$A$2,"."&amp;T$135&amp;T$1&amp;"C"&amp;$A158)="N/A",0,RTD("tos.rtd",,$A$2,"."&amp;T$135&amp;T$1&amp;"C"&amp;$A158))-IF(RTD("tos.rtd",,$A$2,"."&amp;T$135&amp;T$1&amp;"P"&amp;$A158)="N/A",0,RTD("tos.rtd",,$A$2,"."&amp;T$135&amp;T$1&amp;"P"&amp;$A158))</f>
        <v>0</v>
      </c>
      <c r="U158" s="56">
        <f ca="1">IF(RTD("tos.rtd",,$A$2,"."&amp;U$135&amp;U$1&amp;"C"&amp;$A158)="N/A",0,RTD("tos.rtd",,$A$2,"."&amp;U$135&amp;U$1&amp;"C"&amp;$A158))-IF(RTD("tos.rtd",,$A$2,"."&amp;U$135&amp;U$1&amp;"P"&amp;$A158)="N/A",0,RTD("tos.rtd",,$A$2,"."&amp;U$135&amp;U$1&amp;"P"&amp;$A158))</f>
        <v>0</v>
      </c>
      <c r="V158" s="56">
        <f ca="1">IF(RTD("tos.rtd",,$A$2,"."&amp;V$135&amp;V$1&amp;"C"&amp;$A158)="N/A",0,RTD("tos.rtd",,$A$2,"."&amp;V$135&amp;V$1&amp;"C"&amp;$A158))-IF(RTD("tos.rtd",,$A$2,"."&amp;V$135&amp;V$1&amp;"P"&amp;$A158)="N/A",0,RTD("tos.rtd",,$A$2,"."&amp;V$135&amp;V$1&amp;"P"&amp;$A158))</f>
        <v>0</v>
      </c>
      <c r="W158" s="56">
        <f ca="1">IF(RTD("tos.rtd",,$A$2,"."&amp;W$135&amp;W$1&amp;"C"&amp;$A158)="N/A",0,RTD("tos.rtd",,$A$2,"."&amp;W$135&amp;W$1&amp;"C"&amp;$A158))-IF(RTD("tos.rtd",,$A$2,"."&amp;W$135&amp;W$1&amp;"P"&amp;$A158)="N/A",0,RTD("tos.rtd",,$A$2,"."&amp;W$135&amp;W$1&amp;"P"&amp;$A158))</f>
        <v>0</v>
      </c>
      <c r="X158" s="56">
        <f ca="1">IF(RTD("tos.rtd",,$A$2,"."&amp;X$135&amp;X$1&amp;"C"&amp;$A158)="N/A",0,RTD("tos.rtd",,$A$2,"."&amp;X$135&amp;X$1&amp;"C"&amp;$A158))-IF(RTD("tos.rtd",,$A$2,"."&amp;X$135&amp;X$1&amp;"P"&amp;$A158)="N/A",0,RTD("tos.rtd",,$A$2,"."&amp;X$135&amp;X$1&amp;"P"&amp;$A158))</f>
        <v>0</v>
      </c>
      <c r="Y158" s="63">
        <f t="shared" ca="1" si="16"/>
        <v>159</v>
      </c>
      <c r="Z158" s="56"/>
      <c r="AA158" s="56"/>
    </row>
    <row r="159" spans="1:27" x14ac:dyDescent="0.25">
      <c r="A159" s="58">
        <f>+Hoja1!A158</f>
        <v>25075</v>
      </c>
      <c r="B159" s="56">
        <f ca="1">IF(RTD("tos.rtd",,$A$2,"."&amp;B$135&amp;B$1&amp;"C"&amp;$A159)="N/A",0,RTD("tos.rtd",,$A$2,"."&amp;B$135&amp;B$1&amp;"C"&amp;$A159))-IF(RTD("tos.rtd",,$A$2,"."&amp;B$135&amp;B$1&amp;"P"&amp;$A159)="N/A",0,RTD("tos.rtd",,$A$2,"."&amp;B$135&amp;B$1&amp;"P"&amp;$A159))</f>
        <v>0</v>
      </c>
      <c r="C159" s="56">
        <f ca="1">IF(RTD("tos.rtd",,$A$2,"."&amp;C$135&amp;C$1&amp;"C"&amp;$A159)="N/A",0,RTD("tos.rtd",,$A$2,"."&amp;C$135&amp;C$1&amp;"C"&amp;$A159))-IF(RTD("tos.rtd",,$A$2,"."&amp;C$135&amp;C$1&amp;"P"&amp;$A159)="N/A",0,RTD("tos.rtd",,$A$2,"."&amp;C$135&amp;C$1&amp;"P"&amp;$A159))</f>
        <v>0</v>
      </c>
      <c r="D159" s="56">
        <f ca="1">IF(RTD("tos.rtd",,$A$2,"."&amp;D$135&amp;D$1&amp;"C"&amp;$A159)="N/A",0,RTD("tos.rtd",,$A$2,"."&amp;D$135&amp;D$1&amp;"C"&amp;$A159))-IF(RTD("tos.rtd",,$A$2,"."&amp;D$135&amp;D$1&amp;"P"&amp;$A159)="N/A",0,RTD("tos.rtd",,$A$2,"."&amp;D$135&amp;D$1&amp;"P"&amp;$A159))</f>
        <v>0</v>
      </c>
      <c r="E159" s="56">
        <f ca="1">IF(RTD("tos.rtd",,$A$2,"."&amp;E$135&amp;E$1&amp;"C"&amp;$A159)="N/A",0,RTD("tos.rtd",,$A$2,"."&amp;E$135&amp;E$1&amp;"C"&amp;$A159))-IF(RTD("tos.rtd",,$A$2,"."&amp;E$135&amp;E$1&amp;"P"&amp;$A159)="N/A",0,RTD("tos.rtd",,$A$2,"."&amp;E$135&amp;E$1&amp;"P"&amp;$A159))</f>
        <v>0</v>
      </c>
      <c r="F159" s="56">
        <f ca="1">IF(RTD("tos.rtd",,$A$2,"."&amp;F$135&amp;F$1&amp;"C"&amp;$A159)="N/A",0,RTD("tos.rtd",,$A$2,"."&amp;F$135&amp;F$1&amp;"C"&amp;$A159))-IF(RTD("tos.rtd",,$A$2,"."&amp;F$135&amp;F$1&amp;"P"&amp;$A159)="N/A",0,RTD("tos.rtd",,$A$2,"."&amp;F$135&amp;F$1&amp;"P"&amp;$A159))</f>
        <v>0</v>
      </c>
      <c r="G159" s="56">
        <f ca="1">IF(RTD("tos.rtd",,$A$2,"."&amp;G$135&amp;G$1&amp;"C"&amp;$A159)="N/A",0,RTD("tos.rtd",,$A$2,"."&amp;G$135&amp;G$1&amp;"C"&amp;$A159))-IF(RTD("tos.rtd",,$A$2,"."&amp;G$135&amp;G$1&amp;"P"&amp;$A159)="N/A",0,RTD("tos.rtd",,$A$2,"."&amp;G$135&amp;G$1&amp;"P"&amp;$A159))</f>
        <v>0</v>
      </c>
      <c r="H159" s="56">
        <f ca="1">IF(RTD("tos.rtd",,$A$2,"."&amp;H$135&amp;H$1&amp;"C"&amp;$A159)="N/A",0,RTD("tos.rtd",,$A$2,"."&amp;H$135&amp;H$1&amp;"C"&amp;$A159))-IF(RTD("tos.rtd",,$A$2,"."&amp;H$135&amp;H$1&amp;"P"&amp;$A159)="N/A",0,RTD("tos.rtd",,$A$2,"."&amp;H$135&amp;H$1&amp;"P"&amp;$A159))</f>
        <v>0</v>
      </c>
      <c r="I159" s="56">
        <f ca="1">IF(RTD("tos.rtd",,$A$2,"."&amp;I$135&amp;I$1&amp;"C"&amp;$A159)="N/A",0,RTD("tos.rtd",,$A$2,"."&amp;I$135&amp;I$1&amp;"C"&amp;$A159))-IF(RTD("tos.rtd",,$A$2,"."&amp;I$135&amp;I$1&amp;"P"&amp;$A159)="N/A",0,RTD("tos.rtd",,$A$2,"."&amp;I$135&amp;I$1&amp;"P"&amp;$A159))</f>
        <v>0</v>
      </c>
      <c r="J159" s="56">
        <f ca="1">IF(RTD("tos.rtd",,$A$2,"."&amp;J$135&amp;J$1&amp;"C"&amp;$A159)="N/A",0,RTD("tos.rtd",,$A$2,"."&amp;J$135&amp;J$1&amp;"C"&amp;$A159))-IF(RTD("tos.rtd",,$A$2,"."&amp;J$135&amp;J$1&amp;"P"&amp;$A159)="N/A",0,RTD("tos.rtd",,$A$2,"."&amp;J$135&amp;J$1&amp;"P"&amp;$A159))</f>
        <v>0</v>
      </c>
      <c r="K159" s="56">
        <f ca="1">IF(RTD("tos.rtd",,$A$2,"."&amp;K$135&amp;K$1&amp;"C"&amp;$A159)="N/A",0,RTD("tos.rtd",,$A$2,"."&amp;K$135&amp;K$1&amp;"C"&amp;$A159))-IF(RTD("tos.rtd",,$A$2,"."&amp;K$135&amp;K$1&amp;"P"&amp;$A159)="N/A",0,RTD("tos.rtd",,$A$2,"."&amp;K$135&amp;K$1&amp;"P"&amp;$A159))</f>
        <v>-1</v>
      </c>
      <c r="L159" s="56">
        <f ca="1">IF(RTD("tos.rtd",,$A$2,"."&amp;L$135&amp;L$1&amp;"C"&amp;$A159)="N/A",0,RTD("tos.rtd",,$A$2,"."&amp;L$135&amp;L$1&amp;"C"&amp;$A159))-IF(RTD("tos.rtd",,$A$2,"."&amp;L$135&amp;L$1&amp;"P"&amp;$A159)="N/A",0,RTD("tos.rtd",,$A$2,"."&amp;L$135&amp;L$1&amp;"P"&amp;$A159))</f>
        <v>0</v>
      </c>
      <c r="M159" s="56">
        <f ca="1">IF(RTD("tos.rtd",,$A$2,"."&amp;M$135&amp;M$1&amp;"C"&amp;$A159)="N/A",0,RTD("tos.rtd",,$A$2,"."&amp;M$135&amp;M$1&amp;"C"&amp;$A159))-IF(RTD("tos.rtd",,$A$2,"."&amp;M$135&amp;M$1&amp;"P"&amp;$A159)="N/A",0,RTD("tos.rtd",,$A$2,"."&amp;M$135&amp;M$1&amp;"P"&amp;$A159))</f>
        <v>0</v>
      </c>
      <c r="N159" s="56">
        <f ca="1">IF(RTD("tos.rtd",,$A$2,"."&amp;N$135&amp;N$1&amp;"C"&amp;$A159)="N/A",0,RTD("tos.rtd",,$A$2,"."&amp;N$135&amp;N$1&amp;"C"&amp;$A159))-IF(RTD("tos.rtd",,$A$2,"."&amp;N$135&amp;N$1&amp;"P"&amp;$A159)="N/A",0,RTD("tos.rtd",,$A$2,"."&amp;N$135&amp;N$1&amp;"P"&amp;$A159))</f>
        <v>0</v>
      </c>
      <c r="O159" s="56">
        <f ca="1">IF(RTD("tos.rtd",,$A$2,"."&amp;O$135&amp;O$1&amp;"C"&amp;$A159)="N/A",0,RTD("tos.rtd",,$A$2,"."&amp;O$135&amp;O$1&amp;"C"&amp;$A159))-IF(RTD("tos.rtd",,$A$2,"."&amp;O$135&amp;O$1&amp;"P"&amp;$A159)="N/A",0,RTD("tos.rtd",,$A$2,"."&amp;O$135&amp;O$1&amp;"P"&amp;$A159))</f>
        <v>0</v>
      </c>
      <c r="P159" s="56">
        <f ca="1">IF(RTD("tos.rtd",,$A$2,"."&amp;P$135&amp;P$1&amp;"C"&amp;$A159)="N/A",0,RTD("tos.rtd",,$A$2,"."&amp;P$135&amp;P$1&amp;"C"&amp;$A159))-IF(RTD("tos.rtd",,$A$2,"."&amp;P$135&amp;P$1&amp;"P"&amp;$A159)="N/A",0,RTD("tos.rtd",,$A$2,"."&amp;P$135&amp;P$1&amp;"P"&amp;$A159))</f>
        <v>0</v>
      </c>
      <c r="Q159" s="56">
        <f ca="1">IF(RTD("tos.rtd",,$A$2,"."&amp;Q$135&amp;Q$1&amp;"C"&amp;$A159)="N/A",0,RTD("tos.rtd",,$A$2,"."&amp;Q$135&amp;Q$1&amp;"C"&amp;$A159))-IF(RTD("tos.rtd",,$A$2,"."&amp;Q$135&amp;Q$1&amp;"P"&amp;$A159)="N/A",0,RTD("tos.rtd",,$A$2,"."&amp;Q$135&amp;Q$1&amp;"P"&amp;$A159))</f>
        <v>0</v>
      </c>
      <c r="R159" s="56">
        <f ca="1">IF(RTD("tos.rtd",,$A$2,"."&amp;R$135&amp;R$1&amp;"C"&amp;$A159)="N/A",0,RTD("tos.rtd",,$A$2,"."&amp;R$135&amp;R$1&amp;"C"&amp;$A159))-IF(RTD("tos.rtd",,$A$2,"."&amp;R$135&amp;R$1&amp;"P"&amp;$A159)="N/A",0,RTD("tos.rtd",,$A$2,"."&amp;R$135&amp;R$1&amp;"P"&amp;$A159))</f>
        <v>0</v>
      </c>
      <c r="S159" s="56">
        <f ca="1">IF(RTD("tos.rtd",,$A$2,"."&amp;S$135&amp;S$1&amp;"C"&amp;$A159)="N/A",0,RTD("tos.rtd",,$A$2,"."&amp;S$135&amp;S$1&amp;"C"&amp;$A159))-IF(RTD("tos.rtd",,$A$2,"."&amp;S$135&amp;S$1&amp;"P"&amp;$A159)="N/A",0,RTD("tos.rtd",,$A$2,"."&amp;S$135&amp;S$1&amp;"P"&amp;$A159))</f>
        <v>0</v>
      </c>
      <c r="T159" s="56">
        <f ca="1">IF(RTD("tos.rtd",,$A$2,"."&amp;T$135&amp;T$1&amp;"C"&amp;$A159)="N/A",0,RTD("tos.rtd",,$A$2,"."&amp;T$135&amp;T$1&amp;"C"&amp;$A159))-IF(RTD("tos.rtd",,$A$2,"."&amp;T$135&amp;T$1&amp;"P"&amp;$A159)="N/A",0,RTD("tos.rtd",,$A$2,"."&amp;T$135&amp;T$1&amp;"P"&amp;$A159))</f>
        <v>0</v>
      </c>
      <c r="U159" s="56">
        <f ca="1">IF(RTD("tos.rtd",,$A$2,"."&amp;U$135&amp;U$1&amp;"C"&amp;$A159)="N/A",0,RTD("tos.rtd",,$A$2,"."&amp;U$135&amp;U$1&amp;"C"&amp;$A159))-IF(RTD("tos.rtd",,$A$2,"."&amp;U$135&amp;U$1&amp;"P"&amp;$A159)="N/A",0,RTD("tos.rtd",,$A$2,"."&amp;U$135&amp;U$1&amp;"P"&amp;$A159))</f>
        <v>0</v>
      </c>
      <c r="V159" s="56">
        <f ca="1">IF(RTD("tos.rtd",,$A$2,"."&amp;V$135&amp;V$1&amp;"C"&amp;$A159)="N/A",0,RTD("tos.rtd",,$A$2,"."&amp;V$135&amp;V$1&amp;"C"&amp;$A159))-IF(RTD("tos.rtd",,$A$2,"."&amp;V$135&amp;V$1&amp;"P"&amp;$A159)="N/A",0,RTD("tos.rtd",,$A$2,"."&amp;V$135&amp;V$1&amp;"P"&amp;$A159))</f>
        <v>0</v>
      </c>
      <c r="W159" s="56">
        <f ca="1">IF(RTD("tos.rtd",,$A$2,"."&amp;W$135&amp;W$1&amp;"C"&amp;$A159)="N/A",0,RTD("tos.rtd",,$A$2,"."&amp;W$135&amp;W$1&amp;"C"&amp;$A159))-IF(RTD("tos.rtd",,$A$2,"."&amp;W$135&amp;W$1&amp;"P"&amp;$A159)="N/A",0,RTD("tos.rtd",,$A$2,"."&amp;W$135&amp;W$1&amp;"P"&amp;$A159))</f>
        <v>0</v>
      </c>
      <c r="X159" s="56">
        <f ca="1">IF(RTD("tos.rtd",,$A$2,"."&amp;X$135&amp;X$1&amp;"C"&amp;$A159)="N/A",0,RTD("tos.rtd",,$A$2,"."&amp;X$135&amp;X$1&amp;"C"&amp;$A159))-IF(RTD("tos.rtd",,$A$2,"."&amp;X$135&amp;X$1&amp;"P"&amp;$A159)="N/A",0,RTD("tos.rtd",,$A$2,"."&amp;X$135&amp;X$1&amp;"P"&amp;$A159))</f>
        <v>0</v>
      </c>
      <c r="Y159" s="63">
        <f t="shared" ca="1" si="16"/>
        <v>-1</v>
      </c>
      <c r="Z159" s="56"/>
      <c r="AA159" s="56"/>
    </row>
    <row r="160" spans="1:27" x14ac:dyDescent="0.25">
      <c r="A160" s="58">
        <f>+Hoja1!A159</f>
        <v>25050</v>
      </c>
      <c r="B160" s="56">
        <f ca="1">IF(RTD("tos.rtd",,$A$2,"."&amp;B$135&amp;B$1&amp;"C"&amp;$A160)="N/A",0,RTD("tos.rtd",,$A$2,"."&amp;B$135&amp;B$1&amp;"C"&amp;$A160))-IF(RTD("tos.rtd",,$A$2,"."&amp;B$135&amp;B$1&amp;"P"&amp;$A160)="N/A",0,RTD("tos.rtd",,$A$2,"."&amp;B$135&amp;B$1&amp;"P"&amp;$A160))</f>
        <v>71</v>
      </c>
      <c r="C160" s="56">
        <f ca="1">IF(RTD("tos.rtd",,$A$2,"."&amp;C$135&amp;C$1&amp;"C"&amp;$A160)="N/A",0,RTD("tos.rtd",,$A$2,"."&amp;C$135&amp;C$1&amp;"C"&amp;$A160))-IF(RTD("tos.rtd",,$A$2,"."&amp;C$135&amp;C$1&amp;"P"&amp;$A160)="N/A",0,RTD("tos.rtd",,$A$2,"."&amp;C$135&amp;C$1&amp;"P"&amp;$A160))</f>
        <v>6</v>
      </c>
      <c r="D160" s="56">
        <f ca="1">IF(RTD("tos.rtd",,$A$2,"."&amp;D$135&amp;D$1&amp;"C"&amp;$A160)="N/A",0,RTD("tos.rtd",,$A$2,"."&amp;D$135&amp;D$1&amp;"C"&amp;$A160))-IF(RTD("tos.rtd",,$A$2,"."&amp;D$135&amp;D$1&amp;"P"&amp;$A160)="N/A",0,RTD("tos.rtd",,$A$2,"."&amp;D$135&amp;D$1&amp;"P"&amp;$A160))</f>
        <v>0</v>
      </c>
      <c r="E160" s="56">
        <f ca="1">IF(RTD("tos.rtd",,$A$2,"."&amp;E$135&amp;E$1&amp;"C"&amp;$A160)="N/A",0,RTD("tos.rtd",,$A$2,"."&amp;E$135&amp;E$1&amp;"C"&amp;$A160))-IF(RTD("tos.rtd",,$A$2,"."&amp;E$135&amp;E$1&amp;"P"&amp;$A160)="N/A",0,RTD("tos.rtd",,$A$2,"."&amp;E$135&amp;E$1&amp;"P"&amp;$A160))</f>
        <v>1</v>
      </c>
      <c r="F160" s="56">
        <f ca="1">IF(RTD("tos.rtd",,$A$2,"."&amp;F$135&amp;F$1&amp;"C"&amp;$A160)="N/A",0,RTD("tos.rtd",,$A$2,"."&amp;F$135&amp;F$1&amp;"C"&amp;$A160))-IF(RTD("tos.rtd",,$A$2,"."&amp;F$135&amp;F$1&amp;"P"&amp;$A160)="N/A",0,RTD("tos.rtd",,$A$2,"."&amp;F$135&amp;F$1&amp;"P"&amp;$A160))</f>
        <v>0</v>
      </c>
      <c r="G160" s="56">
        <f ca="1">IF(RTD("tos.rtd",,$A$2,"."&amp;G$135&amp;G$1&amp;"C"&amp;$A160)="N/A",0,RTD("tos.rtd",,$A$2,"."&amp;G$135&amp;G$1&amp;"C"&amp;$A160))-IF(RTD("tos.rtd",,$A$2,"."&amp;G$135&amp;G$1&amp;"P"&amp;$A160)="N/A",0,RTD("tos.rtd",,$A$2,"."&amp;G$135&amp;G$1&amp;"P"&amp;$A160))</f>
        <v>0</v>
      </c>
      <c r="H160" s="56">
        <f ca="1">IF(RTD("tos.rtd",,$A$2,"."&amp;H$135&amp;H$1&amp;"C"&amp;$A160)="N/A",0,RTD("tos.rtd",,$A$2,"."&amp;H$135&amp;H$1&amp;"C"&amp;$A160))-IF(RTD("tos.rtd",,$A$2,"."&amp;H$135&amp;H$1&amp;"P"&amp;$A160)="N/A",0,RTD("tos.rtd",,$A$2,"."&amp;H$135&amp;H$1&amp;"P"&amp;$A160))</f>
        <v>0</v>
      </c>
      <c r="I160" s="56">
        <f ca="1">IF(RTD("tos.rtd",,$A$2,"."&amp;I$135&amp;I$1&amp;"C"&amp;$A160)="N/A",0,RTD("tos.rtd",,$A$2,"."&amp;I$135&amp;I$1&amp;"C"&amp;$A160))-IF(RTD("tos.rtd",,$A$2,"."&amp;I$135&amp;I$1&amp;"P"&amp;$A160)="N/A",0,RTD("tos.rtd",,$A$2,"."&amp;I$135&amp;I$1&amp;"P"&amp;$A160))</f>
        <v>2</v>
      </c>
      <c r="J160" s="56">
        <f ca="1">IF(RTD("tos.rtd",,$A$2,"."&amp;J$135&amp;J$1&amp;"C"&amp;$A160)="N/A",0,RTD("tos.rtd",,$A$2,"."&amp;J$135&amp;J$1&amp;"C"&amp;$A160))-IF(RTD("tos.rtd",,$A$2,"."&amp;J$135&amp;J$1&amp;"P"&amp;$A160)="N/A",0,RTD("tos.rtd",,$A$2,"."&amp;J$135&amp;J$1&amp;"P"&amp;$A160))</f>
        <v>0</v>
      </c>
      <c r="K160" s="56">
        <f ca="1">IF(RTD("tos.rtd",,$A$2,"."&amp;K$135&amp;K$1&amp;"C"&amp;$A160)="N/A",0,RTD("tos.rtd",,$A$2,"."&amp;K$135&amp;K$1&amp;"C"&amp;$A160))-IF(RTD("tos.rtd",,$A$2,"."&amp;K$135&amp;K$1&amp;"P"&amp;$A160)="N/A",0,RTD("tos.rtd",,$A$2,"."&amp;K$135&amp;K$1&amp;"P"&amp;$A160))</f>
        <v>-2</v>
      </c>
      <c r="L160" s="56">
        <f ca="1">IF(RTD("tos.rtd",,$A$2,"."&amp;L$135&amp;L$1&amp;"C"&amp;$A160)="N/A",0,RTD("tos.rtd",,$A$2,"."&amp;L$135&amp;L$1&amp;"C"&amp;$A160))-IF(RTD("tos.rtd",,$A$2,"."&amp;L$135&amp;L$1&amp;"P"&amp;$A160)="N/A",0,RTD("tos.rtd",,$A$2,"."&amp;L$135&amp;L$1&amp;"P"&amp;$A160))</f>
        <v>0</v>
      </c>
      <c r="M160" s="56">
        <f ca="1">IF(RTD("tos.rtd",,$A$2,"."&amp;M$135&amp;M$1&amp;"C"&amp;$A160)="N/A",0,RTD("tos.rtd",,$A$2,"."&amp;M$135&amp;M$1&amp;"C"&amp;$A160))-IF(RTD("tos.rtd",,$A$2,"."&amp;M$135&amp;M$1&amp;"P"&amp;$A160)="N/A",0,RTD("tos.rtd",,$A$2,"."&amp;M$135&amp;M$1&amp;"P"&amp;$A160))</f>
        <v>0</v>
      </c>
      <c r="N160" s="56">
        <f ca="1">IF(RTD("tos.rtd",,$A$2,"."&amp;N$135&amp;N$1&amp;"C"&amp;$A160)="N/A",0,RTD("tos.rtd",,$A$2,"."&amp;N$135&amp;N$1&amp;"C"&amp;$A160))-IF(RTD("tos.rtd",,$A$2,"."&amp;N$135&amp;N$1&amp;"P"&amp;$A160)="N/A",0,RTD("tos.rtd",,$A$2,"."&amp;N$135&amp;N$1&amp;"P"&amp;$A160))</f>
        <v>0</v>
      </c>
      <c r="O160" s="56">
        <f ca="1">IF(RTD("tos.rtd",,$A$2,"."&amp;O$135&amp;O$1&amp;"C"&amp;$A160)="N/A",0,RTD("tos.rtd",,$A$2,"."&amp;O$135&amp;O$1&amp;"C"&amp;$A160))-IF(RTD("tos.rtd",,$A$2,"."&amp;O$135&amp;O$1&amp;"P"&amp;$A160)="N/A",0,RTD("tos.rtd",,$A$2,"."&amp;O$135&amp;O$1&amp;"P"&amp;$A160))</f>
        <v>0</v>
      </c>
      <c r="P160" s="56">
        <f ca="1">IF(RTD("tos.rtd",,$A$2,"."&amp;P$135&amp;P$1&amp;"C"&amp;$A160)="N/A",0,RTD("tos.rtd",,$A$2,"."&amp;P$135&amp;P$1&amp;"C"&amp;$A160))-IF(RTD("tos.rtd",,$A$2,"."&amp;P$135&amp;P$1&amp;"P"&amp;$A160)="N/A",0,RTD("tos.rtd",,$A$2,"."&amp;P$135&amp;P$1&amp;"P"&amp;$A160))</f>
        <v>0</v>
      </c>
      <c r="Q160" s="56">
        <f ca="1">IF(RTD("tos.rtd",,$A$2,"."&amp;Q$135&amp;Q$1&amp;"C"&amp;$A160)="N/A",0,RTD("tos.rtd",,$A$2,"."&amp;Q$135&amp;Q$1&amp;"C"&amp;$A160))-IF(RTD("tos.rtd",,$A$2,"."&amp;Q$135&amp;Q$1&amp;"P"&amp;$A160)="N/A",0,RTD("tos.rtd",,$A$2,"."&amp;Q$135&amp;Q$1&amp;"P"&amp;$A160))</f>
        <v>0</v>
      </c>
      <c r="R160" s="56">
        <f ca="1">IF(RTD("tos.rtd",,$A$2,"."&amp;R$135&amp;R$1&amp;"C"&amp;$A160)="N/A",0,RTD("tos.rtd",,$A$2,"."&amp;R$135&amp;R$1&amp;"C"&amp;$A160))-IF(RTD("tos.rtd",,$A$2,"."&amp;R$135&amp;R$1&amp;"P"&amp;$A160)="N/A",0,RTD("tos.rtd",,$A$2,"."&amp;R$135&amp;R$1&amp;"P"&amp;$A160))</f>
        <v>0</v>
      </c>
      <c r="S160" s="56">
        <f ca="1">IF(RTD("tos.rtd",,$A$2,"."&amp;S$135&amp;S$1&amp;"C"&amp;$A160)="N/A",0,RTD("tos.rtd",,$A$2,"."&amp;S$135&amp;S$1&amp;"C"&amp;$A160))-IF(RTD("tos.rtd",,$A$2,"."&amp;S$135&amp;S$1&amp;"P"&amp;$A160)="N/A",0,RTD("tos.rtd",,$A$2,"."&amp;S$135&amp;S$1&amp;"P"&amp;$A160))</f>
        <v>0</v>
      </c>
      <c r="T160" s="56">
        <f ca="1">IF(RTD("tos.rtd",,$A$2,"."&amp;T$135&amp;T$1&amp;"C"&amp;$A160)="N/A",0,RTD("tos.rtd",,$A$2,"."&amp;T$135&amp;T$1&amp;"C"&amp;$A160))-IF(RTD("tos.rtd",,$A$2,"."&amp;T$135&amp;T$1&amp;"P"&amp;$A160)="N/A",0,RTD("tos.rtd",,$A$2,"."&amp;T$135&amp;T$1&amp;"P"&amp;$A160))</f>
        <v>0</v>
      </c>
      <c r="U160" s="56">
        <f ca="1">IF(RTD("tos.rtd",,$A$2,"."&amp;U$135&amp;U$1&amp;"C"&amp;$A160)="N/A",0,RTD("tos.rtd",,$A$2,"."&amp;U$135&amp;U$1&amp;"C"&amp;$A160))-IF(RTD("tos.rtd",,$A$2,"."&amp;U$135&amp;U$1&amp;"P"&amp;$A160)="N/A",0,RTD("tos.rtd",,$A$2,"."&amp;U$135&amp;U$1&amp;"P"&amp;$A160))</f>
        <v>0</v>
      </c>
      <c r="V160" s="56">
        <f ca="1">IF(RTD("tos.rtd",,$A$2,"."&amp;V$135&amp;V$1&amp;"C"&amp;$A160)="N/A",0,RTD("tos.rtd",,$A$2,"."&amp;V$135&amp;V$1&amp;"C"&amp;$A160))-IF(RTD("tos.rtd",,$A$2,"."&amp;V$135&amp;V$1&amp;"P"&amp;$A160)="N/A",0,RTD("tos.rtd",,$A$2,"."&amp;V$135&amp;V$1&amp;"P"&amp;$A160))</f>
        <v>0</v>
      </c>
      <c r="W160" s="56">
        <f ca="1">IF(RTD("tos.rtd",,$A$2,"."&amp;W$135&amp;W$1&amp;"C"&amp;$A160)="N/A",0,RTD("tos.rtd",,$A$2,"."&amp;W$135&amp;W$1&amp;"C"&amp;$A160))-IF(RTD("tos.rtd",,$A$2,"."&amp;W$135&amp;W$1&amp;"P"&amp;$A160)="N/A",0,RTD("tos.rtd",,$A$2,"."&amp;W$135&amp;W$1&amp;"P"&amp;$A160))</f>
        <v>0</v>
      </c>
      <c r="X160" s="56">
        <f ca="1">IF(RTD("tos.rtd",,$A$2,"."&amp;X$135&amp;X$1&amp;"C"&amp;$A160)="N/A",0,RTD("tos.rtd",,$A$2,"."&amp;X$135&amp;X$1&amp;"C"&amp;$A160))-IF(RTD("tos.rtd",,$A$2,"."&amp;X$135&amp;X$1&amp;"P"&amp;$A160)="N/A",0,RTD("tos.rtd",,$A$2,"."&amp;X$135&amp;X$1&amp;"P"&amp;$A160))</f>
        <v>0</v>
      </c>
      <c r="Y160" s="63">
        <f t="shared" ca="1" si="16"/>
        <v>78</v>
      </c>
      <c r="Z160" s="56"/>
      <c r="AA160" s="56"/>
    </row>
    <row r="161" spans="1:27" x14ac:dyDescent="0.25">
      <c r="A161" s="58">
        <f>+Hoja1!A160</f>
        <v>25025</v>
      </c>
      <c r="B161" s="56">
        <f ca="1">IF(RTD("tos.rtd",,$A$2,"."&amp;B$135&amp;B$1&amp;"C"&amp;$A161)="N/A",0,RTD("tos.rtd",,$A$2,"."&amp;B$135&amp;B$1&amp;"C"&amp;$A161))-IF(RTD("tos.rtd",,$A$2,"."&amp;B$135&amp;B$1&amp;"P"&amp;$A161)="N/A",0,RTD("tos.rtd",,$A$2,"."&amp;B$135&amp;B$1&amp;"P"&amp;$A161))</f>
        <v>0</v>
      </c>
      <c r="C161" s="56">
        <f ca="1">IF(RTD("tos.rtd",,$A$2,"."&amp;C$135&amp;C$1&amp;"C"&amp;$A161)="N/A",0,RTD("tos.rtd",,$A$2,"."&amp;C$135&amp;C$1&amp;"C"&amp;$A161))-IF(RTD("tos.rtd",,$A$2,"."&amp;C$135&amp;C$1&amp;"P"&amp;$A161)="N/A",0,RTD("tos.rtd",,$A$2,"."&amp;C$135&amp;C$1&amp;"P"&amp;$A161))</f>
        <v>0</v>
      </c>
      <c r="D161" s="56">
        <f ca="1">IF(RTD("tos.rtd",,$A$2,"."&amp;D$135&amp;D$1&amp;"C"&amp;$A161)="N/A",0,RTD("tos.rtd",,$A$2,"."&amp;D$135&amp;D$1&amp;"C"&amp;$A161))-IF(RTD("tos.rtd",,$A$2,"."&amp;D$135&amp;D$1&amp;"P"&amp;$A161)="N/A",0,RTD("tos.rtd",,$A$2,"."&amp;D$135&amp;D$1&amp;"P"&amp;$A161))</f>
        <v>0</v>
      </c>
      <c r="E161" s="56">
        <f ca="1">IF(RTD("tos.rtd",,$A$2,"."&amp;E$135&amp;E$1&amp;"C"&amp;$A161)="N/A",0,RTD("tos.rtd",,$A$2,"."&amp;E$135&amp;E$1&amp;"C"&amp;$A161))-IF(RTD("tos.rtd",,$A$2,"."&amp;E$135&amp;E$1&amp;"P"&amp;$A161)="N/A",0,RTD("tos.rtd",,$A$2,"."&amp;E$135&amp;E$1&amp;"P"&amp;$A161))</f>
        <v>0</v>
      </c>
      <c r="F161" s="56">
        <f ca="1">IF(RTD("tos.rtd",,$A$2,"."&amp;F$135&amp;F$1&amp;"C"&amp;$A161)="N/A",0,RTD("tos.rtd",,$A$2,"."&amp;F$135&amp;F$1&amp;"C"&amp;$A161))-IF(RTD("tos.rtd",,$A$2,"."&amp;F$135&amp;F$1&amp;"P"&amp;$A161)="N/A",0,RTD("tos.rtd",,$A$2,"."&amp;F$135&amp;F$1&amp;"P"&amp;$A161))</f>
        <v>0</v>
      </c>
      <c r="G161" s="56">
        <f ca="1">IF(RTD("tos.rtd",,$A$2,"."&amp;G$135&amp;G$1&amp;"C"&amp;$A161)="N/A",0,RTD("tos.rtd",,$A$2,"."&amp;G$135&amp;G$1&amp;"C"&amp;$A161))-IF(RTD("tos.rtd",,$A$2,"."&amp;G$135&amp;G$1&amp;"P"&amp;$A161)="N/A",0,RTD("tos.rtd",,$A$2,"."&amp;G$135&amp;G$1&amp;"P"&amp;$A161))</f>
        <v>0</v>
      </c>
      <c r="H161" s="56">
        <f ca="1">IF(RTD("tos.rtd",,$A$2,"."&amp;H$135&amp;H$1&amp;"C"&amp;$A161)="N/A",0,RTD("tos.rtd",,$A$2,"."&amp;H$135&amp;H$1&amp;"C"&amp;$A161))-IF(RTD("tos.rtd",,$A$2,"."&amp;H$135&amp;H$1&amp;"P"&amp;$A161)="N/A",0,RTD("tos.rtd",,$A$2,"."&amp;H$135&amp;H$1&amp;"P"&amp;$A161))</f>
        <v>0</v>
      </c>
      <c r="I161" s="56">
        <f ca="1">IF(RTD("tos.rtd",,$A$2,"."&amp;I$135&amp;I$1&amp;"C"&amp;$A161)="N/A",0,RTD("tos.rtd",,$A$2,"."&amp;I$135&amp;I$1&amp;"C"&amp;$A161))-IF(RTD("tos.rtd",,$A$2,"."&amp;I$135&amp;I$1&amp;"P"&amp;$A161)="N/A",0,RTD("tos.rtd",,$A$2,"."&amp;I$135&amp;I$1&amp;"P"&amp;$A161))</f>
        <v>0</v>
      </c>
      <c r="J161" s="56">
        <f ca="1">IF(RTD("tos.rtd",,$A$2,"."&amp;J$135&amp;J$1&amp;"C"&amp;$A161)="N/A",0,RTD("tos.rtd",,$A$2,"."&amp;J$135&amp;J$1&amp;"C"&amp;$A161))-IF(RTD("tos.rtd",,$A$2,"."&amp;J$135&amp;J$1&amp;"P"&amp;$A161)="N/A",0,RTD("tos.rtd",,$A$2,"."&amp;J$135&amp;J$1&amp;"P"&amp;$A161))</f>
        <v>1</v>
      </c>
      <c r="K161" s="56">
        <f ca="1">IF(RTD("tos.rtd",,$A$2,"."&amp;K$135&amp;K$1&amp;"C"&amp;$A161)="N/A",0,RTD("tos.rtd",,$A$2,"."&amp;K$135&amp;K$1&amp;"C"&amp;$A161))-IF(RTD("tos.rtd",,$A$2,"."&amp;K$135&amp;K$1&amp;"P"&amp;$A161)="N/A",0,RTD("tos.rtd",,$A$2,"."&amp;K$135&amp;K$1&amp;"P"&amp;$A161))</f>
        <v>1</v>
      </c>
      <c r="L161" s="56">
        <f ca="1">IF(RTD("tos.rtd",,$A$2,"."&amp;L$135&amp;L$1&amp;"C"&amp;$A161)="N/A",0,RTD("tos.rtd",,$A$2,"."&amp;L$135&amp;L$1&amp;"C"&amp;$A161))-IF(RTD("tos.rtd",,$A$2,"."&amp;L$135&amp;L$1&amp;"P"&amp;$A161)="N/A",0,RTD("tos.rtd",,$A$2,"."&amp;L$135&amp;L$1&amp;"P"&amp;$A161))</f>
        <v>0</v>
      </c>
      <c r="M161" s="56">
        <f ca="1">IF(RTD("tos.rtd",,$A$2,"."&amp;M$135&amp;M$1&amp;"C"&amp;$A161)="N/A",0,RTD("tos.rtd",,$A$2,"."&amp;M$135&amp;M$1&amp;"C"&amp;$A161))-IF(RTD("tos.rtd",,$A$2,"."&amp;M$135&amp;M$1&amp;"P"&amp;$A161)="N/A",0,RTD("tos.rtd",,$A$2,"."&amp;M$135&amp;M$1&amp;"P"&amp;$A161))</f>
        <v>0</v>
      </c>
      <c r="N161" s="56">
        <f ca="1">IF(RTD("tos.rtd",,$A$2,"."&amp;N$135&amp;N$1&amp;"C"&amp;$A161)="N/A",0,RTD("tos.rtd",,$A$2,"."&amp;N$135&amp;N$1&amp;"C"&amp;$A161))-IF(RTD("tos.rtd",,$A$2,"."&amp;N$135&amp;N$1&amp;"P"&amp;$A161)="N/A",0,RTD("tos.rtd",,$A$2,"."&amp;N$135&amp;N$1&amp;"P"&amp;$A161))</f>
        <v>0</v>
      </c>
      <c r="O161" s="56">
        <f ca="1">IF(RTD("tos.rtd",,$A$2,"."&amp;O$135&amp;O$1&amp;"C"&amp;$A161)="N/A",0,RTD("tos.rtd",,$A$2,"."&amp;O$135&amp;O$1&amp;"C"&amp;$A161))-IF(RTD("tos.rtd",,$A$2,"."&amp;O$135&amp;O$1&amp;"P"&amp;$A161)="N/A",0,RTD("tos.rtd",,$A$2,"."&amp;O$135&amp;O$1&amp;"P"&amp;$A161))</f>
        <v>0</v>
      </c>
      <c r="P161" s="56">
        <f ca="1">IF(RTD("tos.rtd",,$A$2,"."&amp;P$135&amp;P$1&amp;"C"&amp;$A161)="N/A",0,RTD("tos.rtd",,$A$2,"."&amp;P$135&amp;P$1&amp;"C"&amp;$A161))-IF(RTD("tos.rtd",,$A$2,"."&amp;P$135&amp;P$1&amp;"P"&amp;$A161)="N/A",0,RTD("tos.rtd",,$A$2,"."&amp;P$135&amp;P$1&amp;"P"&amp;$A161))</f>
        <v>0</v>
      </c>
      <c r="Q161" s="56">
        <f ca="1">IF(RTD("tos.rtd",,$A$2,"."&amp;Q$135&amp;Q$1&amp;"C"&amp;$A161)="N/A",0,RTD("tos.rtd",,$A$2,"."&amp;Q$135&amp;Q$1&amp;"C"&amp;$A161))-IF(RTD("tos.rtd",,$A$2,"."&amp;Q$135&amp;Q$1&amp;"P"&amp;$A161)="N/A",0,RTD("tos.rtd",,$A$2,"."&amp;Q$135&amp;Q$1&amp;"P"&amp;$A161))</f>
        <v>0</v>
      </c>
      <c r="R161" s="56">
        <f ca="1">IF(RTD("tos.rtd",,$A$2,"."&amp;R$135&amp;R$1&amp;"C"&amp;$A161)="N/A",0,RTD("tos.rtd",,$A$2,"."&amp;R$135&amp;R$1&amp;"C"&amp;$A161))-IF(RTD("tos.rtd",,$A$2,"."&amp;R$135&amp;R$1&amp;"P"&amp;$A161)="N/A",0,RTD("tos.rtd",,$A$2,"."&amp;R$135&amp;R$1&amp;"P"&amp;$A161))</f>
        <v>0</v>
      </c>
      <c r="S161" s="56">
        <f ca="1">IF(RTD("tos.rtd",,$A$2,"."&amp;S$135&amp;S$1&amp;"C"&amp;$A161)="N/A",0,RTD("tos.rtd",,$A$2,"."&amp;S$135&amp;S$1&amp;"C"&amp;$A161))-IF(RTD("tos.rtd",,$A$2,"."&amp;S$135&amp;S$1&amp;"P"&amp;$A161)="N/A",0,RTD("tos.rtd",,$A$2,"."&amp;S$135&amp;S$1&amp;"P"&amp;$A161))</f>
        <v>0</v>
      </c>
      <c r="T161" s="56">
        <f ca="1">IF(RTD("tos.rtd",,$A$2,"."&amp;T$135&amp;T$1&amp;"C"&amp;$A161)="N/A",0,RTD("tos.rtd",,$A$2,"."&amp;T$135&amp;T$1&amp;"C"&amp;$A161))-IF(RTD("tos.rtd",,$A$2,"."&amp;T$135&amp;T$1&amp;"P"&amp;$A161)="N/A",0,RTD("tos.rtd",,$A$2,"."&amp;T$135&amp;T$1&amp;"P"&amp;$A161))</f>
        <v>0</v>
      </c>
      <c r="U161" s="56">
        <f ca="1">IF(RTD("tos.rtd",,$A$2,"."&amp;U$135&amp;U$1&amp;"C"&amp;$A161)="N/A",0,RTD("tos.rtd",,$A$2,"."&amp;U$135&amp;U$1&amp;"C"&amp;$A161))-IF(RTD("tos.rtd",,$A$2,"."&amp;U$135&amp;U$1&amp;"P"&amp;$A161)="N/A",0,RTD("tos.rtd",,$A$2,"."&amp;U$135&amp;U$1&amp;"P"&amp;$A161))</f>
        <v>0</v>
      </c>
      <c r="V161" s="56">
        <f ca="1">IF(RTD("tos.rtd",,$A$2,"."&amp;V$135&amp;V$1&amp;"C"&amp;$A161)="N/A",0,RTD("tos.rtd",,$A$2,"."&amp;V$135&amp;V$1&amp;"C"&amp;$A161))-IF(RTD("tos.rtd",,$A$2,"."&amp;V$135&amp;V$1&amp;"P"&amp;$A161)="N/A",0,RTD("tos.rtd",,$A$2,"."&amp;V$135&amp;V$1&amp;"P"&amp;$A161))</f>
        <v>0</v>
      </c>
      <c r="W161" s="56">
        <f ca="1">IF(RTD("tos.rtd",,$A$2,"."&amp;W$135&amp;W$1&amp;"C"&amp;$A161)="N/A",0,RTD("tos.rtd",,$A$2,"."&amp;W$135&amp;W$1&amp;"C"&amp;$A161))-IF(RTD("tos.rtd",,$A$2,"."&amp;W$135&amp;W$1&amp;"P"&amp;$A161)="N/A",0,RTD("tos.rtd",,$A$2,"."&amp;W$135&amp;W$1&amp;"P"&amp;$A161))</f>
        <v>0</v>
      </c>
      <c r="X161" s="56">
        <f ca="1">IF(RTD("tos.rtd",,$A$2,"."&amp;X$135&amp;X$1&amp;"C"&amp;$A161)="N/A",0,RTD("tos.rtd",,$A$2,"."&amp;X$135&amp;X$1&amp;"C"&amp;$A161))-IF(RTD("tos.rtd",,$A$2,"."&amp;X$135&amp;X$1&amp;"P"&amp;$A161)="N/A",0,RTD("tos.rtd",,$A$2,"."&amp;X$135&amp;X$1&amp;"P"&amp;$A161))</f>
        <v>0</v>
      </c>
      <c r="Y161" s="63">
        <f t="shared" ca="1" si="16"/>
        <v>2</v>
      </c>
      <c r="Z161" s="56"/>
      <c r="AA161" s="56"/>
    </row>
    <row r="162" spans="1:27" x14ac:dyDescent="0.25">
      <c r="A162" s="58">
        <f>+Hoja1!A161</f>
        <v>25000</v>
      </c>
      <c r="B162" s="56">
        <f ca="1">IF(RTD("tos.rtd",,$A$2,"."&amp;B$135&amp;B$1&amp;"C"&amp;$A162)="N/A",0,RTD("tos.rtd",,$A$2,"."&amp;B$135&amp;B$1&amp;"C"&amp;$A162))-IF(RTD("tos.rtd",,$A$2,"."&amp;B$135&amp;B$1&amp;"P"&amp;$A162)="N/A",0,RTD("tos.rtd",,$A$2,"."&amp;B$135&amp;B$1&amp;"P"&amp;$A162))</f>
        <v>-148</v>
      </c>
      <c r="C162" s="56">
        <f ca="1">IF(RTD("tos.rtd",,$A$2,"."&amp;C$135&amp;C$1&amp;"C"&amp;$A162)="N/A",0,RTD("tos.rtd",,$A$2,"."&amp;C$135&amp;C$1&amp;"C"&amp;$A162))-IF(RTD("tos.rtd",,$A$2,"."&amp;C$135&amp;C$1&amp;"P"&amp;$A162)="N/A",0,RTD("tos.rtd",,$A$2,"."&amp;C$135&amp;C$1&amp;"P"&amp;$A162))</f>
        <v>35</v>
      </c>
      <c r="D162" s="56">
        <f ca="1">IF(RTD("tos.rtd",,$A$2,"."&amp;D$135&amp;D$1&amp;"C"&amp;$A162)="N/A",0,RTD("tos.rtd",,$A$2,"."&amp;D$135&amp;D$1&amp;"C"&amp;$A162))-IF(RTD("tos.rtd",,$A$2,"."&amp;D$135&amp;D$1&amp;"P"&amp;$A162)="N/A",0,RTD("tos.rtd",,$A$2,"."&amp;D$135&amp;D$1&amp;"P"&amp;$A162))</f>
        <v>409</v>
      </c>
      <c r="E162" s="56">
        <f ca="1">IF(RTD("tos.rtd",,$A$2,"."&amp;E$135&amp;E$1&amp;"C"&amp;$A162)="N/A",0,RTD("tos.rtd",,$A$2,"."&amp;E$135&amp;E$1&amp;"C"&amp;$A162))-IF(RTD("tos.rtd",,$A$2,"."&amp;E$135&amp;E$1&amp;"P"&amp;$A162)="N/A",0,RTD("tos.rtd",,$A$2,"."&amp;E$135&amp;E$1&amp;"P"&amp;$A162))</f>
        <v>11</v>
      </c>
      <c r="F162" s="56">
        <f ca="1">IF(RTD("tos.rtd",,$A$2,"."&amp;F$135&amp;F$1&amp;"C"&amp;$A162)="N/A",0,RTD("tos.rtd",,$A$2,"."&amp;F$135&amp;F$1&amp;"C"&amp;$A162))-IF(RTD("tos.rtd",,$A$2,"."&amp;F$135&amp;F$1&amp;"P"&amp;$A162)="N/A",0,RTD("tos.rtd",,$A$2,"."&amp;F$135&amp;F$1&amp;"P"&amp;$A162))</f>
        <v>0</v>
      </c>
      <c r="G162" s="56">
        <f ca="1">IF(RTD("tos.rtd",,$A$2,"."&amp;G$135&amp;G$1&amp;"C"&amp;$A162)="N/A",0,RTD("tos.rtd",,$A$2,"."&amp;G$135&amp;G$1&amp;"C"&amp;$A162))-IF(RTD("tos.rtd",,$A$2,"."&amp;G$135&amp;G$1&amp;"P"&amp;$A162)="N/A",0,RTD("tos.rtd",,$A$2,"."&amp;G$135&amp;G$1&amp;"P"&amp;$A162))</f>
        <v>0</v>
      </c>
      <c r="H162" s="56">
        <f ca="1">IF(RTD("tos.rtd",,$A$2,"."&amp;H$135&amp;H$1&amp;"C"&amp;$A162)="N/A",0,RTD("tos.rtd",,$A$2,"."&amp;H$135&amp;H$1&amp;"C"&amp;$A162))-IF(RTD("tos.rtd",,$A$2,"."&amp;H$135&amp;H$1&amp;"P"&amp;$A162)="N/A",0,RTD("tos.rtd",,$A$2,"."&amp;H$135&amp;H$1&amp;"P"&amp;$A162))</f>
        <v>0</v>
      </c>
      <c r="I162" s="56">
        <f ca="1">IF(RTD("tos.rtd",,$A$2,"."&amp;I$135&amp;I$1&amp;"C"&amp;$A162)="N/A",0,RTD("tos.rtd",,$A$2,"."&amp;I$135&amp;I$1&amp;"C"&amp;$A162))-IF(RTD("tos.rtd",,$A$2,"."&amp;I$135&amp;I$1&amp;"P"&amp;$A162)="N/A",0,RTD("tos.rtd",,$A$2,"."&amp;I$135&amp;I$1&amp;"P"&amp;$A162))</f>
        <v>1</v>
      </c>
      <c r="J162" s="56">
        <f ca="1">IF(RTD("tos.rtd",,$A$2,"."&amp;J$135&amp;J$1&amp;"C"&amp;$A162)="N/A",0,RTD("tos.rtd",,$A$2,"."&amp;J$135&amp;J$1&amp;"C"&amp;$A162))-IF(RTD("tos.rtd",,$A$2,"."&amp;J$135&amp;J$1&amp;"P"&amp;$A162)="N/A",0,RTD("tos.rtd",,$A$2,"."&amp;J$135&amp;J$1&amp;"P"&amp;$A162))</f>
        <v>1</v>
      </c>
      <c r="K162" s="56">
        <f ca="1">IF(RTD("tos.rtd",,$A$2,"."&amp;K$135&amp;K$1&amp;"C"&amp;$A162)="N/A",0,RTD("tos.rtd",,$A$2,"."&amp;K$135&amp;K$1&amp;"C"&amp;$A162))-IF(RTD("tos.rtd",,$A$2,"."&amp;K$135&amp;K$1&amp;"P"&amp;$A162)="N/A",0,RTD("tos.rtd",,$A$2,"."&amp;K$135&amp;K$1&amp;"P"&amp;$A162))</f>
        <v>8</v>
      </c>
      <c r="L162" s="56">
        <f ca="1">IF(RTD("tos.rtd",,$A$2,"."&amp;L$135&amp;L$1&amp;"C"&amp;$A162)="N/A",0,RTD("tos.rtd",,$A$2,"."&amp;L$135&amp;L$1&amp;"C"&amp;$A162))-IF(RTD("tos.rtd",,$A$2,"."&amp;L$135&amp;L$1&amp;"P"&amp;$A162)="N/A",0,RTD("tos.rtd",,$A$2,"."&amp;L$135&amp;L$1&amp;"P"&amp;$A162))</f>
        <v>0</v>
      </c>
      <c r="M162" s="56">
        <f ca="1">IF(RTD("tos.rtd",,$A$2,"."&amp;M$135&amp;M$1&amp;"C"&amp;$A162)="N/A",0,RTD("tos.rtd",,$A$2,"."&amp;M$135&amp;M$1&amp;"C"&amp;$A162))-IF(RTD("tos.rtd",,$A$2,"."&amp;M$135&amp;M$1&amp;"P"&amp;$A162)="N/A",0,RTD("tos.rtd",,$A$2,"."&amp;M$135&amp;M$1&amp;"P"&amp;$A162))</f>
        <v>0</v>
      </c>
      <c r="N162" s="56">
        <f ca="1">IF(RTD("tos.rtd",,$A$2,"."&amp;N$135&amp;N$1&amp;"C"&amp;$A162)="N/A",0,RTD("tos.rtd",,$A$2,"."&amp;N$135&amp;N$1&amp;"C"&amp;$A162))-IF(RTD("tos.rtd",,$A$2,"."&amp;N$135&amp;N$1&amp;"P"&amp;$A162)="N/A",0,RTD("tos.rtd",,$A$2,"."&amp;N$135&amp;N$1&amp;"P"&amp;$A162))</f>
        <v>0</v>
      </c>
      <c r="O162" s="56">
        <f ca="1">IF(RTD("tos.rtd",,$A$2,"."&amp;O$135&amp;O$1&amp;"C"&amp;$A162)="N/A",0,RTD("tos.rtd",,$A$2,"."&amp;O$135&amp;O$1&amp;"C"&amp;$A162))-IF(RTD("tos.rtd",,$A$2,"."&amp;O$135&amp;O$1&amp;"P"&amp;$A162)="N/A",0,RTD("tos.rtd",,$A$2,"."&amp;O$135&amp;O$1&amp;"P"&amp;$A162))</f>
        <v>0</v>
      </c>
      <c r="P162" s="56">
        <f ca="1">IF(RTD("tos.rtd",,$A$2,"."&amp;P$135&amp;P$1&amp;"C"&amp;$A162)="N/A",0,RTD("tos.rtd",,$A$2,"."&amp;P$135&amp;P$1&amp;"C"&amp;$A162))-IF(RTD("tos.rtd",,$A$2,"."&amp;P$135&amp;P$1&amp;"P"&amp;$A162)="N/A",0,RTD("tos.rtd",,$A$2,"."&amp;P$135&amp;P$1&amp;"P"&amp;$A162))</f>
        <v>0</v>
      </c>
      <c r="Q162" s="56">
        <f ca="1">IF(RTD("tos.rtd",,$A$2,"."&amp;Q$135&amp;Q$1&amp;"C"&amp;$A162)="N/A",0,RTD("tos.rtd",,$A$2,"."&amp;Q$135&amp;Q$1&amp;"C"&amp;$A162))-IF(RTD("tos.rtd",,$A$2,"."&amp;Q$135&amp;Q$1&amp;"P"&amp;$A162)="N/A",0,RTD("tos.rtd",,$A$2,"."&amp;Q$135&amp;Q$1&amp;"P"&amp;$A162))</f>
        <v>0</v>
      </c>
      <c r="R162" s="56">
        <f ca="1">IF(RTD("tos.rtd",,$A$2,"."&amp;R$135&amp;R$1&amp;"C"&amp;$A162)="N/A",0,RTD("tos.rtd",,$A$2,"."&amp;R$135&amp;R$1&amp;"C"&amp;$A162))-IF(RTD("tos.rtd",,$A$2,"."&amp;R$135&amp;R$1&amp;"P"&amp;$A162)="N/A",0,RTD("tos.rtd",,$A$2,"."&amp;R$135&amp;R$1&amp;"P"&amp;$A162))</f>
        <v>0</v>
      </c>
      <c r="S162" s="56">
        <f ca="1">IF(RTD("tos.rtd",,$A$2,"."&amp;S$135&amp;S$1&amp;"C"&amp;$A162)="N/A",0,RTD("tos.rtd",,$A$2,"."&amp;S$135&amp;S$1&amp;"C"&amp;$A162))-IF(RTD("tos.rtd",,$A$2,"."&amp;S$135&amp;S$1&amp;"P"&amp;$A162)="N/A",0,RTD("tos.rtd",,$A$2,"."&amp;S$135&amp;S$1&amp;"P"&amp;$A162))</f>
        <v>0</v>
      </c>
      <c r="T162" s="56">
        <f ca="1">IF(RTD("tos.rtd",,$A$2,"."&amp;T$135&amp;T$1&amp;"C"&amp;$A162)="N/A",0,RTD("tos.rtd",,$A$2,"."&amp;T$135&amp;T$1&amp;"C"&amp;$A162))-IF(RTD("tos.rtd",,$A$2,"."&amp;T$135&amp;T$1&amp;"P"&amp;$A162)="N/A",0,RTD("tos.rtd",,$A$2,"."&amp;T$135&amp;T$1&amp;"P"&amp;$A162))</f>
        <v>0</v>
      </c>
      <c r="U162" s="56">
        <f ca="1">IF(RTD("tos.rtd",,$A$2,"."&amp;U$135&amp;U$1&amp;"C"&amp;$A162)="N/A",0,RTD("tos.rtd",,$A$2,"."&amp;U$135&amp;U$1&amp;"C"&amp;$A162))-IF(RTD("tos.rtd",,$A$2,"."&amp;U$135&amp;U$1&amp;"P"&amp;$A162)="N/A",0,RTD("tos.rtd",,$A$2,"."&amp;U$135&amp;U$1&amp;"P"&amp;$A162))</f>
        <v>0</v>
      </c>
      <c r="V162" s="56">
        <f ca="1">IF(RTD("tos.rtd",,$A$2,"."&amp;V$135&amp;V$1&amp;"C"&amp;$A162)="N/A",0,RTD("tos.rtd",,$A$2,"."&amp;V$135&amp;V$1&amp;"C"&amp;$A162))-IF(RTD("tos.rtd",,$A$2,"."&amp;V$135&amp;V$1&amp;"P"&amp;$A162)="N/A",0,RTD("tos.rtd",,$A$2,"."&amp;V$135&amp;V$1&amp;"P"&amp;$A162))</f>
        <v>0</v>
      </c>
      <c r="W162" s="56">
        <f ca="1">IF(RTD("tos.rtd",,$A$2,"."&amp;W$135&amp;W$1&amp;"C"&amp;$A162)="N/A",0,RTD("tos.rtd",,$A$2,"."&amp;W$135&amp;W$1&amp;"C"&amp;$A162))-IF(RTD("tos.rtd",,$A$2,"."&amp;W$135&amp;W$1&amp;"P"&amp;$A162)="N/A",0,RTD("tos.rtd",,$A$2,"."&amp;W$135&amp;W$1&amp;"P"&amp;$A162))</f>
        <v>0</v>
      </c>
      <c r="X162" s="56">
        <f ca="1">IF(RTD("tos.rtd",,$A$2,"."&amp;X$135&amp;X$1&amp;"C"&amp;$A162)="N/A",0,RTD("tos.rtd",,$A$2,"."&amp;X$135&amp;X$1&amp;"C"&amp;$A162))-IF(RTD("tos.rtd",,$A$2,"."&amp;X$135&amp;X$1&amp;"P"&amp;$A162)="N/A",0,RTD("tos.rtd",,$A$2,"."&amp;X$135&amp;X$1&amp;"P"&amp;$A162))</f>
        <v>0</v>
      </c>
      <c r="Y162" s="63">
        <f t="shared" ca="1" si="16"/>
        <v>317</v>
      </c>
      <c r="Z162" s="56"/>
      <c r="AA162" s="56"/>
    </row>
    <row r="163" spans="1:27" x14ac:dyDescent="0.25">
      <c r="A163" s="58">
        <f>+Hoja1!A162</f>
        <v>24975</v>
      </c>
      <c r="B163" s="56">
        <f ca="1">IF(RTD("tos.rtd",,$A$2,"."&amp;B$135&amp;B$1&amp;"C"&amp;$A163)="N/A",0,RTD("tos.rtd",,$A$2,"."&amp;B$135&amp;B$1&amp;"C"&amp;$A163))-IF(RTD("tos.rtd",,$A$2,"."&amp;B$135&amp;B$1&amp;"P"&amp;$A163)="N/A",0,RTD("tos.rtd",,$A$2,"."&amp;B$135&amp;B$1&amp;"P"&amp;$A163))</f>
        <v>0</v>
      </c>
      <c r="C163" s="56">
        <f ca="1">IF(RTD("tos.rtd",,$A$2,"."&amp;C$135&amp;C$1&amp;"C"&amp;$A163)="N/A",0,RTD("tos.rtd",,$A$2,"."&amp;C$135&amp;C$1&amp;"C"&amp;$A163))-IF(RTD("tos.rtd",,$A$2,"."&amp;C$135&amp;C$1&amp;"P"&amp;$A163)="N/A",0,RTD("tos.rtd",,$A$2,"."&amp;C$135&amp;C$1&amp;"P"&amp;$A163))</f>
        <v>0</v>
      </c>
      <c r="D163" s="56">
        <f ca="1">IF(RTD("tos.rtd",,$A$2,"."&amp;D$135&amp;D$1&amp;"C"&amp;$A163)="N/A",0,RTD("tos.rtd",,$A$2,"."&amp;D$135&amp;D$1&amp;"C"&amp;$A163))-IF(RTD("tos.rtd",,$A$2,"."&amp;D$135&amp;D$1&amp;"P"&amp;$A163)="N/A",0,RTD("tos.rtd",,$A$2,"."&amp;D$135&amp;D$1&amp;"P"&amp;$A163))</f>
        <v>0</v>
      </c>
      <c r="E163" s="56">
        <f ca="1">IF(RTD("tos.rtd",,$A$2,"."&amp;E$135&amp;E$1&amp;"C"&amp;$A163)="N/A",0,RTD("tos.rtd",,$A$2,"."&amp;E$135&amp;E$1&amp;"C"&amp;$A163))-IF(RTD("tos.rtd",,$A$2,"."&amp;E$135&amp;E$1&amp;"P"&amp;$A163)="N/A",0,RTD("tos.rtd",,$A$2,"."&amp;E$135&amp;E$1&amp;"P"&amp;$A163))</f>
        <v>0</v>
      </c>
      <c r="F163" s="56">
        <f ca="1">IF(RTD("tos.rtd",,$A$2,"."&amp;F$135&amp;F$1&amp;"C"&amp;$A163)="N/A",0,RTD("tos.rtd",,$A$2,"."&amp;F$135&amp;F$1&amp;"C"&amp;$A163))-IF(RTD("tos.rtd",,$A$2,"."&amp;F$135&amp;F$1&amp;"P"&amp;$A163)="N/A",0,RTD("tos.rtd",,$A$2,"."&amp;F$135&amp;F$1&amp;"P"&amp;$A163))</f>
        <v>0</v>
      </c>
      <c r="G163" s="56">
        <f ca="1">IF(RTD("tos.rtd",,$A$2,"."&amp;G$135&amp;G$1&amp;"C"&amp;$A163)="N/A",0,RTD("tos.rtd",,$A$2,"."&amp;G$135&amp;G$1&amp;"C"&amp;$A163))-IF(RTD("tos.rtd",,$A$2,"."&amp;G$135&amp;G$1&amp;"P"&amp;$A163)="N/A",0,RTD("tos.rtd",,$A$2,"."&amp;G$135&amp;G$1&amp;"P"&amp;$A163))</f>
        <v>0</v>
      </c>
      <c r="H163" s="56">
        <f ca="1">IF(RTD("tos.rtd",,$A$2,"."&amp;H$135&amp;H$1&amp;"C"&amp;$A163)="N/A",0,RTD("tos.rtd",,$A$2,"."&amp;H$135&amp;H$1&amp;"C"&amp;$A163))-IF(RTD("tos.rtd",,$A$2,"."&amp;H$135&amp;H$1&amp;"P"&amp;$A163)="N/A",0,RTD("tos.rtd",,$A$2,"."&amp;H$135&amp;H$1&amp;"P"&amp;$A163))</f>
        <v>0</v>
      </c>
      <c r="I163" s="56">
        <f ca="1">IF(RTD("tos.rtd",,$A$2,"."&amp;I$135&amp;I$1&amp;"C"&amp;$A163)="N/A",0,RTD("tos.rtd",,$A$2,"."&amp;I$135&amp;I$1&amp;"C"&amp;$A163))-IF(RTD("tos.rtd",,$A$2,"."&amp;I$135&amp;I$1&amp;"P"&amp;$A163)="N/A",0,RTD("tos.rtd",,$A$2,"."&amp;I$135&amp;I$1&amp;"P"&amp;$A163))</f>
        <v>-1</v>
      </c>
      <c r="J163" s="56">
        <f ca="1">IF(RTD("tos.rtd",,$A$2,"."&amp;J$135&amp;J$1&amp;"C"&amp;$A163)="N/A",0,RTD("tos.rtd",,$A$2,"."&amp;J$135&amp;J$1&amp;"C"&amp;$A163))-IF(RTD("tos.rtd",,$A$2,"."&amp;J$135&amp;J$1&amp;"P"&amp;$A163)="N/A",0,RTD("tos.rtd",,$A$2,"."&amp;J$135&amp;J$1&amp;"P"&amp;$A163))</f>
        <v>0</v>
      </c>
      <c r="K163" s="56">
        <f ca="1">IF(RTD("tos.rtd",,$A$2,"."&amp;K$135&amp;K$1&amp;"C"&amp;$A163)="N/A",0,RTD("tos.rtd",,$A$2,"."&amp;K$135&amp;K$1&amp;"C"&amp;$A163))-IF(RTD("tos.rtd",,$A$2,"."&amp;K$135&amp;K$1&amp;"P"&amp;$A163)="N/A",0,RTD("tos.rtd",,$A$2,"."&amp;K$135&amp;K$1&amp;"P"&amp;$A163))</f>
        <v>0</v>
      </c>
      <c r="L163" s="56">
        <f ca="1">IF(RTD("tos.rtd",,$A$2,"."&amp;L$135&amp;L$1&amp;"C"&amp;$A163)="N/A",0,RTD("tos.rtd",,$A$2,"."&amp;L$135&amp;L$1&amp;"C"&amp;$A163))-IF(RTD("tos.rtd",,$A$2,"."&amp;L$135&amp;L$1&amp;"P"&amp;$A163)="N/A",0,RTD("tos.rtd",,$A$2,"."&amp;L$135&amp;L$1&amp;"P"&amp;$A163))</f>
        <v>0</v>
      </c>
      <c r="M163" s="56">
        <f ca="1">IF(RTD("tos.rtd",,$A$2,"."&amp;M$135&amp;M$1&amp;"C"&amp;$A163)="N/A",0,RTD("tos.rtd",,$A$2,"."&amp;M$135&amp;M$1&amp;"C"&amp;$A163))-IF(RTD("tos.rtd",,$A$2,"."&amp;M$135&amp;M$1&amp;"P"&amp;$A163)="N/A",0,RTD("tos.rtd",,$A$2,"."&amp;M$135&amp;M$1&amp;"P"&amp;$A163))</f>
        <v>0</v>
      </c>
      <c r="N163" s="56">
        <f ca="1">IF(RTD("tos.rtd",,$A$2,"."&amp;N$135&amp;N$1&amp;"C"&amp;$A163)="N/A",0,RTD("tos.rtd",,$A$2,"."&amp;N$135&amp;N$1&amp;"C"&amp;$A163))-IF(RTD("tos.rtd",,$A$2,"."&amp;N$135&amp;N$1&amp;"P"&amp;$A163)="N/A",0,RTD("tos.rtd",,$A$2,"."&amp;N$135&amp;N$1&amp;"P"&amp;$A163))</f>
        <v>0</v>
      </c>
      <c r="O163" s="56">
        <f ca="1">IF(RTD("tos.rtd",,$A$2,"."&amp;O$135&amp;O$1&amp;"C"&amp;$A163)="N/A",0,RTD("tos.rtd",,$A$2,"."&amp;O$135&amp;O$1&amp;"C"&amp;$A163))-IF(RTD("tos.rtd",,$A$2,"."&amp;O$135&amp;O$1&amp;"P"&amp;$A163)="N/A",0,RTD("tos.rtd",,$A$2,"."&amp;O$135&amp;O$1&amp;"P"&amp;$A163))</f>
        <v>0</v>
      </c>
      <c r="P163" s="56">
        <f ca="1">IF(RTD("tos.rtd",,$A$2,"."&amp;P$135&amp;P$1&amp;"C"&amp;$A163)="N/A",0,RTD("tos.rtd",,$A$2,"."&amp;P$135&amp;P$1&amp;"C"&amp;$A163))-IF(RTD("tos.rtd",,$A$2,"."&amp;P$135&amp;P$1&amp;"P"&amp;$A163)="N/A",0,RTD("tos.rtd",,$A$2,"."&amp;P$135&amp;P$1&amp;"P"&amp;$A163))</f>
        <v>0</v>
      </c>
      <c r="Q163" s="56">
        <f ca="1">IF(RTD("tos.rtd",,$A$2,"."&amp;Q$135&amp;Q$1&amp;"C"&amp;$A163)="N/A",0,RTD("tos.rtd",,$A$2,"."&amp;Q$135&amp;Q$1&amp;"C"&amp;$A163))-IF(RTD("tos.rtd",,$A$2,"."&amp;Q$135&amp;Q$1&amp;"P"&amp;$A163)="N/A",0,RTD("tos.rtd",,$A$2,"."&amp;Q$135&amp;Q$1&amp;"P"&amp;$A163))</f>
        <v>0</v>
      </c>
      <c r="R163" s="56">
        <f ca="1">IF(RTD("tos.rtd",,$A$2,"."&amp;R$135&amp;R$1&amp;"C"&amp;$A163)="N/A",0,RTD("tos.rtd",,$A$2,"."&amp;R$135&amp;R$1&amp;"C"&amp;$A163))-IF(RTD("tos.rtd",,$A$2,"."&amp;R$135&amp;R$1&amp;"P"&amp;$A163)="N/A",0,RTD("tos.rtd",,$A$2,"."&amp;R$135&amp;R$1&amp;"P"&amp;$A163))</f>
        <v>0</v>
      </c>
      <c r="S163" s="56">
        <f ca="1">IF(RTD("tos.rtd",,$A$2,"."&amp;S$135&amp;S$1&amp;"C"&amp;$A163)="N/A",0,RTD("tos.rtd",,$A$2,"."&amp;S$135&amp;S$1&amp;"C"&amp;$A163))-IF(RTD("tos.rtd",,$A$2,"."&amp;S$135&amp;S$1&amp;"P"&amp;$A163)="N/A",0,RTD("tos.rtd",,$A$2,"."&amp;S$135&amp;S$1&amp;"P"&amp;$A163))</f>
        <v>0</v>
      </c>
      <c r="T163" s="56">
        <f ca="1">IF(RTD("tos.rtd",,$A$2,"."&amp;T$135&amp;T$1&amp;"C"&amp;$A163)="N/A",0,RTD("tos.rtd",,$A$2,"."&amp;T$135&amp;T$1&amp;"C"&amp;$A163))-IF(RTD("tos.rtd",,$A$2,"."&amp;T$135&amp;T$1&amp;"P"&amp;$A163)="N/A",0,RTD("tos.rtd",,$A$2,"."&amp;T$135&amp;T$1&amp;"P"&amp;$A163))</f>
        <v>0</v>
      </c>
      <c r="U163" s="56">
        <f ca="1">IF(RTD("tos.rtd",,$A$2,"."&amp;U$135&amp;U$1&amp;"C"&amp;$A163)="N/A",0,RTD("tos.rtd",,$A$2,"."&amp;U$135&amp;U$1&amp;"C"&amp;$A163))-IF(RTD("tos.rtd",,$A$2,"."&amp;U$135&amp;U$1&amp;"P"&amp;$A163)="N/A",0,RTD("tos.rtd",,$A$2,"."&amp;U$135&amp;U$1&amp;"P"&amp;$A163))</f>
        <v>0</v>
      </c>
      <c r="V163" s="56">
        <f ca="1">IF(RTD("tos.rtd",,$A$2,"."&amp;V$135&amp;V$1&amp;"C"&amp;$A163)="N/A",0,RTD("tos.rtd",,$A$2,"."&amp;V$135&amp;V$1&amp;"C"&amp;$A163))-IF(RTD("tos.rtd",,$A$2,"."&amp;V$135&amp;V$1&amp;"P"&amp;$A163)="N/A",0,RTD("tos.rtd",,$A$2,"."&amp;V$135&amp;V$1&amp;"P"&amp;$A163))</f>
        <v>0</v>
      </c>
      <c r="W163" s="56">
        <f ca="1">IF(RTD("tos.rtd",,$A$2,"."&amp;W$135&amp;W$1&amp;"C"&amp;$A163)="N/A",0,RTD("tos.rtd",,$A$2,"."&amp;W$135&amp;W$1&amp;"C"&amp;$A163))-IF(RTD("tos.rtd",,$A$2,"."&amp;W$135&amp;W$1&amp;"P"&amp;$A163)="N/A",0,RTD("tos.rtd",,$A$2,"."&amp;W$135&amp;W$1&amp;"P"&amp;$A163))</f>
        <v>0</v>
      </c>
      <c r="X163" s="56">
        <f ca="1">IF(RTD("tos.rtd",,$A$2,"."&amp;X$135&amp;X$1&amp;"C"&amp;$A163)="N/A",0,RTD("tos.rtd",,$A$2,"."&amp;X$135&amp;X$1&amp;"C"&amp;$A163))-IF(RTD("tos.rtd",,$A$2,"."&amp;X$135&amp;X$1&amp;"P"&amp;$A163)="N/A",0,RTD("tos.rtd",,$A$2,"."&amp;X$135&amp;X$1&amp;"P"&amp;$A163))</f>
        <v>0</v>
      </c>
      <c r="Y163" s="63">
        <f t="shared" ca="1" si="16"/>
        <v>-1</v>
      </c>
      <c r="Z163" s="56"/>
      <c r="AA163" s="56"/>
    </row>
    <row r="164" spans="1:27" x14ac:dyDescent="0.25">
      <c r="A164" s="58">
        <f>+Hoja1!A163</f>
        <v>24950</v>
      </c>
      <c r="B164" s="56">
        <f ca="1">IF(RTD("tos.rtd",,$A$2,"."&amp;B$135&amp;B$1&amp;"C"&amp;$A164)="N/A",0,RTD("tos.rtd",,$A$2,"."&amp;B$135&amp;B$1&amp;"C"&amp;$A164))-IF(RTD("tos.rtd",,$A$2,"."&amp;B$135&amp;B$1&amp;"P"&amp;$A164)="N/A",0,RTD("tos.rtd",,$A$2,"."&amp;B$135&amp;B$1&amp;"P"&amp;$A164))</f>
        <v>-1</v>
      </c>
      <c r="C164" s="56">
        <f ca="1">IF(RTD("tos.rtd",,$A$2,"."&amp;C$135&amp;C$1&amp;"C"&amp;$A164)="N/A",0,RTD("tos.rtd",,$A$2,"."&amp;C$135&amp;C$1&amp;"C"&amp;$A164))-IF(RTD("tos.rtd",,$A$2,"."&amp;C$135&amp;C$1&amp;"P"&amp;$A164)="N/A",0,RTD("tos.rtd",,$A$2,"."&amp;C$135&amp;C$1&amp;"P"&amp;$A164))</f>
        <v>3</v>
      </c>
      <c r="D164" s="56">
        <f ca="1">IF(RTD("tos.rtd",,$A$2,"."&amp;D$135&amp;D$1&amp;"C"&amp;$A164)="N/A",0,RTD("tos.rtd",,$A$2,"."&amp;D$135&amp;D$1&amp;"C"&amp;$A164))-IF(RTD("tos.rtd",,$A$2,"."&amp;D$135&amp;D$1&amp;"P"&amp;$A164)="N/A",0,RTD("tos.rtd",,$A$2,"."&amp;D$135&amp;D$1&amp;"P"&amp;$A164))</f>
        <v>-1</v>
      </c>
      <c r="E164" s="56">
        <f ca="1">IF(RTD("tos.rtd",,$A$2,"."&amp;E$135&amp;E$1&amp;"C"&amp;$A164)="N/A",0,RTD("tos.rtd",,$A$2,"."&amp;E$135&amp;E$1&amp;"C"&amp;$A164))-IF(RTD("tos.rtd",,$A$2,"."&amp;E$135&amp;E$1&amp;"P"&amp;$A164)="N/A",0,RTD("tos.rtd",,$A$2,"."&amp;E$135&amp;E$1&amp;"P"&amp;$A164))</f>
        <v>0</v>
      </c>
      <c r="F164" s="56">
        <f ca="1">IF(RTD("tos.rtd",,$A$2,"."&amp;F$135&amp;F$1&amp;"C"&amp;$A164)="N/A",0,RTD("tos.rtd",,$A$2,"."&amp;F$135&amp;F$1&amp;"C"&amp;$A164))-IF(RTD("tos.rtd",,$A$2,"."&amp;F$135&amp;F$1&amp;"P"&amp;$A164)="N/A",0,RTD("tos.rtd",,$A$2,"."&amp;F$135&amp;F$1&amp;"P"&amp;$A164))</f>
        <v>0</v>
      </c>
      <c r="G164" s="56">
        <f ca="1">IF(RTD("tos.rtd",,$A$2,"."&amp;G$135&amp;G$1&amp;"C"&amp;$A164)="N/A",0,RTD("tos.rtd",,$A$2,"."&amp;G$135&amp;G$1&amp;"C"&amp;$A164))-IF(RTD("tos.rtd",,$A$2,"."&amp;G$135&amp;G$1&amp;"P"&amp;$A164)="N/A",0,RTD("tos.rtd",,$A$2,"."&amp;G$135&amp;G$1&amp;"P"&amp;$A164))</f>
        <v>0</v>
      </c>
      <c r="H164" s="56">
        <f ca="1">IF(RTD("tos.rtd",,$A$2,"."&amp;H$135&amp;H$1&amp;"C"&amp;$A164)="N/A",0,RTD("tos.rtd",,$A$2,"."&amp;H$135&amp;H$1&amp;"C"&amp;$A164))-IF(RTD("tos.rtd",,$A$2,"."&amp;H$135&amp;H$1&amp;"P"&amp;$A164)="N/A",0,RTD("tos.rtd",,$A$2,"."&amp;H$135&amp;H$1&amp;"P"&amp;$A164))</f>
        <v>0</v>
      </c>
      <c r="I164" s="56">
        <f ca="1">IF(RTD("tos.rtd",,$A$2,"."&amp;I$135&amp;I$1&amp;"C"&amp;$A164)="N/A",0,RTD("tos.rtd",,$A$2,"."&amp;I$135&amp;I$1&amp;"C"&amp;$A164))-IF(RTD("tos.rtd",,$A$2,"."&amp;I$135&amp;I$1&amp;"P"&amp;$A164)="N/A",0,RTD("tos.rtd",,$A$2,"."&amp;I$135&amp;I$1&amp;"P"&amp;$A164))</f>
        <v>-1</v>
      </c>
      <c r="J164" s="56">
        <f ca="1">IF(RTD("tos.rtd",,$A$2,"."&amp;J$135&amp;J$1&amp;"C"&amp;$A164)="N/A",0,RTD("tos.rtd",,$A$2,"."&amp;J$135&amp;J$1&amp;"C"&amp;$A164))-IF(RTD("tos.rtd",,$A$2,"."&amp;J$135&amp;J$1&amp;"P"&amp;$A164)="N/A",0,RTD("tos.rtd",,$A$2,"."&amp;J$135&amp;J$1&amp;"P"&amp;$A164))</f>
        <v>0</v>
      </c>
      <c r="K164" s="56">
        <f ca="1">IF(RTD("tos.rtd",,$A$2,"."&amp;K$135&amp;K$1&amp;"C"&amp;$A164)="N/A",0,RTD("tos.rtd",,$A$2,"."&amp;K$135&amp;K$1&amp;"C"&amp;$A164))-IF(RTD("tos.rtd",,$A$2,"."&amp;K$135&amp;K$1&amp;"P"&amp;$A164)="N/A",0,RTD("tos.rtd",,$A$2,"."&amp;K$135&amp;K$1&amp;"P"&amp;$A164))</f>
        <v>0</v>
      </c>
      <c r="L164" s="56">
        <f ca="1">IF(RTD("tos.rtd",,$A$2,"."&amp;L$135&amp;L$1&amp;"C"&amp;$A164)="N/A",0,RTD("tos.rtd",,$A$2,"."&amp;L$135&amp;L$1&amp;"C"&amp;$A164))-IF(RTD("tos.rtd",,$A$2,"."&amp;L$135&amp;L$1&amp;"P"&amp;$A164)="N/A",0,RTD("tos.rtd",,$A$2,"."&amp;L$135&amp;L$1&amp;"P"&amp;$A164))</f>
        <v>0</v>
      </c>
      <c r="M164" s="56">
        <f ca="1">IF(RTD("tos.rtd",,$A$2,"."&amp;M$135&amp;M$1&amp;"C"&amp;$A164)="N/A",0,RTD("tos.rtd",,$A$2,"."&amp;M$135&amp;M$1&amp;"C"&amp;$A164))-IF(RTD("tos.rtd",,$A$2,"."&amp;M$135&amp;M$1&amp;"P"&amp;$A164)="N/A",0,RTD("tos.rtd",,$A$2,"."&amp;M$135&amp;M$1&amp;"P"&amp;$A164))</f>
        <v>0</v>
      </c>
      <c r="N164" s="56">
        <f ca="1">IF(RTD("tos.rtd",,$A$2,"."&amp;N$135&amp;N$1&amp;"C"&amp;$A164)="N/A",0,RTD("tos.rtd",,$A$2,"."&amp;N$135&amp;N$1&amp;"C"&amp;$A164))-IF(RTD("tos.rtd",,$A$2,"."&amp;N$135&amp;N$1&amp;"P"&amp;$A164)="N/A",0,RTD("tos.rtd",,$A$2,"."&amp;N$135&amp;N$1&amp;"P"&amp;$A164))</f>
        <v>0</v>
      </c>
      <c r="O164" s="56">
        <f ca="1">IF(RTD("tos.rtd",,$A$2,"."&amp;O$135&amp;O$1&amp;"C"&amp;$A164)="N/A",0,RTD("tos.rtd",,$A$2,"."&amp;O$135&amp;O$1&amp;"C"&amp;$A164))-IF(RTD("tos.rtd",,$A$2,"."&amp;O$135&amp;O$1&amp;"P"&amp;$A164)="N/A",0,RTD("tos.rtd",,$A$2,"."&amp;O$135&amp;O$1&amp;"P"&amp;$A164))</f>
        <v>0</v>
      </c>
      <c r="P164" s="56">
        <f ca="1">IF(RTD("tos.rtd",,$A$2,"."&amp;P$135&amp;P$1&amp;"C"&amp;$A164)="N/A",0,RTD("tos.rtd",,$A$2,"."&amp;P$135&amp;P$1&amp;"C"&amp;$A164))-IF(RTD("tos.rtd",,$A$2,"."&amp;P$135&amp;P$1&amp;"P"&amp;$A164)="N/A",0,RTD("tos.rtd",,$A$2,"."&amp;P$135&amp;P$1&amp;"P"&amp;$A164))</f>
        <v>0</v>
      </c>
      <c r="Q164" s="56">
        <f ca="1">IF(RTD("tos.rtd",,$A$2,"."&amp;Q$135&amp;Q$1&amp;"C"&amp;$A164)="N/A",0,RTD("tos.rtd",,$A$2,"."&amp;Q$135&amp;Q$1&amp;"C"&amp;$A164))-IF(RTD("tos.rtd",,$A$2,"."&amp;Q$135&amp;Q$1&amp;"P"&amp;$A164)="N/A",0,RTD("tos.rtd",,$A$2,"."&amp;Q$135&amp;Q$1&amp;"P"&amp;$A164))</f>
        <v>0</v>
      </c>
      <c r="R164" s="56">
        <f ca="1">IF(RTD("tos.rtd",,$A$2,"."&amp;R$135&amp;R$1&amp;"C"&amp;$A164)="N/A",0,RTD("tos.rtd",,$A$2,"."&amp;R$135&amp;R$1&amp;"C"&amp;$A164))-IF(RTD("tos.rtd",,$A$2,"."&amp;R$135&amp;R$1&amp;"P"&amp;$A164)="N/A",0,RTD("tos.rtd",,$A$2,"."&amp;R$135&amp;R$1&amp;"P"&amp;$A164))</f>
        <v>0</v>
      </c>
      <c r="S164" s="56">
        <f ca="1">IF(RTD("tos.rtd",,$A$2,"."&amp;S$135&amp;S$1&amp;"C"&amp;$A164)="N/A",0,RTD("tos.rtd",,$A$2,"."&amp;S$135&amp;S$1&amp;"C"&amp;$A164))-IF(RTD("tos.rtd",,$A$2,"."&amp;S$135&amp;S$1&amp;"P"&amp;$A164)="N/A",0,RTD("tos.rtd",,$A$2,"."&amp;S$135&amp;S$1&amp;"P"&amp;$A164))</f>
        <v>0</v>
      </c>
      <c r="T164" s="56">
        <f ca="1">IF(RTD("tos.rtd",,$A$2,"."&amp;T$135&amp;T$1&amp;"C"&amp;$A164)="N/A",0,RTD("tos.rtd",,$A$2,"."&amp;T$135&amp;T$1&amp;"C"&amp;$A164))-IF(RTD("tos.rtd",,$A$2,"."&amp;T$135&amp;T$1&amp;"P"&amp;$A164)="N/A",0,RTD("tos.rtd",,$A$2,"."&amp;T$135&amp;T$1&amp;"P"&amp;$A164))</f>
        <v>0</v>
      </c>
      <c r="U164" s="56">
        <f ca="1">IF(RTD("tos.rtd",,$A$2,"."&amp;U$135&amp;U$1&amp;"C"&amp;$A164)="N/A",0,RTD("tos.rtd",,$A$2,"."&amp;U$135&amp;U$1&amp;"C"&amp;$A164))-IF(RTD("tos.rtd",,$A$2,"."&amp;U$135&amp;U$1&amp;"P"&amp;$A164)="N/A",0,RTD("tos.rtd",,$A$2,"."&amp;U$135&amp;U$1&amp;"P"&amp;$A164))</f>
        <v>0</v>
      </c>
      <c r="V164" s="56">
        <f ca="1">IF(RTD("tos.rtd",,$A$2,"."&amp;V$135&amp;V$1&amp;"C"&amp;$A164)="N/A",0,RTD("tos.rtd",,$A$2,"."&amp;V$135&amp;V$1&amp;"C"&amp;$A164))-IF(RTD("tos.rtd",,$A$2,"."&amp;V$135&amp;V$1&amp;"P"&amp;$A164)="N/A",0,RTD("tos.rtd",,$A$2,"."&amp;V$135&amp;V$1&amp;"P"&amp;$A164))</f>
        <v>0</v>
      </c>
      <c r="W164" s="56">
        <f ca="1">IF(RTD("tos.rtd",,$A$2,"."&amp;W$135&amp;W$1&amp;"C"&amp;$A164)="N/A",0,RTD("tos.rtd",,$A$2,"."&amp;W$135&amp;W$1&amp;"C"&amp;$A164))-IF(RTD("tos.rtd",,$A$2,"."&amp;W$135&amp;W$1&amp;"P"&amp;$A164)="N/A",0,RTD("tos.rtd",,$A$2,"."&amp;W$135&amp;W$1&amp;"P"&amp;$A164))</f>
        <v>0</v>
      </c>
      <c r="X164" s="56">
        <f ca="1">IF(RTD("tos.rtd",,$A$2,"."&amp;X$135&amp;X$1&amp;"C"&amp;$A164)="N/A",0,RTD("tos.rtd",,$A$2,"."&amp;X$135&amp;X$1&amp;"C"&amp;$A164))-IF(RTD("tos.rtd",,$A$2,"."&amp;X$135&amp;X$1&amp;"P"&amp;$A164)="N/A",0,RTD("tos.rtd",,$A$2,"."&amp;X$135&amp;X$1&amp;"P"&amp;$A164))</f>
        <v>0</v>
      </c>
      <c r="Y164" s="63">
        <f t="shared" ca="1" si="16"/>
        <v>0</v>
      </c>
      <c r="Z164" s="56"/>
      <c r="AA164" s="56"/>
    </row>
    <row r="165" spans="1:27" x14ac:dyDescent="0.25">
      <c r="A165" s="58">
        <f>+Hoja1!A164</f>
        <v>24925</v>
      </c>
      <c r="B165" s="56">
        <f ca="1">IF(RTD("tos.rtd",,$A$2,"."&amp;B$135&amp;B$1&amp;"C"&amp;$A165)="N/A",0,RTD("tos.rtd",,$A$2,"."&amp;B$135&amp;B$1&amp;"C"&amp;$A165))-IF(RTD("tos.rtd",,$A$2,"."&amp;B$135&amp;B$1&amp;"P"&amp;$A165)="N/A",0,RTD("tos.rtd",,$A$2,"."&amp;B$135&amp;B$1&amp;"P"&amp;$A165))</f>
        <v>0</v>
      </c>
      <c r="C165" s="56">
        <f ca="1">IF(RTD("tos.rtd",,$A$2,"."&amp;C$135&amp;C$1&amp;"C"&amp;$A165)="N/A",0,RTD("tos.rtd",,$A$2,"."&amp;C$135&amp;C$1&amp;"C"&amp;$A165))-IF(RTD("tos.rtd",,$A$2,"."&amp;C$135&amp;C$1&amp;"P"&amp;$A165)="N/A",0,RTD("tos.rtd",,$A$2,"."&amp;C$135&amp;C$1&amp;"P"&amp;$A165))</f>
        <v>0</v>
      </c>
      <c r="D165" s="56">
        <f ca="1">IF(RTD("tos.rtd",,$A$2,"."&amp;D$135&amp;D$1&amp;"C"&amp;$A165)="N/A",0,RTD("tos.rtd",,$A$2,"."&amp;D$135&amp;D$1&amp;"C"&amp;$A165))-IF(RTD("tos.rtd",,$A$2,"."&amp;D$135&amp;D$1&amp;"P"&amp;$A165)="N/A",0,RTD("tos.rtd",,$A$2,"."&amp;D$135&amp;D$1&amp;"P"&amp;$A165))</f>
        <v>0</v>
      </c>
      <c r="E165" s="56">
        <f ca="1">IF(RTD("tos.rtd",,$A$2,"."&amp;E$135&amp;E$1&amp;"C"&amp;$A165)="N/A",0,RTD("tos.rtd",,$A$2,"."&amp;E$135&amp;E$1&amp;"C"&amp;$A165))-IF(RTD("tos.rtd",,$A$2,"."&amp;E$135&amp;E$1&amp;"P"&amp;$A165)="N/A",0,RTD("tos.rtd",,$A$2,"."&amp;E$135&amp;E$1&amp;"P"&amp;$A165))</f>
        <v>0</v>
      </c>
      <c r="F165" s="56">
        <f ca="1">IF(RTD("tos.rtd",,$A$2,"."&amp;F$135&amp;F$1&amp;"C"&amp;$A165)="N/A",0,RTD("tos.rtd",,$A$2,"."&amp;F$135&amp;F$1&amp;"C"&amp;$A165))-IF(RTD("tos.rtd",,$A$2,"."&amp;F$135&amp;F$1&amp;"P"&amp;$A165)="N/A",0,RTD("tos.rtd",,$A$2,"."&amp;F$135&amp;F$1&amp;"P"&amp;$A165))</f>
        <v>0</v>
      </c>
      <c r="G165" s="56">
        <f ca="1">IF(RTD("tos.rtd",,$A$2,"."&amp;G$135&amp;G$1&amp;"C"&amp;$A165)="N/A",0,RTD("tos.rtd",,$A$2,"."&amp;G$135&amp;G$1&amp;"C"&amp;$A165))-IF(RTD("tos.rtd",,$A$2,"."&amp;G$135&amp;G$1&amp;"P"&amp;$A165)="N/A",0,RTD("tos.rtd",,$A$2,"."&amp;G$135&amp;G$1&amp;"P"&amp;$A165))</f>
        <v>0</v>
      </c>
      <c r="H165" s="56">
        <f ca="1">IF(RTD("tos.rtd",,$A$2,"."&amp;H$135&amp;H$1&amp;"C"&amp;$A165)="N/A",0,RTD("tos.rtd",,$A$2,"."&amp;H$135&amp;H$1&amp;"C"&amp;$A165))-IF(RTD("tos.rtd",,$A$2,"."&amp;H$135&amp;H$1&amp;"P"&amp;$A165)="N/A",0,RTD("tos.rtd",,$A$2,"."&amp;H$135&amp;H$1&amp;"P"&amp;$A165))</f>
        <v>0</v>
      </c>
      <c r="I165" s="56">
        <f ca="1">IF(RTD("tos.rtd",,$A$2,"."&amp;I$135&amp;I$1&amp;"C"&amp;$A165)="N/A",0,RTD("tos.rtd",,$A$2,"."&amp;I$135&amp;I$1&amp;"C"&amp;$A165))-IF(RTD("tos.rtd",,$A$2,"."&amp;I$135&amp;I$1&amp;"P"&amp;$A165)="N/A",0,RTD("tos.rtd",,$A$2,"."&amp;I$135&amp;I$1&amp;"P"&amp;$A165))</f>
        <v>0</v>
      </c>
      <c r="J165" s="56">
        <f ca="1">IF(RTD("tos.rtd",,$A$2,"."&amp;J$135&amp;J$1&amp;"C"&amp;$A165)="N/A",0,RTD("tos.rtd",,$A$2,"."&amp;J$135&amp;J$1&amp;"C"&amp;$A165))-IF(RTD("tos.rtd",,$A$2,"."&amp;J$135&amp;J$1&amp;"P"&amp;$A165)="N/A",0,RTD("tos.rtd",,$A$2,"."&amp;J$135&amp;J$1&amp;"P"&amp;$A165))</f>
        <v>0</v>
      </c>
      <c r="K165" s="56">
        <f ca="1">IF(RTD("tos.rtd",,$A$2,"."&amp;K$135&amp;K$1&amp;"C"&amp;$A165)="N/A",0,RTD("tos.rtd",,$A$2,"."&amp;K$135&amp;K$1&amp;"C"&amp;$A165))-IF(RTD("tos.rtd",,$A$2,"."&amp;K$135&amp;K$1&amp;"P"&amp;$A165)="N/A",0,RTD("tos.rtd",,$A$2,"."&amp;K$135&amp;K$1&amp;"P"&amp;$A165))</f>
        <v>-1</v>
      </c>
      <c r="L165" s="56">
        <f ca="1">IF(RTD("tos.rtd",,$A$2,"."&amp;L$135&amp;L$1&amp;"C"&amp;$A165)="N/A",0,RTD("tos.rtd",,$A$2,"."&amp;L$135&amp;L$1&amp;"C"&amp;$A165))-IF(RTD("tos.rtd",,$A$2,"."&amp;L$135&amp;L$1&amp;"P"&amp;$A165)="N/A",0,RTD("tos.rtd",,$A$2,"."&amp;L$135&amp;L$1&amp;"P"&amp;$A165))</f>
        <v>0</v>
      </c>
      <c r="M165" s="56">
        <f ca="1">IF(RTD("tos.rtd",,$A$2,"."&amp;M$135&amp;M$1&amp;"C"&amp;$A165)="N/A",0,RTD("tos.rtd",,$A$2,"."&amp;M$135&amp;M$1&amp;"C"&amp;$A165))-IF(RTD("tos.rtd",,$A$2,"."&amp;M$135&amp;M$1&amp;"P"&amp;$A165)="N/A",0,RTD("tos.rtd",,$A$2,"."&amp;M$135&amp;M$1&amp;"P"&amp;$A165))</f>
        <v>0</v>
      </c>
      <c r="N165" s="56">
        <f ca="1">IF(RTD("tos.rtd",,$A$2,"."&amp;N$135&amp;N$1&amp;"C"&amp;$A165)="N/A",0,RTD("tos.rtd",,$A$2,"."&amp;N$135&amp;N$1&amp;"C"&amp;$A165))-IF(RTD("tos.rtd",,$A$2,"."&amp;N$135&amp;N$1&amp;"P"&amp;$A165)="N/A",0,RTD("tos.rtd",,$A$2,"."&amp;N$135&amp;N$1&amp;"P"&amp;$A165))</f>
        <v>0</v>
      </c>
      <c r="O165" s="56">
        <f ca="1">IF(RTD("tos.rtd",,$A$2,"."&amp;O$135&amp;O$1&amp;"C"&amp;$A165)="N/A",0,RTD("tos.rtd",,$A$2,"."&amp;O$135&amp;O$1&amp;"C"&amp;$A165))-IF(RTD("tos.rtd",,$A$2,"."&amp;O$135&amp;O$1&amp;"P"&amp;$A165)="N/A",0,RTD("tos.rtd",,$A$2,"."&amp;O$135&amp;O$1&amp;"P"&amp;$A165))</f>
        <v>0</v>
      </c>
      <c r="P165" s="56">
        <f ca="1">IF(RTD("tos.rtd",,$A$2,"."&amp;P$135&amp;P$1&amp;"C"&amp;$A165)="N/A",0,RTD("tos.rtd",,$A$2,"."&amp;P$135&amp;P$1&amp;"C"&amp;$A165))-IF(RTD("tos.rtd",,$A$2,"."&amp;P$135&amp;P$1&amp;"P"&amp;$A165)="N/A",0,RTD("tos.rtd",,$A$2,"."&amp;P$135&amp;P$1&amp;"P"&amp;$A165))</f>
        <v>0</v>
      </c>
      <c r="Q165" s="56">
        <f ca="1">IF(RTD("tos.rtd",,$A$2,"."&amp;Q$135&amp;Q$1&amp;"C"&amp;$A165)="N/A",0,RTD("tos.rtd",,$A$2,"."&amp;Q$135&amp;Q$1&amp;"C"&amp;$A165))-IF(RTD("tos.rtd",,$A$2,"."&amp;Q$135&amp;Q$1&amp;"P"&amp;$A165)="N/A",0,RTD("tos.rtd",,$A$2,"."&amp;Q$135&amp;Q$1&amp;"P"&amp;$A165))</f>
        <v>0</v>
      </c>
      <c r="R165" s="56">
        <f ca="1">IF(RTD("tos.rtd",,$A$2,"."&amp;R$135&amp;R$1&amp;"C"&amp;$A165)="N/A",0,RTD("tos.rtd",,$A$2,"."&amp;R$135&amp;R$1&amp;"C"&amp;$A165))-IF(RTD("tos.rtd",,$A$2,"."&amp;R$135&amp;R$1&amp;"P"&amp;$A165)="N/A",0,RTD("tos.rtd",,$A$2,"."&amp;R$135&amp;R$1&amp;"P"&amp;$A165))</f>
        <v>0</v>
      </c>
      <c r="S165" s="56">
        <f ca="1">IF(RTD("tos.rtd",,$A$2,"."&amp;S$135&amp;S$1&amp;"C"&amp;$A165)="N/A",0,RTD("tos.rtd",,$A$2,"."&amp;S$135&amp;S$1&amp;"C"&amp;$A165))-IF(RTD("tos.rtd",,$A$2,"."&amp;S$135&amp;S$1&amp;"P"&amp;$A165)="N/A",0,RTD("tos.rtd",,$A$2,"."&amp;S$135&amp;S$1&amp;"P"&amp;$A165))</f>
        <v>0</v>
      </c>
      <c r="T165" s="56">
        <f ca="1">IF(RTD("tos.rtd",,$A$2,"."&amp;T$135&amp;T$1&amp;"C"&amp;$A165)="N/A",0,RTD("tos.rtd",,$A$2,"."&amp;T$135&amp;T$1&amp;"C"&amp;$A165))-IF(RTD("tos.rtd",,$A$2,"."&amp;T$135&amp;T$1&amp;"P"&amp;$A165)="N/A",0,RTD("tos.rtd",,$A$2,"."&amp;T$135&amp;T$1&amp;"P"&amp;$A165))</f>
        <v>0</v>
      </c>
      <c r="U165" s="56">
        <f ca="1">IF(RTD("tos.rtd",,$A$2,"."&amp;U$135&amp;U$1&amp;"C"&amp;$A165)="N/A",0,RTD("tos.rtd",,$A$2,"."&amp;U$135&amp;U$1&amp;"C"&amp;$A165))-IF(RTD("tos.rtd",,$A$2,"."&amp;U$135&amp;U$1&amp;"P"&amp;$A165)="N/A",0,RTD("tos.rtd",,$A$2,"."&amp;U$135&amp;U$1&amp;"P"&amp;$A165))</f>
        <v>0</v>
      </c>
      <c r="V165" s="56">
        <f ca="1">IF(RTD("tos.rtd",,$A$2,"."&amp;V$135&amp;V$1&amp;"C"&amp;$A165)="N/A",0,RTD("tos.rtd",,$A$2,"."&amp;V$135&amp;V$1&amp;"C"&amp;$A165))-IF(RTD("tos.rtd",,$A$2,"."&amp;V$135&amp;V$1&amp;"P"&amp;$A165)="N/A",0,RTD("tos.rtd",,$A$2,"."&amp;V$135&amp;V$1&amp;"P"&amp;$A165))</f>
        <v>0</v>
      </c>
      <c r="W165" s="56">
        <f ca="1">IF(RTD("tos.rtd",,$A$2,"."&amp;W$135&amp;W$1&amp;"C"&amp;$A165)="N/A",0,RTD("tos.rtd",,$A$2,"."&amp;W$135&amp;W$1&amp;"C"&amp;$A165))-IF(RTD("tos.rtd",,$A$2,"."&amp;W$135&amp;W$1&amp;"P"&amp;$A165)="N/A",0,RTD("tos.rtd",,$A$2,"."&amp;W$135&amp;W$1&amp;"P"&amp;$A165))</f>
        <v>0</v>
      </c>
      <c r="X165" s="56">
        <f ca="1">IF(RTD("tos.rtd",,$A$2,"."&amp;X$135&amp;X$1&amp;"C"&amp;$A165)="N/A",0,RTD("tos.rtd",,$A$2,"."&amp;X$135&amp;X$1&amp;"C"&amp;$A165))-IF(RTD("tos.rtd",,$A$2,"."&amp;X$135&amp;X$1&amp;"P"&amp;$A165)="N/A",0,RTD("tos.rtd",,$A$2,"."&amp;X$135&amp;X$1&amp;"P"&amp;$A165))</f>
        <v>0</v>
      </c>
      <c r="Y165" s="63">
        <f t="shared" ca="1" si="16"/>
        <v>-1</v>
      </c>
      <c r="Z165" s="56"/>
      <c r="AA165" s="56"/>
    </row>
    <row r="166" spans="1:27" x14ac:dyDescent="0.25">
      <c r="A166" s="58">
        <f>+Hoja1!A165</f>
        <v>24900</v>
      </c>
      <c r="B166" s="56">
        <f ca="1">IF(RTD("tos.rtd",,$A$2,"."&amp;B$135&amp;B$1&amp;"C"&amp;$A166)="N/A",0,RTD("tos.rtd",,$A$2,"."&amp;B$135&amp;B$1&amp;"C"&amp;$A166))-IF(RTD("tos.rtd",,$A$2,"."&amp;B$135&amp;B$1&amp;"P"&amp;$A166)="N/A",0,RTD("tos.rtd",,$A$2,"."&amp;B$135&amp;B$1&amp;"P"&amp;$A166))</f>
        <v>-173</v>
      </c>
      <c r="C166" s="56">
        <f ca="1">IF(RTD("tos.rtd",,$A$2,"."&amp;C$135&amp;C$1&amp;"C"&amp;$A166)="N/A",0,RTD("tos.rtd",,$A$2,"."&amp;C$135&amp;C$1&amp;"C"&amp;$A166))-IF(RTD("tos.rtd",,$A$2,"."&amp;C$135&amp;C$1&amp;"P"&amp;$A166)="N/A",0,RTD("tos.rtd",,$A$2,"."&amp;C$135&amp;C$1&amp;"P"&amp;$A166))</f>
        <v>-17</v>
      </c>
      <c r="D166" s="56">
        <f ca="1">IF(RTD("tos.rtd",,$A$2,"."&amp;D$135&amp;D$1&amp;"C"&amp;$A166)="N/A",0,RTD("tos.rtd",,$A$2,"."&amp;D$135&amp;D$1&amp;"C"&amp;$A166))-IF(RTD("tos.rtd",,$A$2,"."&amp;D$135&amp;D$1&amp;"P"&amp;$A166)="N/A",0,RTD("tos.rtd",,$A$2,"."&amp;D$135&amp;D$1&amp;"P"&amp;$A166))</f>
        <v>-7</v>
      </c>
      <c r="E166" s="56">
        <f ca="1">IF(RTD("tos.rtd",,$A$2,"."&amp;E$135&amp;E$1&amp;"C"&amp;$A166)="N/A",0,RTD("tos.rtd",,$A$2,"."&amp;E$135&amp;E$1&amp;"C"&amp;$A166))-IF(RTD("tos.rtd",,$A$2,"."&amp;E$135&amp;E$1&amp;"P"&amp;$A166)="N/A",0,RTD("tos.rtd",,$A$2,"."&amp;E$135&amp;E$1&amp;"P"&amp;$A166))</f>
        <v>-1</v>
      </c>
      <c r="F166" s="56">
        <f ca="1">IF(RTD("tos.rtd",,$A$2,"."&amp;F$135&amp;F$1&amp;"C"&amp;$A166)="N/A",0,RTD("tos.rtd",,$A$2,"."&amp;F$135&amp;F$1&amp;"C"&amp;$A166))-IF(RTD("tos.rtd",,$A$2,"."&amp;F$135&amp;F$1&amp;"P"&amp;$A166)="N/A",0,RTD("tos.rtd",,$A$2,"."&amp;F$135&amp;F$1&amp;"P"&amp;$A166))</f>
        <v>0</v>
      </c>
      <c r="G166" s="56">
        <f ca="1">IF(RTD("tos.rtd",,$A$2,"."&amp;G$135&amp;G$1&amp;"C"&amp;$A166)="N/A",0,RTD("tos.rtd",,$A$2,"."&amp;G$135&amp;G$1&amp;"C"&amp;$A166))-IF(RTD("tos.rtd",,$A$2,"."&amp;G$135&amp;G$1&amp;"P"&amp;$A166)="N/A",0,RTD("tos.rtd",,$A$2,"."&amp;G$135&amp;G$1&amp;"P"&amp;$A166))</f>
        <v>0</v>
      </c>
      <c r="H166" s="56">
        <f ca="1">IF(RTD("tos.rtd",,$A$2,"."&amp;H$135&amp;H$1&amp;"C"&amp;$A166)="N/A",0,RTD("tos.rtd",,$A$2,"."&amp;H$135&amp;H$1&amp;"C"&amp;$A166))-IF(RTD("tos.rtd",,$A$2,"."&amp;H$135&amp;H$1&amp;"P"&amp;$A166)="N/A",0,RTD("tos.rtd",,$A$2,"."&amp;H$135&amp;H$1&amp;"P"&amp;$A166))</f>
        <v>0</v>
      </c>
      <c r="I166" s="56">
        <f ca="1">IF(RTD("tos.rtd",,$A$2,"."&amp;I$135&amp;I$1&amp;"C"&amp;$A166)="N/A",0,RTD("tos.rtd",,$A$2,"."&amp;I$135&amp;I$1&amp;"C"&amp;$A166))-IF(RTD("tos.rtd",,$A$2,"."&amp;I$135&amp;I$1&amp;"P"&amp;$A166)="N/A",0,RTD("tos.rtd",,$A$2,"."&amp;I$135&amp;I$1&amp;"P"&amp;$A166))</f>
        <v>-3</v>
      </c>
      <c r="J166" s="56">
        <f ca="1">IF(RTD("tos.rtd",,$A$2,"."&amp;J$135&amp;J$1&amp;"C"&amp;$A166)="N/A",0,RTD("tos.rtd",,$A$2,"."&amp;J$135&amp;J$1&amp;"C"&amp;$A166))-IF(RTD("tos.rtd",,$A$2,"."&amp;J$135&amp;J$1&amp;"P"&amp;$A166)="N/A",0,RTD("tos.rtd",,$A$2,"."&amp;J$135&amp;J$1&amp;"P"&amp;$A166))</f>
        <v>0</v>
      </c>
      <c r="K166" s="56">
        <f ca="1">IF(RTD("tos.rtd",,$A$2,"."&amp;K$135&amp;K$1&amp;"C"&amp;$A166)="N/A",0,RTD("tos.rtd",,$A$2,"."&amp;K$135&amp;K$1&amp;"C"&amp;$A166))-IF(RTD("tos.rtd",,$A$2,"."&amp;K$135&amp;K$1&amp;"P"&amp;$A166)="N/A",0,RTD("tos.rtd",,$A$2,"."&amp;K$135&amp;K$1&amp;"P"&amp;$A166))</f>
        <v>-7</v>
      </c>
      <c r="L166" s="56">
        <f ca="1">IF(RTD("tos.rtd",,$A$2,"."&amp;L$135&amp;L$1&amp;"C"&amp;$A166)="N/A",0,RTD("tos.rtd",,$A$2,"."&amp;L$135&amp;L$1&amp;"C"&amp;$A166))-IF(RTD("tos.rtd",,$A$2,"."&amp;L$135&amp;L$1&amp;"P"&amp;$A166)="N/A",0,RTD("tos.rtd",,$A$2,"."&amp;L$135&amp;L$1&amp;"P"&amp;$A166))</f>
        <v>0</v>
      </c>
      <c r="M166" s="56">
        <f ca="1">IF(RTD("tos.rtd",,$A$2,"."&amp;M$135&amp;M$1&amp;"C"&amp;$A166)="N/A",0,RTD("tos.rtd",,$A$2,"."&amp;M$135&amp;M$1&amp;"C"&amp;$A166))-IF(RTD("tos.rtd",,$A$2,"."&amp;M$135&amp;M$1&amp;"P"&amp;$A166)="N/A",0,RTD("tos.rtd",,$A$2,"."&amp;M$135&amp;M$1&amp;"P"&amp;$A166))</f>
        <v>0</v>
      </c>
      <c r="N166" s="56">
        <f ca="1">IF(RTD("tos.rtd",,$A$2,"."&amp;N$135&amp;N$1&amp;"C"&amp;$A166)="N/A",0,RTD("tos.rtd",,$A$2,"."&amp;N$135&amp;N$1&amp;"C"&amp;$A166))-IF(RTD("tos.rtd",,$A$2,"."&amp;N$135&amp;N$1&amp;"P"&amp;$A166)="N/A",0,RTD("tos.rtd",,$A$2,"."&amp;N$135&amp;N$1&amp;"P"&amp;$A166))</f>
        <v>0</v>
      </c>
      <c r="O166" s="56">
        <f ca="1">IF(RTD("tos.rtd",,$A$2,"."&amp;O$135&amp;O$1&amp;"C"&amp;$A166)="N/A",0,RTD("tos.rtd",,$A$2,"."&amp;O$135&amp;O$1&amp;"C"&amp;$A166))-IF(RTD("tos.rtd",,$A$2,"."&amp;O$135&amp;O$1&amp;"P"&amp;$A166)="N/A",0,RTD("tos.rtd",,$A$2,"."&amp;O$135&amp;O$1&amp;"P"&amp;$A166))</f>
        <v>0</v>
      </c>
      <c r="P166" s="56">
        <f ca="1">IF(RTD("tos.rtd",,$A$2,"."&amp;P$135&amp;P$1&amp;"C"&amp;$A166)="N/A",0,RTD("tos.rtd",,$A$2,"."&amp;P$135&amp;P$1&amp;"C"&amp;$A166))-IF(RTD("tos.rtd",,$A$2,"."&amp;P$135&amp;P$1&amp;"P"&amp;$A166)="N/A",0,RTD("tos.rtd",,$A$2,"."&amp;P$135&amp;P$1&amp;"P"&amp;$A166))</f>
        <v>0</v>
      </c>
      <c r="Q166" s="56">
        <f ca="1">IF(RTD("tos.rtd",,$A$2,"."&amp;Q$135&amp;Q$1&amp;"C"&amp;$A166)="N/A",0,RTD("tos.rtd",,$A$2,"."&amp;Q$135&amp;Q$1&amp;"C"&amp;$A166))-IF(RTD("tos.rtd",,$A$2,"."&amp;Q$135&amp;Q$1&amp;"P"&amp;$A166)="N/A",0,RTD("tos.rtd",,$A$2,"."&amp;Q$135&amp;Q$1&amp;"P"&amp;$A166))</f>
        <v>0</v>
      </c>
      <c r="R166" s="56">
        <f ca="1">IF(RTD("tos.rtd",,$A$2,"."&amp;R$135&amp;R$1&amp;"C"&amp;$A166)="N/A",0,RTD("tos.rtd",,$A$2,"."&amp;R$135&amp;R$1&amp;"C"&amp;$A166))-IF(RTD("tos.rtd",,$A$2,"."&amp;R$135&amp;R$1&amp;"P"&amp;$A166)="N/A",0,RTD("tos.rtd",,$A$2,"."&amp;R$135&amp;R$1&amp;"P"&amp;$A166))</f>
        <v>0</v>
      </c>
      <c r="S166" s="56">
        <f ca="1">IF(RTD("tos.rtd",,$A$2,"."&amp;S$135&amp;S$1&amp;"C"&amp;$A166)="N/A",0,RTD("tos.rtd",,$A$2,"."&amp;S$135&amp;S$1&amp;"C"&amp;$A166))-IF(RTD("tos.rtd",,$A$2,"."&amp;S$135&amp;S$1&amp;"P"&amp;$A166)="N/A",0,RTD("tos.rtd",,$A$2,"."&amp;S$135&amp;S$1&amp;"P"&amp;$A166))</f>
        <v>0</v>
      </c>
      <c r="T166" s="56">
        <f ca="1">IF(RTD("tos.rtd",,$A$2,"."&amp;T$135&amp;T$1&amp;"C"&amp;$A166)="N/A",0,RTD("tos.rtd",,$A$2,"."&amp;T$135&amp;T$1&amp;"C"&amp;$A166))-IF(RTD("tos.rtd",,$A$2,"."&amp;T$135&amp;T$1&amp;"P"&amp;$A166)="N/A",0,RTD("tos.rtd",,$A$2,"."&amp;T$135&amp;T$1&amp;"P"&amp;$A166))</f>
        <v>0</v>
      </c>
      <c r="U166" s="56">
        <f ca="1">IF(RTD("tos.rtd",,$A$2,"."&amp;U$135&amp;U$1&amp;"C"&amp;$A166)="N/A",0,RTD("tos.rtd",,$A$2,"."&amp;U$135&amp;U$1&amp;"C"&amp;$A166))-IF(RTD("tos.rtd",,$A$2,"."&amp;U$135&amp;U$1&amp;"P"&amp;$A166)="N/A",0,RTD("tos.rtd",,$A$2,"."&amp;U$135&amp;U$1&amp;"P"&amp;$A166))</f>
        <v>0</v>
      </c>
      <c r="V166" s="56">
        <f ca="1">IF(RTD("tos.rtd",,$A$2,"."&amp;V$135&amp;V$1&amp;"C"&amp;$A166)="N/A",0,RTD("tos.rtd",,$A$2,"."&amp;V$135&amp;V$1&amp;"C"&amp;$A166))-IF(RTD("tos.rtd",,$A$2,"."&amp;V$135&amp;V$1&amp;"P"&amp;$A166)="N/A",0,RTD("tos.rtd",,$A$2,"."&amp;V$135&amp;V$1&amp;"P"&amp;$A166))</f>
        <v>0</v>
      </c>
      <c r="W166" s="56">
        <f ca="1">IF(RTD("tos.rtd",,$A$2,"."&amp;W$135&amp;W$1&amp;"C"&amp;$A166)="N/A",0,RTD("tos.rtd",,$A$2,"."&amp;W$135&amp;W$1&amp;"C"&amp;$A166))-IF(RTD("tos.rtd",,$A$2,"."&amp;W$135&amp;W$1&amp;"P"&amp;$A166)="N/A",0,RTD("tos.rtd",,$A$2,"."&amp;W$135&amp;W$1&amp;"P"&amp;$A166))</f>
        <v>0</v>
      </c>
      <c r="X166" s="56">
        <f ca="1">IF(RTD("tos.rtd",,$A$2,"."&amp;X$135&amp;X$1&amp;"C"&amp;$A166)="N/A",0,RTD("tos.rtd",,$A$2,"."&amp;X$135&amp;X$1&amp;"C"&amp;$A166))-IF(RTD("tos.rtd",,$A$2,"."&amp;X$135&amp;X$1&amp;"P"&amp;$A166)="N/A",0,RTD("tos.rtd",,$A$2,"."&amp;X$135&amp;X$1&amp;"P"&amp;$A166))</f>
        <v>0</v>
      </c>
      <c r="Y166" s="63">
        <f t="shared" ca="1" si="16"/>
        <v>-208</v>
      </c>
      <c r="Z166" s="56"/>
      <c r="AA166" s="56"/>
    </row>
    <row r="167" spans="1:27" x14ac:dyDescent="0.25">
      <c r="A167" s="58">
        <f>+Hoja1!A166</f>
        <v>24875</v>
      </c>
      <c r="B167" s="56">
        <f ca="1">IF(RTD("tos.rtd",,$A$2,"."&amp;B$135&amp;B$1&amp;"C"&amp;$A167)="N/A",0,RTD("tos.rtd",,$A$2,"."&amp;B$135&amp;B$1&amp;"C"&amp;$A167))-IF(RTD("tos.rtd",,$A$2,"."&amp;B$135&amp;B$1&amp;"P"&amp;$A167)="N/A",0,RTD("tos.rtd",,$A$2,"."&amp;B$135&amp;B$1&amp;"P"&amp;$A167))</f>
        <v>0</v>
      </c>
      <c r="C167" s="56">
        <f ca="1">IF(RTD("tos.rtd",,$A$2,"."&amp;C$135&amp;C$1&amp;"C"&amp;$A167)="N/A",0,RTD("tos.rtd",,$A$2,"."&amp;C$135&amp;C$1&amp;"C"&amp;$A167))-IF(RTD("tos.rtd",,$A$2,"."&amp;C$135&amp;C$1&amp;"P"&amp;$A167)="N/A",0,RTD("tos.rtd",,$A$2,"."&amp;C$135&amp;C$1&amp;"P"&amp;$A167))</f>
        <v>0</v>
      </c>
      <c r="D167" s="56">
        <f ca="1">IF(RTD("tos.rtd",,$A$2,"."&amp;D$135&amp;D$1&amp;"C"&amp;$A167)="N/A",0,RTD("tos.rtd",,$A$2,"."&amp;D$135&amp;D$1&amp;"C"&amp;$A167))-IF(RTD("tos.rtd",,$A$2,"."&amp;D$135&amp;D$1&amp;"P"&amp;$A167)="N/A",0,RTD("tos.rtd",,$A$2,"."&amp;D$135&amp;D$1&amp;"P"&amp;$A167))</f>
        <v>0</v>
      </c>
      <c r="E167" s="56">
        <f ca="1">IF(RTD("tos.rtd",,$A$2,"."&amp;E$135&amp;E$1&amp;"C"&amp;$A167)="N/A",0,RTD("tos.rtd",,$A$2,"."&amp;E$135&amp;E$1&amp;"C"&amp;$A167))-IF(RTD("tos.rtd",,$A$2,"."&amp;E$135&amp;E$1&amp;"P"&amp;$A167)="N/A",0,RTD("tos.rtd",,$A$2,"."&amp;E$135&amp;E$1&amp;"P"&amp;$A167))</f>
        <v>0</v>
      </c>
      <c r="F167" s="56">
        <f ca="1">IF(RTD("tos.rtd",,$A$2,"."&amp;F$135&amp;F$1&amp;"C"&amp;$A167)="N/A",0,RTD("tos.rtd",,$A$2,"."&amp;F$135&amp;F$1&amp;"C"&amp;$A167))-IF(RTD("tos.rtd",,$A$2,"."&amp;F$135&amp;F$1&amp;"P"&amp;$A167)="N/A",0,RTD("tos.rtd",,$A$2,"."&amp;F$135&amp;F$1&amp;"P"&amp;$A167))</f>
        <v>0</v>
      </c>
      <c r="G167" s="56">
        <f ca="1">IF(RTD("tos.rtd",,$A$2,"."&amp;G$135&amp;G$1&amp;"C"&amp;$A167)="N/A",0,RTD("tos.rtd",,$A$2,"."&amp;G$135&amp;G$1&amp;"C"&amp;$A167))-IF(RTD("tos.rtd",,$A$2,"."&amp;G$135&amp;G$1&amp;"P"&amp;$A167)="N/A",0,RTD("tos.rtd",,$A$2,"."&amp;G$135&amp;G$1&amp;"P"&amp;$A167))</f>
        <v>0</v>
      </c>
      <c r="H167" s="56">
        <f ca="1">IF(RTD("tos.rtd",,$A$2,"."&amp;H$135&amp;H$1&amp;"C"&amp;$A167)="N/A",0,RTD("tos.rtd",,$A$2,"."&amp;H$135&amp;H$1&amp;"C"&amp;$A167))-IF(RTD("tos.rtd",,$A$2,"."&amp;H$135&amp;H$1&amp;"P"&amp;$A167)="N/A",0,RTD("tos.rtd",,$A$2,"."&amp;H$135&amp;H$1&amp;"P"&amp;$A167))</f>
        <v>0</v>
      </c>
      <c r="I167" s="56">
        <f ca="1">IF(RTD("tos.rtd",,$A$2,"."&amp;I$135&amp;I$1&amp;"C"&amp;$A167)="N/A",0,RTD("tos.rtd",,$A$2,"."&amp;I$135&amp;I$1&amp;"C"&amp;$A167))-IF(RTD("tos.rtd",,$A$2,"."&amp;I$135&amp;I$1&amp;"P"&amp;$A167)="N/A",0,RTD("tos.rtd",,$A$2,"."&amp;I$135&amp;I$1&amp;"P"&amp;$A167))</f>
        <v>0</v>
      </c>
      <c r="J167" s="56">
        <f ca="1">IF(RTD("tos.rtd",,$A$2,"."&amp;J$135&amp;J$1&amp;"C"&amp;$A167)="N/A",0,RTD("tos.rtd",,$A$2,"."&amp;J$135&amp;J$1&amp;"C"&amp;$A167))-IF(RTD("tos.rtd",,$A$2,"."&amp;J$135&amp;J$1&amp;"P"&amp;$A167)="N/A",0,RTD("tos.rtd",,$A$2,"."&amp;J$135&amp;J$1&amp;"P"&amp;$A167))</f>
        <v>0</v>
      </c>
      <c r="K167" s="56">
        <f ca="1">IF(RTD("tos.rtd",,$A$2,"."&amp;K$135&amp;K$1&amp;"C"&amp;$A167)="N/A",0,RTD("tos.rtd",,$A$2,"."&amp;K$135&amp;K$1&amp;"C"&amp;$A167))-IF(RTD("tos.rtd",,$A$2,"."&amp;K$135&amp;K$1&amp;"P"&amp;$A167)="N/A",0,RTD("tos.rtd",,$A$2,"."&amp;K$135&amp;K$1&amp;"P"&amp;$A167))</f>
        <v>-1</v>
      </c>
      <c r="L167" s="56">
        <f ca="1">IF(RTD("tos.rtd",,$A$2,"."&amp;L$135&amp;L$1&amp;"C"&amp;$A167)="N/A",0,RTD("tos.rtd",,$A$2,"."&amp;L$135&amp;L$1&amp;"C"&amp;$A167))-IF(RTD("tos.rtd",,$A$2,"."&amp;L$135&amp;L$1&amp;"P"&amp;$A167)="N/A",0,RTD("tos.rtd",,$A$2,"."&amp;L$135&amp;L$1&amp;"P"&amp;$A167))</f>
        <v>0</v>
      </c>
      <c r="M167" s="56">
        <f ca="1">IF(RTD("tos.rtd",,$A$2,"."&amp;M$135&amp;M$1&amp;"C"&amp;$A167)="N/A",0,RTD("tos.rtd",,$A$2,"."&amp;M$135&amp;M$1&amp;"C"&amp;$A167))-IF(RTD("tos.rtd",,$A$2,"."&amp;M$135&amp;M$1&amp;"P"&amp;$A167)="N/A",0,RTD("tos.rtd",,$A$2,"."&amp;M$135&amp;M$1&amp;"P"&amp;$A167))</f>
        <v>0</v>
      </c>
      <c r="N167" s="56">
        <f ca="1">IF(RTD("tos.rtd",,$A$2,"."&amp;N$135&amp;N$1&amp;"C"&amp;$A167)="N/A",0,RTD("tos.rtd",,$A$2,"."&amp;N$135&amp;N$1&amp;"C"&amp;$A167))-IF(RTD("tos.rtd",,$A$2,"."&amp;N$135&amp;N$1&amp;"P"&amp;$A167)="N/A",0,RTD("tos.rtd",,$A$2,"."&amp;N$135&amp;N$1&amp;"P"&amp;$A167))</f>
        <v>0</v>
      </c>
      <c r="O167" s="56">
        <f ca="1">IF(RTD("tos.rtd",,$A$2,"."&amp;O$135&amp;O$1&amp;"C"&amp;$A167)="N/A",0,RTD("tos.rtd",,$A$2,"."&amp;O$135&amp;O$1&amp;"C"&amp;$A167))-IF(RTD("tos.rtd",,$A$2,"."&amp;O$135&amp;O$1&amp;"P"&amp;$A167)="N/A",0,RTD("tos.rtd",,$A$2,"."&amp;O$135&amp;O$1&amp;"P"&amp;$A167))</f>
        <v>0</v>
      </c>
      <c r="P167" s="56">
        <f ca="1">IF(RTD("tos.rtd",,$A$2,"."&amp;P$135&amp;P$1&amp;"C"&amp;$A167)="N/A",0,RTD("tos.rtd",,$A$2,"."&amp;P$135&amp;P$1&amp;"C"&amp;$A167))-IF(RTD("tos.rtd",,$A$2,"."&amp;P$135&amp;P$1&amp;"P"&amp;$A167)="N/A",0,RTD("tos.rtd",,$A$2,"."&amp;P$135&amp;P$1&amp;"P"&amp;$A167))</f>
        <v>0</v>
      </c>
      <c r="Q167" s="56">
        <f ca="1">IF(RTD("tos.rtd",,$A$2,"."&amp;Q$135&amp;Q$1&amp;"C"&amp;$A167)="N/A",0,RTD("tos.rtd",,$A$2,"."&amp;Q$135&amp;Q$1&amp;"C"&amp;$A167))-IF(RTD("tos.rtd",,$A$2,"."&amp;Q$135&amp;Q$1&amp;"P"&amp;$A167)="N/A",0,RTD("tos.rtd",,$A$2,"."&amp;Q$135&amp;Q$1&amp;"P"&amp;$A167))</f>
        <v>0</v>
      </c>
      <c r="R167" s="56">
        <f ca="1">IF(RTD("tos.rtd",,$A$2,"."&amp;R$135&amp;R$1&amp;"C"&amp;$A167)="N/A",0,RTD("tos.rtd",,$A$2,"."&amp;R$135&amp;R$1&amp;"C"&amp;$A167))-IF(RTD("tos.rtd",,$A$2,"."&amp;R$135&amp;R$1&amp;"P"&amp;$A167)="N/A",0,RTD("tos.rtd",,$A$2,"."&amp;R$135&amp;R$1&amp;"P"&amp;$A167))</f>
        <v>0</v>
      </c>
      <c r="S167" s="56">
        <f ca="1">IF(RTD("tos.rtd",,$A$2,"."&amp;S$135&amp;S$1&amp;"C"&amp;$A167)="N/A",0,RTD("tos.rtd",,$A$2,"."&amp;S$135&amp;S$1&amp;"C"&amp;$A167))-IF(RTD("tos.rtd",,$A$2,"."&amp;S$135&amp;S$1&amp;"P"&amp;$A167)="N/A",0,RTD("tos.rtd",,$A$2,"."&amp;S$135&amp;S$1&amp;"P"&amp;$A167))</f>
        <v>0</v>
      </c>
      <c r="T167" s="56">
        <f ca="1">IF(RTD("tos.rtd",,$A$2,"."&amp;T$135&amp;T$1&amp;"C"&amp;$A167)="N/A",0,RTD("tos.rtd",,$A$2,"."&amp;T$135&amp;T$1&amp;"C"&amp;$A167))-IF(RTD("tos.rtd",,$A$2,"."&amp;T$135&amp;T$1&amp;"P"&amp;$A167)="N/A",0,RTD("tos.rtd",,$A$2,"."&amp;T$135&amp;T$1&amp;"P"&amp;$A167))</f>
        <v>0</v>
      </c>
      <c r="U167" s="56">
        <f ca="1">IF(RTD("tos.rtd",,$A$2,"."&amp;U$135&amp;U$1&amp;"C"&amp;$A167)="N/A",0,RTD("tos.rtd",,$A$2,"."&amp;U$135&amp;U$1&amp;"C"&amp;$A167))-IF(RTD("tos.rtd",,$A$2,"."&amp;U$135&amp;U$1&amp;"P"&amp;$A167)="N/A",0,RTD("tos.rtd",,$A$2,"."&amp;U$135&amp;U$1&amp;"P"&amp;$A167))</f>
        <v>0</v>
      </c>
      <c r="V167" s="56">
        <f ca="1">IF(RTD("tos.rtd",,$A$2,"."&amp;V$135&amp;V$1&amp;"C"&amp;$A167)="N/A",0,RTD("tos.rtd",,$A$2,"."&amp;V$135&amp;V$1&amp;"C"&amp;$A167))-IF(RTD("tos.rtd",,$A$2,"."&amp;V$135&amp;V$1&amp;"P"&amp;$A167)="N/A",0,RTD("tos.rtd",,$A$2,"."&amp;V$135&amp;V$1&amp;"P"&amp;$A167))</f>
        <v>0</v>
      </c>
      <c r="W167" s="56">
        <f ca="1">IF(RTD("tos.rtd",,$A$2,"."&amp;W$135&amp;W$1&amp;"C"&amp;$A167)="N/A",0,RTD("tos.rtd",,$A$2,"."&amp;W$135&amp;W$1&amp;"C"&amp;$A167))-IF(RTD("tos.rtd",,$A$2,"."&amp;W$135&amp;W$1&amp;"P"&amp;$A167)="N/A",0,RTD("tos.rtd",,$A$2,"."&amp;W$135&amp;W$1&amp;"P"&amp;$A167))</f>
        <v>0</v>
      </c>
      <c r="X167" s="56">
        <f ca="1">IF(RTD("tos.rtd",,$A$2,"."&amp;X$135&amp;X$1&amp;"C"&amp;$A167)="N/A",0,RTD("tos.rtd",,$A$2,"."&amp;X$135&amp;X$1&amp;"C"&amp;$A167))-IF(RTD("tos.rtd",,$A$2,"."&amp;X$135&amp;X$1&amp;"P"&amp;$A167)="N/A",0,RTD("tos.rtd",,$A$2,"."&amp;X$135&amp;X$1&amp;"P"&amp;$A167))</f>
        <v>0</v>
      </c>
      <c r="Y167" s="63">
        <f t="shared" ca="1" si="16"/>
        <v>-1</v>
      </c>
      <c r="Z167" s="56"/>
      <c r="AA167" s="56"/>
    </row>
    <row r="168" spans="1:27" x14ac:dyDescent="0.25">
      <c r="A168" s="58">
        <f>+Hoja1!A167</f>
        <v>24850</v>
      </c>
      <c r="B168" s="56">
        <f ca="1">IF(RTD("tos.rtd",,$A$2,"."&amp;B$135&amp;B$1&amp;"C"&amp;$A168)="N/A",0,RTD("tos.rtd",,$A$2,"."&amp;B$135&amp;B$1&amp;"C"&amp;$A168))-IF(RTD("tos.rtd",,$A$2,"."&amp;B$135&amp;B$1&amp;"P"&amp;$A168)="N/A",0,RTD("tos.rtd",,$A$2,"."&amp;B$135&amp;B$1&amp;"P"&amp;$A168))</f>
        <v>-101</v>
      </c>
      <c r="C168" s="56">
        <f ca="1">IF(RTD("tos.rtd",,$A$2,"."&amp;C$135&amp;C$1&amp;"C"&amp;$A168)="N/A",0,RTD("tos.rtd",,$A$2,"."&amp;C$135&amp;C$1&amp;"C"&amp;$A168))-IF(RTD("tos.rtd",,$A$2,"."&amp;C$135&amp;C$1&amp;"P"&amp;$A168)="N/A",0,RTD("tos.rtd",,$A$2,"."&amp;C$135&amp;C$1&amp;"P"&amp;$A168))</f>
        <v>-6</v>
      </c>
      <c r="D168" s="56">
        <f ca="1">IF(RTD("tos.rtd",,$A$2,"."&amp;D$135&amp;D$1&amp;"C"&amp;$A168)="N/A",0,RTD("tos.rtd",,$A$2,"."&amp;D$135&amp;D$1&amp;"C"&amp;$A168))-IF(RTD("tos.rtd",,$A$2,"."&amp;D$135&amp;D$1&amp;"P"&amp;$A168)="N/A",0,RTD("tos.rtd",,$A$2,"."&amp;D$135&amp;D$1&amp;"P"&amp;$A168))</f>
        <v>-1</v>
      </c>
      <c r="E168" s="56">
        <f ca="1">IF(RTD("tos.rtd",,$A$2,"."&amp;E$135&amp;E$1&amp;"C"&amp;$A168)="N/A",0,RTD("tos.rtd",,$A$2,"."&amp;E$135&amp;E$1&amp;"C"&amp;$A168))-IF(RTD("tos.rtd",,$A$2,"."&amp;E$135&amp;E$1&amp;"P"&amp;$A168)="N/A",0,RTD("tos.rtd",,$A$2,"."&amp;E$135&amp;E$1&amp;"P"&amp;$A168))</f>
        <v>0</v>
      </c>
      <c r="F168" s="56">
        <f ca="1">IF(RTD("tos.rtd",,$A$2,"."&amp;F$135&amp;F$1&amp;"C"&amp;$A168)="N/A",0,RTD("tos.rtd",,$A$2,"."&amp;F$135&amp;F$1&amp;"C"&amp;$A168))-IF(RTD("tos.rtd",,$A$2,"."&amp;F$135&amp;F$1&amp;"P"&amp;$A168)="N/A",0,RTD("tos.rtd",,$A$2,"."&amp;F$135&amp;F$1&amp;"P"&amp;$A168))</f>
        <v>0</v>
      </c>
      <c r="G168" s="56">
        <f ca="1">IF(RTD("tos.rtd",,$A$2,"."&amp;G$135&amp;G$1&amp;"C"&amp;$A168)="N/A",0,RTD("tos.rtd",,$A$2,"."&amp;G$135&amp;G$1&amp;"C"&amp;$A168))-IF(RTD("tos.rtd",,$A$2,"."&amp;G$135&amp;G$1&amp;"P"&amp;$A168)="N/A",0,RTD("tos.rtd",,$A$2,"."&amp;G$135&amp;G$1&amp;"P"&amp;$A168))</f>
        <v>0</v>
      </c>
      <c r="H168" s="56">
        <f ca="1">IF(RTD("tos.rtd",,$A$2,"."&amp;H$135&amp;H$1&amp;"C"&amp;$A168)="N/A",0,RTD("tos.rtd",,$A$2,"."&amp;H$135&amp;H$1&amp;"C"&amp;$A168))-IF(RTD("tos.rtd",,$A$2,"."&amp;H$135&amp;H$1&amp;"P"&amp;$A168)="N/A",0,RTD("tos.rtd",,$A$2,"."&amp;H$135&amp;H$1&amp;"P"&amp;$A168))</f>
        <v>0</v>
      </c>
      <c r="I168" s="56">
        <f ca="1">IF(RTD("tos.rtd",,$A$2,"."&amp;I$135&amp;I$1&amp;"C"&amp;$A168)="N/A",0,RTD("tos.rtd",,$A$2,"."&amp;I$135&amp;I$1&amp;"C"&amp;$A168))-IF(RTD("tos.rtd",,$A$2,"."&amp;I$135&amp;I$1&amp;"P"&amp;$A168)="N/A",0,RTD("tos.rtd",,$A$2,"."&amp;I$135&amp;I$1&amp;"P"&amp;$A168))</f>
        <v>0</v>
      </c>
      <c r="J168" s="56">
        <f ca="1">IF(RTD("tos.rtd",,$A$2,"."&amp;J$135&amp;J$1&amp;"C"&amp;$A168)="N/A",0,RTD("tos.rtd",,$A$2,"."&amp;J$135&amp;J$1&amp;"C"&amp;$A168))-IF(RTD("tos.rtd",,$A$2,"."&amp;J$135&amp;J$1&amp;"P"&amp;$A168)="N/A",0,RTD("tos.rtd",,$A$2,"."&amp;J$135&amp;J$1&amp;"P"&amp;$A168))</f>
        <v>0</v>
      </c>
      <c r="K168" s="56">
        <f ca="1">IF(RTD("tos.rtd",,$A$2,"."&amp;K$135&amp;K$1&amp;"C"&amp;$A168)="N/A",0,RTD("tos.rtd",,$A$2,"."&amp;K$135&amp;K$1&amp;"C"&amp;$A168))-IF(RTD("tos.rtd",,$A$2,"."&amp;K$135&amp;K$1&amp;"P"&amp;$A168)="N/A",0,RTD("tos.rtd",,$A$2,"."&amp;K$135&amp;K$1&amp;"P"&amp;$A168))</f>
        <v>-2</v>
      </c>
      <c r="L168" s="56">
        <f ca="1">IF(RTD("tos.rtd",,$A$2,"."&amp;L$135&amp;L$1&amp;"C"&amp;$A168)="N/A",0,RTD("tos.rtd",,$A$2,"."&amp;L$135&amp;L$1&amp;"C"&amp;$A168))-IF(RTD("tos.rtd",,$A$2,"."&amp;L$135&amp;L$1&amp;"P"&amp;$A168)="N/A",0,RTD("tos.rtd",,$A$2,"."&amp;L$135&amp;L$1&amp;"P"&amp;$A168))</f>
        <v>0</v>
      </c>
      <c r="M168" s="56">
        <f ca="1">IF(RTD("tos.rtd",,$A$2,"."&amp;M$135&amp;M$1&amp;"C"&amp;$A168)="N/A",0,RTD("tos.rtd",,$A$2,"."&amp;M$135&amp;M$1&amp;"C"&amp;$A168))-IF(RTD("tos.rtd",,$A$2,"."&amp;M$135&amp;M$1&amp;"P"&amp;$A168)="N/A",0,RTD("tos.rtd",,$A$2,"."&amp;M$135&amp;M$1&amp;"P"&amp;$A168))</f>
        <v>0</v>
      </c>
      <c r="N168" s="56">
        <f ca="1">IF(RTD("tos.rtd",,$A$2,"."&amp;N$135&amp;N$1&amp;"C"&amp;$A168)="N/A",0,RTD("tos.rtd",,$A$2,"."&amp;N$135&amp;N$1&amp;"C"&amp;$A168))-IF(RTD("tos.rtd",,$A$2,"."&amp;N$135&amp;N$1&amp;"P"&amp;$A168)="N/A",0,RTD("tos.rtd",,$A$2,"."&amp;N$135&amp;N$1&amp;"P"&amp;$A168))</f>
        <v>0</v>
      </c>
      <c r="O168" s="56">
        <f ca="1">IF(RTD("tos.rtd",,$A$2,"."&amp;O$135&amp;O$1&amp;"C"&amp;$A168)="N/A",0,RTD("tos.rtd",,$A$2,"."&amp;O$135&amp;O$1&amp;"C"&amp;$A168))-IF(RTD("tos.rtd",,$A$2,"."&amp;O$135&amp;O$1&amp;"P"&amp;$A168)="N/A",0,RTD("tos.rtd",,$A$2,"."&amp;O$135&amp;O$1&amp;"P"&amp;$A168))</f>
        <v>0</v>
      </c>
      <c r="P168" s="56">
        <f ca="1">IF(RTD("tos.rtd",,$A$2,"."&amp;P$135&amp;P$1&amp;"C"&amp;$A168)="N/A",0,RTD("tos.rtd",,$A$2,"."&amp;P$135&amp;P$1&amp;"C"&amp;$A168))-IF(RTD("tos.rtd",,$A$2,"."&amp;P$135&amp;P$1&amp;"P"&amp;$A168)="N/A",0,RTD("tos.rtd",,$A$2,"."&amp;P$135&amp;P$1&amp;"P"&amp;$A168))</f>
        <v>0</v>
      </c>
      <c r="Q168" s="56">
        <f ca="1">IF(RTD("tos.rtd",,$A$2,"."&amp;Q$135&amp;Q$1&amp;"C"&amp;$A168)="N/A",0,RTD("tos.rtd",,$A$2,"."&amp;Q$135&amp;Q$1&amp;"C"&amp;$A168))-IF(RTD("tos.rtd",,$A$2,"."&amp;Q$135&amp;Q$1&amp;"P"&amp;$A168)="N/A",0,RTD("tos.rtd",,$A$2,"."&amp;Q$135&amp;Q$1&amp;"P"&amp;$A168))</f>
        <v>0</v>
      </c>
      <c r="R168" s="56">
        <f ca="1">IF(RTD("tos.rtd",,$A$2,"."&amp;R$135&amp;R$1&amp;"C"&amp;$A168)="N/A",0,RTD("tos.rtd",,$A$2,"."&amp;R$135&amp;R$1&amp;"C"&amp;$A168))-IF(RTD("tos.rtd",,$A$2,"."&amp;R$135&amp;R$1&amp;"P"&amp;$A168)="N/A",0,RTD("tos.rtd",,$A$2,"."&amp;R$135&amp;R$1&amp;"P"&amp;$A168))</f>
        <v>0</v>
      </c>
      <c r="S168" s="56">
        <f ca="1">IF(RTD("tos.rtd",,$A$2,"."&amp;S$135&amp;S$1&amp;"C"&amp;$A168)="N/A",0,RTD("tos.rtd",,$A$2,"."&amp;S$135&amp;S$1&amp;"C"&amp;$A168))-IF(RTD("tos.rtd",,$A$2,"."&amp;S$135&amp;S$1&amp;"P"&amp;$A168)="N/A",0,RTD("tos.rtd",,$A$2,"."&amp;S$135&amp;S$1&amp;"P"&amp;$A168))</f>
        <v>0</v>
      </c>
      <c r="T168" s="56">
        <f ca="1">IF(RTD("tos.rtd",,$A$2,"."&amp;T$135&amp;T$1&amp;"C"&amp;$A168)="N/A",0,RTD("tos.rtd",,$A$2,"."&amp;T$135&amp;T$1&amp;"C"&amp;$A168))-IF(RTD("tos.rtd",,$A$2,"."&amp;T$135&amp;T$1&amp;"P"&amp;$A168)="N/A",0,RTD("tos.rtd",,$A$2,"."&amp;T$135&amp;T$1&amp;"P"&amp;$A168))</f>
        <v>0</v>
      </c>
      <c r="U168" s="56">
        <f ca="1">IF(RTD("tos.rtd",,$A$2,"."&amp;U$135&amp;U$1&amp;"C"&amp;$A168)="N/A",0,RTD("tos.rtd",,$A$2,"."&amp;U$135&amp;U$1&amp;"C"&amp;$A168))-IF(RTD("tos.rtd",,$A$2,"."&amp;U$135&amp;U$1&amp;"P"&amp;$A168)="N/A",0,RTD("tos.rtd",,$A$2,"."&amp;U$135&amp;U$1&amp;"P"&amp;$A168))</f>
        <v>0</v>
      </c>
      <c r="V168" s="56">
        <f ca="1">IF(RTD("tos.rtd",,$A$2,"."&amp;V$135&amp;V$1&amp;"C"&amp;$A168)="N/A",0,RTD("tos.rtd",,$A$2,"."&amp;V$135&amp;V$1&amp;"C"&amp;$A168))-IF(RTD("tos.rtd",,$A$2,"."&amp;V$135&amp;V$1&amp;"P"&amp;$A168)="N/A",0,RTD("tos.rtd",,$A$2,"."&amp;V$135&amp;V$1&amp;"P"&amp;$A168))</f>
        <v>0</v>
      </c>
      <c r="W168" s="56">
        <f ca="1">IF(RTD("tos.rtd",,$A$2,"."&amp;W$135&amp;W$1&amp;"C"&amp;$A168)="N/A",0,RTD("tos.rtd",,$A$2,"."&amp;W$135&amp;W$1&amp;"C"&amp;$A168))-IF(RTD("tos.rtd",,$A$2,"."&amp;W$135&amp;W$1&amp;"P"&amp;$A168)="N/A",0,RTD("tos.rtd",,$A$2,"."&amp;W$135&amp;W$1&amp;"P"&amp;$A168))</f>
        <v>0</v>
      </c>
      <c r="X168" s="56">
        <f ca="1">IF(RTD("tos.rtd",,$A$2,"."&amp;X$135&amp;X$1&amp;"C"&amp;$A168)="N/A",0,RTD("tos.rtd",,$A$2,"."&amp;X$135&amp;X$1&amp;"C"&amp;$A168))-IF(RTD("tos.rtd",,$A$2,"."&amp;X$135&amp;X$1&amp;"P"&amp;$A168)="N/A",0,RTD("tos.rtd",,$A$2,"."&amp;X$135&amp;X$1&amp;"P"&amp;$A168))</f>
        <v>0</v>
      </c>
      <c r="Y168" s="63">
        <f t="shared" ca="1" si="16"/>
        <v>-110</v>
      </c>
      <c r="Z168" s="56"/>
      <c r="AA168" s="56"/>
    </row>
    <row r="169" spans="1:27" x14ac:dyDescent="0.25">
      <c r="A169" s="58">
        <f>+Hoja1!A168</f>
        <v>24825</v>
      </c>
      <c r="B169" s="56">
        <f ca="1">IF(RTD("tos.rtd",,$A$2,"."&amp;B$135&amp;B$1&amp;"C"&amp;$A169)="N/A",0,RTD("tos.rtd",,$A$2,"."&amp;B$135&amp;B$1&amp;"C"&amp;$A169))-IF(RTD("tos.rtd",,$A$2,"."&amp;B$135&amp;B$1&amp;"P"&amp;$A169)="N/A",0,RTD("tos.rtd",,$A$2,"."&amp;B$135&amp;B$1&amp;"P"&amp;$A169))</f>
        <v>0</v>
      </c>
      <c r="C169" s="56">
        <f ca="1">IF(RTD("tos.rtd",,$A$2,"."&amp;C$135&amp;C$1&amp;"C"&amp;$A169)="N/A",0,RTD("tos.rtd",,$A$2,"."&amp;C$135&amp;C$1&amp;"C"&amp;$A169))-IF(RTD("tos.rtd",,$A$2,"."&amp;C$135&amp;C$1&amp;"P"&amp;$A169)="N/A",0,RTD("tos.rtd",,$A$2,"."&amp;C$135&amp;C$1&amp;"P"&amp;$A169))</f>
        <v>0</v>
      </c>
      <c r="D169" s="56">
        <f ca="1">IF(RTD("tos.rtd",,$A$2,"."&amp;D$135&amp;D$1&amp;"C"&amp;$A169)="N/A",0,RTD("tos.rtd",,$A$2,"."&amp;D$135&amp;D$1&amp;"C"&amp;$A169))-IF(RTD("tos.rtd",,$A$2,"."&amp;D$135&amp;D$1&amp;"P"&amp;$A169)="N/A",0,RTD("tos.rtd",,$A$2,"."&amp;D$135&amp;D$1&amp;"P"&amp;$A169))</f>
        <v>0</v>
      </c>
      <c r="E169" s="56">
        <f ca="1">IF(RTD("tos.rtd",,$A$2,"."&amp;E$135&amp;E$1&amp;"C"&amp;$A169)="N/A",0,RTD("tos.rtd",,$A$2,"."&amp;E$135&amp;E$1&amp;"C"&amp;$A169))-IF(RTD("tos.rtd",,$A$2,"."&amp;E$135&amp;E$1&amp;"P"&amp;$A169)="N/A",0,RTD("tos.rtd",,$A$2,"."&amp;E$135&amp;E$1&amp;"P"&amp;$A169))</f>
        <v>0</v>
      </c>
      <c r="F169" s="56">
        <f ca="1">IF(RTD("tos.rtd",,$A$2,"."&amp;F$135&amp;F$1&amp;"C"&amp;$A169)="N/A",0,RTD("tos.rtd",,$A$2,"."&amp;F$135&amp;F$1&amp;"C"&amp;$A169))-IF(RTD("tos.rtd",,$A$2,"."&amp;F$135&amp;F$1&amp;"P"&amp;$A169)="N/A",0,RTD("tos.rtd",,$A$2,"."&amp;F$135&amp;F$1&amp;"P"&amp;$A169))</f>
        <v>0</v>
      </c>
      <c r="G169" s="56">
        <f ca="1">IF(RTD("tos.rtd",,$A$2,"."&amp;G$135&amp;G$1&amp;"C"&amp;$A169)="N/A",0,RTD("tos.rtd",,$A$2,"."&amp;G$135&amp;G$1&amp;"C"&amp;$A169))-IF(RTD("tos.rtd",,$A$2,"."&amp;G$135&amp;G$1&amp;"P"&amp;$A169)="N/A",0,RTD("tos.rtd",,$A$2,"."&amp;G$135&amp;G$1&amp;"P"&amp;$A169))</f>
        <v>0</v>
      </c>
      <c r="H169" s="56">
        <f ca="1">IF(RTD("tos.rtd",,$A$2,"."&amp;H$135&amp;H$1&amp;"C"&amp;$A169)="N/A",0,RTD("tos.rtd",,$A$2,"."&amp;H$135&amp;H$1&amp;"C"&amp;$A169))-IF(RTD("tos.rtd",,$A$2,"."&amp;H$135&amp;H$1&amp;"P"&amp;$A169)="N/A",0,RTD("tos.rtd",,$A$2,"."&amp;H$135&amp;H$1&amp;"P"&amp;$A169))</f>
        <v>0</v>
      </c>
      <c r="I169" s="56">
        <f ca="1">IF(RTD("tos.rtd",,$A$2,"."&amp;I$135&amp;I$1&amp;"C"&amp;$A169)="N/A",0,RTD("tos.rtd",,$A$2,"."&amp;I$135&amp;I$1&amp;"C"&amp;$A169))-IF(RTD("tos.rtd",,$A$2,"."&amp;I$135&amp;I$1&amp;"P"&amp;$A169)="N/A",0,RTD("tos.rtd",,$A$2,"."&amp;I$135&amp;I$1&amp;"P"&amp;$A169))</f>
        <v>-2</v>
      </c>
      <c r="J169" s="56">
        <f ca="1">IF(RTD("tos.rtd",,$A$2,"."&amp;J$135&amp;J$1&amp;"C"&amp;$A169)="N/A",0,RTD("tos.rtd",,$A$2,"."&amp;J$135&amp;J$1&amp;"C"&amp;$A169))-IF(RTD("tos.rtd",,$A$2,"."&amp;J$135&amp;J$1&amp;"P"&amp;$A169)="N/A",0,RTD("tos.rtd",,$A$2,"."&amp;J$135&amp;J$1&amp;"P"&amp;$A169))</f>
        <v>0</v>
      </c>
      <c r="K169" s="56">
        <f ca="1">IF(RTD("tos.rtd",,$A$2,"."&amp;K$135&amp;K$1&amp;"C"&amp;$A169)="N/A",0,RTD("tos.rtd",,$A$2,"."&amp;K$135&amp;K$1&amp;"C"&amp;$A169))-IF(RTD("tos.rtd",,$A$2,"."&amp;K$135&amp;K$1&amp;"P"&amp;$A169)="N/A",0,RTD("tos.rtd",,$A$2,"."&amp;K$135&amp;K$1&amp;"P"&amp;$A169))</f>
        <v>0</v>
      </c>
      <c r="L169" s="56">
        <f ca="1">IF(RTD("tos.rtd",,$A$2,"."&amp;L$135&amp;L$1&amp;"C"&amp;$A169)="N/A",0,RTD("tos.rtd",,$A$2,"."&amp;L$135&amp;L$1&amp;"C"&amp;$A169))-IF(RTD("tos.rtd",,$A$2,"."&amp;L$135&amp;L$1&amp;"P"&amp;$A169)="N/A",0,RTD("tos.rtd",,$A$2,"."&amp;L$135&amp;L$1&amp;"P"&amp;$A169))</f>
        <v>0</v>
      </c>
      <c r="M169" s="56">
        <f ca="1">IF(RTD("tos.rtd",,$A$2,"."&amp;M$135&amp;M$1&amp;"C"&amp;$A169)="N/A",0,RTD("tos.rtd",,$A$2,"."&amp;M$135&amp;M$1&amp;"C"&amp;$A169))-IF(RTD("tos.rtd",,$A$2,"."&amp;M$135&amp;M$1&amp;"P"&amp;$A169)="N/A",0,RTD("tos.rtd",,$A$2,"."&amp;M$135&amp;M$1&amp;"P"&amp;$A169))</f>
        <v>0</v>
      </c>
      <c r="N169" s="56">
        <f ca="1">IF(RTD("tos.rtd",,$A$2,"."&amp;N$135&amp;N$1&amp;"C"&amp;$A169)="N/A",0,RTD("tos.rtd",,$A$2,"."&amp;N$135&amp;N$1&amp;"C"&amp;$A169))-IF(RTD("tos.rtd",,$A$2,"."&amp;N$135&amp;N$1&amp;"P"&amp;$A169)="N/A",0,RTD("tos.rtd",,$A$2,"."&amp;N$135&amp;N$1&amp;"P"&amp;$A169))</f>
        <v>0</v>
      </c>
      <c r="O169" s="56">
        <f ca="1">IF(RTD("tos.rtd",,$A$2,"."&amp;O$135&amp;O$1&amp;"C"&amp;$A169)="N/A",0,RTD("tos.rtd",,$A$2,"."&amp;O$135&amp;O$1&amp;"C"&amp;$A169))-IF(RTD("tos.rtd",,$A$2,"."&amp;O$135&amp;O$1&amp;"P"&amp;$A169)="N/A",0,RTD("tos.rtd",,$A$2,"."&amp;O$135&amp;O$1&amp;"P"&amp;$A169))</f>
        <v>0</v>
      </c>
      <c r="P169" s="56">
        <f ca="1">IF(RTD("tos.rtd",,$A$2,"."&amp;P$135&amp;P$1&amp;"C"&amp;$A169)="N/A",0,RTD("tos.rtd",,$A$2,"."&amp;P$135&amp;P$1&amp;"C"&amp;$A169))-IF(RTD("tos.rtd",,$A$2,"."&amp;P$135&amp;P$1&amp;"P"&amp;$A169)="N/A",0,RTD("tos.rtd",,$A$2,"."&amp;P$135&amp;P$1&amp;"P"&amp;$A169))</f>
        <v>0</v>
      </c>
      <c r="Q169" s="56">
        <f ca="1">IF(RTD("tos.rtd",,$A$2,"."&amp;Q$135&amp;Q$1&amp;"C"&amp;$A169)="N/A",0,RTD("tos.rtd",,$A$2,"."&amp;Q$135&amp;Q$1&amp;"C"&amp;$A169))-IF(RTD("tos.rtd",,$A$2,"."&amp;Q$135&amp;Q$1&amp;"P"&amp;$A169)="N/A",0,RTD("tos.rtd",,$A$2,"."&amp;Q$135&amp;Q$1&amp;"P"&amp;$A169))</f>
        <v>0</v>
      </c>
      <c r="R169" s="56">
        <f ca="1">IF(RTD("tos.rtd",,$A$2,"."&amp;R$135&amp;R$1&amp;"C"&amp;$A169)="N/A",0,RTD("tos.rtd",,$A$2,"."&amp;R$135&amp;R$1&amp;"C"&amp;$A169))-IF(RTD("tos.rtd",,$A$2,"."&amp;R$135&amp;R$1&amp;"P"&amp;$A169)="N/A",0,RTD("tos.rtd",,$A$2,"."&amp;R$135&amp;R$1&amp;"P"&amp;$A169))</f>
        <v>0</v>
      </c>
      <c r="S169" s="56">
        <f ca="1">IF(RTD("tos.rtd",,$A$2,"."&amp;S$135&amp;S$1&amp;"C"&amp;$A169)="N/A",0,RTD("tos.rtd",,$A$2,"."&amp;S$135&amp;S$1&amp;"C"&amp;$A169))-IF(RTD("tos.rtd",,$A$2,"."&amp;S$135&amp;S$1&amp;"P"&amp;$A169)="N/A",0,RTD("tos.rtd",,$A$2,"."&amp;S$135&amp;S$1&amp;"P"&amp;$A169))</f>
        <v>0</v>
      </c>
      <c r="T169" s="56">
        <f ca="1">IF(RTD("tos.rtd",,$A$2,"."&amp;T$135&amp;T$1&amp;"C"&amp;$A169)="N/A",0,RTD("tos.rtd",,$A$2,"."&amp;T$135&amp;T$1&amp;"C"&amp;$A169))-IF(RTD("tos.rtd",,$A$2,"."&amp;T$135&amp;T$1&amp;"P"&amp;$A169)="N/A",0,RTD("tos.rtd",,$A$2,"."&amp;T$135&amp;T$1&amp;"P"&amp;$A169))</f>
        <v>0</v>
      </c>
      <c r="U169" s="56">
        <f ca="1">IF(RTD("tos.rtd",,$A$2,"."&amp;U$135&amp;U$1&amp;"C"&amp;$A169)="N/A",0,RTD("tos.rtd",,$A$2,"."&amp;U$135&amp;U$1&amp;"C"&amp;$A169))-IF(RTD("tos.rtd",,$A$2,"."&amp;U$135&amp;U$1&amp;"P"&amp;$A169)="N/A",0,RTD("tos.rtd",,$A$2,"."&amp;U$135&amp;U$1&amp;"P"&amp;$A169))</f>
        <v>0</v>
      </c>
      <c r="V169" s="56">
        <f ca="1">IF(RTD("tos.rtd",,$A$2,"."&amp;V$135&amp;V$1&amp;"C"&amp;$A169)="N/A",0,RTD("tos.rtd",,$A$2,"."&amp;V$135&amp;V$1&amp;"C"&amp;$A169))-IF(RTD("tos.rtd",,$A$2,"."&amp;V$135&amp;V$1&amp;"P"&amp;$A169)="N/A",0,RTD("tos.rtd",,$A$2,"."&amp;V$135&amp;V$1&amp;"P"&amp;$A169))</f>
        <v>0</v>
      </c>
      <c r="W169" s="56">
        <f ca="1">IF(RTD("tos.rtd",,$A$2,"."&amp;W$135&amp;W$1&amp;"C"&amp;$A169)="N/A",0,RTD("tos.rtd",,$A$2,"."&amp;W$135&amp;W$1&amp;"C"&amp;$A169))-IF(RTD("tos.rtd",,$A$2,"."&amp;W$135&amp;W$1&amp;"P"&amp;$A169)="N/A",0,RTD("tos.rtd",,$A$2,"."&amp;W$135&amp;W$1&amp;"P"&amp;$A169))</f>
        <v>0</v>
      </c>
      <c r="X169" s="56">
        <f ca="1">IF(RTD("tos.rtd",,$A$2,"."&amp;X$135&amp;X$1&amp;"C"&amp;$A169)="N/A",0,RTD("tos.rtd",,$A$2,"."&amp;X$135&amp;X$1&amp;"C"&amp;$A169))-IF(RTD("tos.rtd",,$A$2,"."&amp;X$135&amp;X$1&amp;"P"&amp;$A169)="N/A",0,RTD("tos.rtd",,$A$2,"."&amp;X$135&amp;X$1&amp;"P"&amp;$A169))</f>
        <v>0</v>
      </c>
      <c r="Y169" s="63">
        <f t="shared" ca="1" si="16"/>
        <v>-2</v>
      </c>
      <c r="Z169" s="56"/>
      <c r="AA169" s="56"/>
    </row>
    <row r="170" spans="1:27" x14ac:dyDescent="0.25">
      <c r="A170" s="58">
        <f>+Hoja1!A169</f>
        <v>24800</v>
      </c>
      <c r="B170" s="56">
        <f ca="1">IF(RTD("tos.rtd",,$A$2,"."&amp;B$135&amp;B$1&amp;"C"&amp;$A170)="N/A",0,RTD("tos.rtd",,$A$2,"."&amp;B$135&amp;B$1&amp;"C"&amp;$A170))-IF(RTD("tos.rtd",,$A$2,"."&amp;B$135&amp;B$1&amp;"P"&amp;$A170)="N/A",0,RTD("tos.rtd",,$A$2,"."&amp;B$135&amp;B$1&amp;"P"&amp;$A170))</f>
        <v>-27</v>
      </c>
      <c r="C170" s="56">
        <f ca="1">IF(RTD("tos.rtd",,$A$2,"."&amp;C$135&amp;C$1&amp;"C"&amp;$A170)="N/A",0,RTD("tos.rtd",,$A$2,"."&amp;C$135&amp;C$1&amp;"C"&amp;$A170))-IF(RTD("tos.rtd",,$A$2,"."&amp;C$135&amp;C$1&amp;"P"&amp;$A170)="N/A",0,RTD("tos.rtd",,$A$2,"."&amp;C$135&amp;C$1&amp;"P"&amp;$A170))</f>
        <v>-5</v>
      </c>
      <c r="D170" s="56">
        <f ca="1">IF(RTD("tos.rtd",,$A$2,"."&amp;D$135&amp;D$1&amp;"C"&amp;$A170)="N/A",0,RTD("tos.rtd",,$A$2,"."&amp;D$135&amp;D$1&amp;"C"&amp;$A170))-IF(RTD("tos.rtd",,$A$2,"."&amp;D$135&amp;D$1&amp;"P"&amp;$A170)="N/A",0,RTD("tos.rtd",,$A$2,"."&amp;D$135&amp;D$1&amp;"P"&amp;$A170))</f>
        <v>-68</v>
      </c>
      <c r="E170" s="56">
        <f ca="1">IF(RTD("tos.rtd",,$A$2,"."&amp;E$135&amp;E$1&amp;"C"&amp;$A170)="N/A",0,RTD("tos.rtd",,$A$2,"."&amp;E$135&amp;E$1&amp;"C"&amp;$A170))-IF(RTD("tos.rtd",,$A$2,"."&amp;E$135&amp;E$1&amp;"P"&amp;$A170)="N/A",0,RTD("tos.rtd",,$A$2,"."&amp;E$135&amp;E$1&amp;"P"&amp;$A170))</f>
        <v>-2</v>
      </c>
      <c r="F170" s="56">
        <f ca="1">IF(RTD("tos.rtd",,$A$2,"."&amp;F$135&amp;F$1&amp;"C"&amp;$A170)="N/A",0,RTD("tos.rtd",,$A$2,"."&amp;F$135&amp;F$1&amp;"C"&amp;$A170))-IF(RTD("tos.rtd",,$A$2,"."&amp;F$135&amp;F$1&amp;"P"&amp;$A170)="N/A",0,RTD("tos.rtd",,$A$2,"."&amp;F$135&amp;F$1&amp;"P"&amp;$A170))</f>
        <v>0</v>
      </c>
      <c r="G170" s="56">
        <f ca="1">IF(RTD("tos.rtd",,$A$2,"."&amp;G$135&amp;G$1&amp;"C"&amp;$A170)="N/A",0,RTD("tos.rtd",,$A$2,"."&amp;G$135&amp;G$1&amp;"C"&amp;$A170))-IF(RTD("tos.rtd",,$A$2,"."&amp;G$135&amp;G$1&amp;"P"&amp;$A170)="N/A",0,RTD("tos.rtd",,$A$2,"."&amp;G$135&amp;G$1&amp;"P"&amp;$A170))</f>
        <v>0</v>
      </c>
      <c r="H170" s="56">
        <f ca="1">IF(RTD("tos.rtd",,$A$2,"."&amp;H$135&amp;H$1&amp;"C"&amp;$A170)="N/A",0,RTD("tos.rtd",,$A$2,"."&amp;H$135&amp;H$1&amp;"C"&amp;$A170))-IF(RTD("tos.rtd",,$A$2,"."&amp;H$135&amp;H$1&amp;"P"&amp;$A170)="N/A",0,RTD("tos.rtd",,$A$2,"."&amp;H$135&amp;H$1&amp;"P"&amp;$A170))</f>
        <v>0</v>
      </c>
      <c r="I170" s="56">
        <f ca="1">IF(RTD("tos.rtd",,$A$2,"."&amp;I$135&amp;I$1&amp;"C"&amp;$A170)="N/A",0,RTD("tos.rtd",,$A$2,"."&amp;I$135&amp;I$1&amp;"C"&amp;$A170))-IF(RTD("tos.rtd",,$A$2,"."&amp;I$135&amp;I$1&amp;"P"&amp;$A170)="N/A",0,RTD("tos.rtd",,$A$2,"."&amp;I$135&amp;I$1&amp;"P"&amp;$A170))</f>
        <v>0</v>
      </c>
      <c r="J170" s="56">
        <f ca="1">IF(RTD("tos.rtd",,$A$2,"."&amp;J$135&amp;J$1&amp;"C"&amp;$A170)="N/A",0,RTD("tos.rtd",,$A$2,"."&amp;J$135&amp;J$1&amp;"C"&amp;$A170))-IF(RTD("tos.rtd",,$A$2,"."&amp;J$135&amp;J$1&amp;"P"&amp;$A170)="N/A",0,RTD("tos.rtd",,$A$2,"."&amp;J$135&amp;J$1&amp;"P"&amp;$A170))</f>
        <v>0</v>
      </c>
      <c r="K170" s="56">
        <f ca="1">IF(RTD("tos.rtd",,$A$2,"."&amp;K$135&amp;K$1&amp;"C"&amp;$A170)="N/A",0,RTD("tos.rtd",,$A$2,"."&amp;K$135&amp;K$1&amp;"C"&amp;$A170))-IF(RTD("tos.rtd",,$A$2,"."&amp;K$135&amp;K$1&amp;"P"&amp;$A170)="N/A",0,RTD("tos.rtd",,$A$2,"."&amp;K$135&amp;K$1&amp;"P"&amp;$A170))</f>
        <v>-14</v>
      </c>
      <c r="L170" s="56">
        <f ca="1">IF(RTD("tos.rtd",,$A$2,"."&amp;L$135&amp;L$1&amp;"C"&amp;$A170)="N/A",0,RTD("tos.rtd",,$A$2,"."&amp;L$135&amp;L$1&amp;"C"&amp;$A170))-IF(RTD("tos.rtd",,$A$2,"."&amp;L$135&amp;L$1&amp;"P"&amp;$A170)="N/A",0,RTD("tos.rtd",,$A$2,"."&amp;L$135&amp;L$1&amp;"P"&amp;$A170))</f>
        <v>0</v>
      </c>
      <c r="M170" s="56">
        <f ca="1">IF(RTD("tos.rtd",,$A$2,"."&amp;M$135&amp;M$1&amp;"C"&amp;$A170)="N/A",0,RTD("tos.rtd",,$A$2,"."&amp;M$135&amp;M$1&amp;"C"&amp;$A170))-IF(RTD("tos.rtd",,$A$2,"."&amp;M$135&amp;M$1&amp;"P"&amp;$A170)="N/A",0,RTD("tos.rtd",,$A$2,"."&amp;M$135&amp;M$1&amp;"P"&amp;$A170))</f>
        <v>0</v>
      </c>
      <c r="N170" s="56">
        <f ca="1">IF(RTD("tos.rtd",,$A$2,"."&amp;N$135&amp;N$1&amp;"C"&amp;$A170)="N/A",0,RTD("tos.rtd",,$A$2,"."&amp;N$135&amp;N$1&amp;"C"&amp;$A170))-IF(RTD("tos.rtd",,$A$2,"."&amp;N$135&amp;N$1&amp;"P"&amp;$A170)="N/A",0,RTD("tos.rtd",,$A$2,"."&amp;N$135&amp;N$1&amp;"P"&amp;$A170))</f>
        <v>0</v>
      </c>
      <c r="O170" s="56">
        <f ca="1">IF(RTD("tos.rtd",,$A$2,"."&amp;O$135&amp;O$1&amp;"C"&amp;$A170)="N/A",0,RTD("tos.rtd",,$A$2,"."&amp;O$135&amp;O$1&amp;"C"&amp;$A170))-IF(RTD("tos.rtd",,$A$2,"."&amp;O$135&amp;O$1&amp;"P"&amp;$A170)="N/A",0,RTD("tos.rtd",,$A$2,"."&amp;O$135&amp;O$1&amp;"P"&amp;$A170))</f>
        <v>0</v>
      </c>
      <c r="P170" s="56">
        <f ca="1">IF(RTD("tos.rtd",,$A$2,"."&amp;P$135&amp;P$1&amp;"C"&amp;$A170)="N/A",0,RTD("tos.rtd",,$A$2,"."&amp;P$135&amp;P$1&amp;"C"&amp;$A170))-IF(RTD("tos.rtd",,$A$2,"."&amp;P$135&amp;P$1&amp;"P"&amp;$A170)="N/A",0,RTD("tos.rtd",,$A$2,"."&amp;P$135&amp;P$1&amp;"P"&amp;$A170))</f>
        <v>0</v>
      </c>
      <c r="Q170" s="56">
        <f ca="1">IF(RTD("tos.rtd",,$A$2,"."&amp;Q$135&amp;Q$1&amp;"C"&amp;$A170)="N/A",0,RTD("tos.rtd",,$A$2,"."&amp;Q$135&amp;Q$1&amp;"C"&amp;$A170))-IF(RTD("tos.rtd",,$A$2,"."&amp;Q$135&amp;Q$1&amp;"P"&amp;$A170)="N/A",0,RTD("tos.rtd",,$A$2,"."&amp;Q$135&amp;Q$1&amp;"P"&amp;$A170))</f>
        <v>0</v>
      </c>
      <c r="R170" s="56">
        <f ca="1">IF(RTD("tos.rtd",,$A$2,"."&amp;R$135&amp;R$1&amp;"C"&amp;$A170)="N/A",0,RTD("tos.rtd",,$A$2,"."&amp;R$135&amp;R$1&amp;"C"&amp;$A170))-IF(RTD("tos.rtd",,$A$2,"."&amp;R$135&amp;R$1&amp;"P"&amp;$A170)="N/A",0,RTD("tos.rtd",,$A$2,"."&amp;R$135&amp;R$1&amp;"P"&amp;$A170))</f>
        <v>0</v>
      </c>
      <c r="S170" s="56">
        <f ca="1">IF(RTD("tos.rtd",,$A$2,"."&amp;S$135&amp;S$1&amp;"C"&amp;$A170)="N/A",0,RTD("tos.rtd",,$A$2,"."&amp;S$135&amp;S$1&amp;"C"&amp;$A170))-IF(RTD("tos.rtd",,$A$2,"."&amp;S$135&amp;S$1&amp;"P"&amp;$A170)="N/A",0,RTD("tos.rtd",,$A$2,"."&amp;S$135&amp;S$1&amp;"P"&amp;$A170))</f>
        <v>0</v>
      </c>
      <c r="T170" s="56">
        <f ca="1">IF(RTD("tos.rtd",,$A$2,"."&amp;T$135&amp;T$1&amp;"C"&amp;$A170)="N/A",0,RTD("tos.rtd",,$A$2,"."&amp;T$135&amp;T$1&amp;"C"&amp;$A170))-IF(RTD("tos.rtd",,$A$2,"."&amp;T$135&amp;T$1&amp;"P"&amp;$A170)="N/A",0,RTD("tos.rtd",,$A$2,"."&amp;T$135&amp;T$1&amp;"P"&amp;$A170))</f>
        <v>0</v>
      </c>
      <c r="U170" s="56">
        <f ca="1">IF(RTD("tos.rtd",,$A$2,"."&amp;U$135&amp;U$1&amp;"C"&amp;$A170)="N/A",0,RTD("tos.rtd",,$A$2,"."&amp;U$135&amp;U$1&amp;"C"&amp;$A170))-IF(RTD("tos.rtd",,$A$2,"."&amp;U$135&amp;U$1&amp;"P"&amp;$A170)="N/A",0,RTD("tos.rtd",,$A$2,"."&amp;U$135&amp;U$1&amp;"P"&amp;$A170))</f>
        <v>0</v>
      </c>
      <c r="V170" s="56">
        <f ca="1">IF(RTD("tos.rtd",,$A$2,"."&amp;V$135&amp;V$1&amp;"C"&amp;$A170)="N/A",0,RTD("tos.rtd",,$A$2,"."&amp;V$135&amp;V$1&amp;"C"&amp;$A170))-IF(RTD("tos.rtd",,$A$2,"."&amp;V$135&amp;V$1&amp;"P"&amp;$A170)="N/A",0,RTD("tos.rtd",,$A$2,"."&amp;V$135&amp;V$1&amp;"P"&amp;$A170))</f>
        <v>0</v>
      </c>
      <c r="W170" s="56">
        <f ca="1">IF(RTD("tos.rtd",,$A$2,"."&amp;W$135&amp;W$1&amp;"C"&amp;$A170)="N/A",0,RTD("tos.rtd",,$A$2,"."&amp;W$135&amp;W$1&amp;"C"&amp;$A170))-IF(RTD("tos.rtd",,$A$2,"."&amp;W$135&amp;W$1&amp;"P"&amp;$A170)="N/A",0,RTD("tos.rtd",,$A$2,"."&amp;W$135&amp;W$1&amp;"P"&amp;$A170))</f>
        <v>0</v>
      </c>
      <c r="X170" s="56">
        <f ca="1">IF(RTD("tos.rtd",,$A$2,"."&amp;X$135&amp;X$1&amp;"C"&amp;$A170)="N/A",0,RTD("tos.rtd",,$A$2,"."&amp;X$135&amp;X$1&amp;"C"&amp;$A170))-IF(RTD("tos.rtd",,$A$2,"."&amp;X$135&amp;X$1&amp;"P"&amp;$A170)="N/A",0,RTD("tos.rtd",,$A$2,"."&amp;X$135&amp;X$1&amp;"P"&amp;$A170))</f>
        <v>0</v>
      </c>
      <c r="Y170" s="63">
        <f t="shared" ca="1" si="16"/>
        <v>-116</v>
      </c>
      <c r="Z170" s="56"/>
      <c r="AA170" s="56"/>
    </row>
    <row r="171" spans="1:27" x14ac:dyDescent="0.25">
      <c r="A171" s="58">
        <f>+Hoja1!A170</f>
        <v>24775</v>
      </c>
      <c r="B171" s="56">
        <f ca="1">IF(RTD("tos.rtd",,$A$2,"."&amp;B$135&amp;B$1&amp;"C"&amp;$A171)="N/A",0,RTD("tos.rtd",,$A$2,"."&amp;B$135&amp;B$1&amp;"C"&amp;$A171))-IF(RTD("tos.rtd",,$A$2,"."&amp;B$135&amp;B$1&amp;"P"&amp;$A171)="N/A",0,RTD("tos.rtd",,$A$2,"."&amp;B$135&amp;B$1&amp;"P"&amp;$A171))</f>
        <v>0</v>
      </c>
      <c r="C171" s="56">
        <f ca="1">IF(RTD("tos.rtd",,$A$2,"."&amp;C$135&amp;C$1&amp;"C"&amp;$A171)="N/A",0,RTD("tos.rtd",,$A$2,"."&amp;C$135&amp;C$1&amp;"C"&amp;$A171))-IF(RTD("tos.rtd",,$A$2,"."&amp;C$135&amp;C$1&amp;"P"&amp;$A171)="N/A",0,RTD("tos.rtd",,$A$2,"."&amp;C$135&amp;C$1&amp;"P"&amp;$A171))</f>
        <v>0</v>
      </c>
      <c r="D171" s="56">
        <f ca="1">IF(RTD("tos.rtd",,$A$2,"."&amp;D$135&amp;D$1&amp;"C"&amp;$A171)="N/A",0,RTD("tos.rtd",,$A$2,"."&amp;D$135&amp;D$1&amp;"C"&amp;$A171))-IF(RTD("tos.rtd",,$A$2,"."&amp;D$135&amp;D$1&amp;"P"&amp;$A171)="N/A",0,RTD("tos.rtd",,$A$2,"."&amp;D$135&amp;D$1&amp;"P"&amp;$A171))</f>
        <v>0</v>
      </c>
      <c r="E171" s="56">
        <f ca="1">IF(RTD("tos.rtd",,$A$2,"."&amp;E$135&amp;E$1&amp;"C"&amp;$A171)="N/A",0,RTD("tos.rtd",,$A$2,"."&amp;E$135&amp;E$1&amp;"C"&amp;$A171))-IF(RTD("tos.rtd",,$A$2,"."&amp;E$135&amp;E$1&amp;"P"&amp;$A171)="N/A",0,RTD("tos.rtd",,$A$2,"."&amp;E$135&amp;E$1&amp;"P"&amp;$A171))</f>
        <v>0</v>
      </c>
      <c r="F171" s="56">
        <f ca="1">IF(RTD("tos.rtd",,$A$2,"."&amp;F$135&amp;F$1&amp;"C"&amp;$A171)="N/A",0,RTD("tos.rtd",,$A$2,"."&amp;F$135&amp;F$1&amp;"C"&amp;$A171))-IF(RTD("tos.rtd",,$A$2,"."&amp;F$135&amp;F$1&amp;"P"&amp;$A171)="N/A",0,RTD("tos.rtd",,$A$2,"."&amp;F$135&amp;F$1&amp;"P"&amp;$A171))</f>
        <v>0</v>
      </c>
      <c r="G171" s="56">
        <f ca="1">IF(RTD("tos.rtd",,$A$2,"."&amp;G$135&amp;G$1&amp;"C"&amp;$A171)="N/A",0,RTD("tos.rtd",,$A$2,"."&amp;G$135&amp;G$1&amp;"C"&amp;$A171))-IF(RTD("tos.rtd",,$A$2,"."&amp;G$135&amp;G$1&amp;"P"&amp;$A171)="N/A",0,RTD("tos.rtd",,$A$2,"."&amp;G$135&amp;G$1&amp;"P"&amp;$A171))</f>
        <v>0</v>
      </c>
      <c r="H171" s="56">
        <f ca="1">IF(RTD("tos.rtd",,$A$2,"."&amp;H$135&amp;H$1&amp;"C"&amp;$A171)="N/A",0,RTD("tos.rtd",,$A$2,"."&amp;H$135&amp;H$1&amp;"C"&amp;$A171))-IF(RTD("tos.rtd",,$A$2,"."&amp;H$135&amp;H$1&amp;"P"&amp;$A171)="N/A",0,RTD("tos.rtd",,$A$2,"."&amp;H$135&amp;H$1&amp;"P"&amp;$A171))</f>
        <v>0</v>
      </c>
      <c r="I171" s="56">
        <f ca="1">IF(RTD("tos.rtd",,$A$2,"."&amp;I$135&amp;I$1&amp;"C"&amp;$A171)="N/A",0,RTD("tos.rtd",,$A$2,"."&amp;I$135&amp;I$1&amp;"C"&amp;$A171))-IF(RTD("tos.rtd",,$A$2,"."&amp;I$135&amp;I$1&amp;"P"&amp;$A171)="N/A",0,RTD("tos.rtd",,$A$2,"."&amp;I$135&amp;I$1&amp;"P"&amp;$A171))</f>
        <v>0</v>
      </c>
      <c r="J171" s="56">
        <f ca="1">IF(RTD("tos.rtd",,$A$2,"."&amp;J$135&amp;J$1&amp;"C"&amp;$A171)="N/A",0,RTD("tos.rtd",,$A$2,"."&amp;J$135&amp;J$1&amp;"C"&amp;$A171))-IF(RTD("tos.rtd",,$A$2,"."&amp;J$135&amp;J$1&amp;"P"&amp;$A171)="N/A",0,RTD("tos.rtd",,$A$2,"."&amp;J$135&amp;J$1&amp;"P"&amp;$A171))</f>
        <v>0</v>
      </c>
      <c r="K171" s="56">
        <f ca="1">IF(RTD("tos.rtd",,$A$2,"."&amp;K$135&amp;K$1&amp;"C"&amp;$A171)="N/A",0,RTD("tos.rtd",,$A$2,"."&amp;K$135&amp;K$1&amp;"C"&amp;$A171))-IF(RTD("tos.rtd",,$A$2,"."&amp;K$135&amp;K$1&amp;"P"&amp;$A171)="N/A",0,RTD("tos.rtd",,$A$2,"."&amp;K$135&amp;K$1&amp;"P"&amp;$A171))</f>
        <v>-2</v>
      </c>
      <c r="L171" s="56">
        <f ca="1">IF(RTD("tos.rtd",,$A$2,"."&amp;L$135&amp;L$1&amp;"C"&amp;$A171)="N/A",0,RTD("tos.rtd",,$A$2,"."&amp;L$135&amp;L$1&amp;"C"&amp;$A171))-IF(RTD("tos.rtd",,$A$2,"."&amp;L$135&amp;L$1&amp;"P"&amp;$A171)="N/A",0,RTD("tos.rtd",,$A$2,"."&amp;L$135&amp;L$1&amp;"P"&amp;$A171))</f>
        <v>0</v>
      </c>
      <c r="M171" s="56">
        <f ca="1">IF(RTD("tos.rtd",,$A$2,"."&amp;M$135&amp;M$1&amp;"C"&amp;$A171)="N/A",0,RTD("tos.rtd",,$A$2,"."&amp;M$135&amp;M$1&amp;"C"&amp;$A171))-IF(RTD("tos.rtd",,$A$2,"."&amp;M$135&amp;M$1&amp;"P"&amp;$A171)="N/A",0,RTD("tos.rtd",,$A$2,"."&amp;M$135&amp;M$1&amp;"P"&amp;$A171))</f>
        <v>0</v>
      </c>
      <c r="N171" s="56">
        <f ca="1">IF(RTD("tos.rtd",,$A$2,"."&amp;N$135&amp;N$1&amp;"C"&amp;$A171)="N/A",0,RTD("tos.rtd",,$A$2,"."&amp;N$135&amp;N$1&amp;"C"&amp;$A171))-IF(RTD("tos.rtd",,$A$2,"."&amp;N$135&amp;N$1&amp;"P"&amp;$A171)="N/A",0,RTD("tos.rtd",,$A$2,"."&amp;N$135&amp;N$1&amp;"P"&amp;$A171))</f>
        <v>0</v>
      </c>
      <c r="O171" s="56">
        <f ca="1">IF(RTD("tos.rtd",,$A$2,"."&amp;O$135&amp;O$1&amp;"C"&amp;$A171)="N/A",0,RTD("tos.rtd",,$A$2,"."&amp;O$135&amp;O$1&amp;"C"&amp;$A171))-IF(RTD("tos.rtd",,$A$2,"."&amp;O$135&amp;O$1&amp;"P"&amp;$A171)="N/A",0,RTD("tos.rtd",,$A$2,"."&amp;O$135&amp;O$1&amp;"P"&amp;$A171))</f>
        <v>0</v>
      </c>
      <c r="P171" s="56">
        <f ca="1">IF(RTD("tos.rtd",,$A$2,"."&amp;P$135&amp;P$1&amp;"C"&amp;$A171)="N/A",0,RTD("tos.rtd",,$A$2,"."&amp;P$135&amp;P$1&amp;"C"&amp;$A171))-IF(RTD("tos.rtd",,$A$2,"."&amp;P$135&amp;P$1&amp;"P"&amp;$A171)="N/A",0,RTD("tos.rtd",,$A$2,"."&amp;P$135&amp;P$1&amp;"P"&amp;$A171))</f>
        <v>0</v>
      </c>
      <c r="Q171" s="56">
        <f ca="1">IF(RTD("tos.rtd",,$A$2,"."&amp;Q$135&amp;Q$1&amp;"C"&amp;$A171)="N/A",0,RTD("tos.rtd",,$A$2,"."&amp;Q$135&amp;Q$1&amp;"C"&amp;$A171))-IF(RTD("tos.rtd",,$A$2,"."&amp;Q$135&amp;Q$1&amp;"P"&amp;$A171)="N/A",0,RTD("tos.rtd",,$A$2,"."&amp;Q$135&amp;Q$1&amp;"P"&amp;$A171))</f>
        <v>0</v>
      </c>
      <c r="R171" s="56">
        <f ca="1">IF(RTD("tos.rtd",,$A$2,"."&amp;R$135&amp;R$1&amp;"C"&amp;$A171)="N/A",0,RTD("tos.rtd",,$A$2,"."&amp;R$135&amp;R$1&amp;"C"&amp;$A171))-IF(RTD("tos.rtd",,$A$2,"."&amp;R$135&amp;R$1&amp;"P"&amp;$A171)="N/A",0,RTD("tos.rtd",,$A$2,"."&amp;R$135&amp;R$1&amp;"P"&amp;$A171))</f>
        <v>0</v>
      </c>
      <c r="S171" s="56">
        <f ca="1">IF(RTD("tos.rtd",,$A$2,"."&amp;S$135&amp;S$1&amp;"C"&amp;$A171)="N/A",0,RTD("tos.rtd",,$A$2,"."&amp;S$135&amp;S$1&amp;"C"&amp;$A171))-IF(RTD("tos.rtd",,$A$2,"."&amp;S$135&amp;S$1&amp;"P"&amp;$A171)="N/A",0,RTD("tos.rtd",,$A$2,"."&amp;S$135&amp;S$1&amp;"P"&amp;$A171))</f>
        <v>0</v>
      </c>
      <c r="T171" s="56">
        <f ca="1">IF(RTD("tos.rtd",,$A$2,"."&amp;T$135&amp;T$1&amp;"C"&amp;$A171)="N/A",0,RTD("tos.rtd",,$A$2,"."&amp;T$135&amp;T$1&amp;"C"&amp;$A171))-IF(RTD("tos.rtd",,$A$2,"."&amp;T$135&amp;T$1&amp;"P"&amp;$A171)="N/A",0,RTD("tos.rtd",,$A$2,"."&amp;T$135&amp;T$1&amp;"P"&amp;$A171))</f>
        <v>0</v>
      </c>
      <c r="U171" s="56">
        <f ca="1">IF(RTD("tos.rtd",,$A$2,"."&amp;U$135&amp;U$1&amp;"C"&amp;$A171)="N/A",0,RTD("tos.rtd",,$A$2,"."&amp;U$135&amp;U$1&amp;"C"&amp;$A171))-IF(RTD("tos.rtd",,$A$2,"."&amp;U$135&amp;U$1&amp;"P"&amp;$A171)="N/A",0,RTD("tos.rtd",,$A$2,"."&amp;U$135&amp;U$1&amp;"P"&amp;$A171))</f>
        <v>0</v>
      </c>
      <c r="V171" s="56">
        <f ca="1">IF(RTD("tos.rtd",,$A$2,"."&amp;V$135&amp;V$1&amp;"C"&amp;$A171)="N/A",0,RTD("tos.rtd",,$A$2,"."&amp;V$135&amp;V$1&amp;"C"&amp;$A171))-IF(RTD("tos.rtd",,$A$2,"."&amp;V$135&amp;V$1&amp;"P"&amp;$A171)="N/A",0,RTD("tos.rtd",,$A$2,"."&amp;V$135&amp;V$1&amp;"P"&amp;$A171))</f>
        <v>0</v>
      </c>
      <c r="W171" s="56">
        <f ca="1">IF(RTD("tos.rtd",,$A$2,"."&amp;W$135&amp;W$1&amp;"C"&amp;$A171)="N/A",0,RTD("tos.rtd",,$A$2,"."&amp;W$135&amp;W$1&amp;"C"&amp;$A171))-IF(RTD("tos.rtd",,$A$2,"."&amp;W$135&amp;W$1&amp;"P"&amp;$A171)="N/A",0,RTD("tos.rtd",,$A$2,"."&amp;W$135&amp;W$1&amp;"P"&amp;$A171))</f>
        <v>0</v>
      </c>
      <c r="X171" s="56">
        <f ca="1">IF(RTD("tos.rtd",,$A$2,"."&amp;X$135&amp;X$1&amp;"C"&amp;$A171)="N/A",0,RTD("tos.rtd",,$A$2,"."&amp;X$135&amp;X$1&amp;"C"&amp;$A171))-IF(RTD("tos.rtd",,$A$2,"."&amp;X$135&amp;X$1&amp;"P"&amp;$A171)="N/A",0,RTD("tos.rtd",,$A$2,"."&amp;X$135&amp;X$1&amp;"P"&amp;$A171))</f>
        <v>0</v>
      </c>
      <c r="Y171" s="63">
        <f t="shared" ca="1" si="16"/>
        <v>-2</v>
      </c>
      <c r="Z171" s="56"/>
      <c r="AA171" s="56"/>
    </row>
    <row r="172" spans="1:27" x14ac:dyDescent="0.25">
      <c r="A172" s="58">
        <f>+Hoja1!A171</f>
        <v>24750</v>
      </c>
      <c r="B172" s="56">
        <f ca="1">IF(RTD("tos.rtd",,$A$2,"."&amp;B$135&amp;B$1&amp;"C"&amp;$A172)="N/A",0,RTD("tos.rtd",,$A$2,"."&amp;B$135&amp;B$1&amp;"C"&amp;$A172))-IF(RTD("tos.rtd",,$A$2,"."&amp;B$135&amp;B$1&amp;"P"&amp;$A172)="N/A",0,RTD("tos.rtd",,$A$2,"."&amp;B$135&amp;B$1&amp;"P"&amp;$A172))</f>
        <v>-39</v>
      </c>
      <c r="C172" s="56">
        <f ca="1">IF(RTD("tos.rtd",,$A$2,"."&amp;C$135&amp;C$1&amp;"C"&amp;$A172)="N/A",0,RTD("tos.rtd",,$A$2,"."&amp;C$135&amp;C$1&amp;"C"&amp;$A172))-IF(RTD("tos.rtd",,$A$2,"."&amp;C$135&amp;C$1&amp;"P"&amp;$A172)="N/A",0,RTD("tos.rtd",,$A$2,"."&amp;C$135&amp;C$1&amp;"P"&amp;$A172))</f>
        <v>-13</v>
      </c>
      <c r="D172" s="56">
        <f ca="1">IF(RTD("tos.rtd",,$A$2,"."&amp;D$135&amp;D$1&amp;"C"&amp;$A172)="N/A",0,RTD("tos.rtd",,$A$2,"."&amp;D$135&amp;D$1&amp;"C"&amp;$A172))-IF(RTD("tos.rtd",,$A$2,"."&amp;D$135&amp;D$1&amp;"P"&amp;$A172)="N/A",0,RTD("tos.rtd",,$A$2,"."&amp;D$135&amp;D$1&amp;"P"&amp;$A172))</f>
        <v>-6</v>
      </c>
      <c r="E172" s="56">
        <f ca="1">IF(RTD("tos.rtd",,$A$2,"."&amp;E$135&amp;E$1&amp;"C"&amp;$A172)="N/A",0,RTD("tos.rtd",,$A$2,"."&amp;E$135&amp;E$1&amp;"C"&amp;$A172))-IF(RTD("tos.rtd",,$A$2,"."&amp;E$135&amp;E$1&amp;"P"&amp;$A172)="N/A",0,RTD("tos.rtd",,$A$2,"."&amp;E$135&amp;E$1&amp;"P"&amp;$A172))</f>
        <v>2</v>
      </c>
      <c r="F172" s="56">
        <f ca="1">IF(RTD("tos.rtd",,$A$2,"."&amp;F$135&amp;F$1&amp;"C"&amp;$A172)="N/A",0,RTD("tos.rtd",,$A$2,"."&amp;F$135&amp;F$1&amp;"C"&amp;$A172))-IF(RTD("tos.rtd",,$A$2,"."&amp;F$135&amp;F$1&amp;"P"&amp;$A172)="N/A",0,RTD("tos.rtd",,$A$2,"."&amp;F$135&amp;F$1&amp;"P"&amp;$A172))</f>
        <v>0</v>
      </c>
      <c r="G172" s="56">
        <f ca="1">IF(RTD("tos.rtd",,$A$2,"."&amp;G$135&amp;G$1&amp;"C"&amp;$A172)="N/A",0,RTD("tos.rtd",,$A$2,"."&amp;G$135&amp;G$1&amp;"C"&amp;$A172))-IF(RTD("tos.rtd",,$A$2,"."&amp;G$135&amp;G$1&amp;"P"&amp;$A172)="N/A",0,RTD("tos.rtd",,$A$2,"."&amp;G$135&amp;G$1&amp;"P"&amp;$A172))</f>
        <v>0</v>
      </c>
      <c r="H172" s="56">
        <f ca="1">IF(RTD("tos.rtd",,$A$2,"."&amp;H$135&amp;H$1&amp;"C"&amp;$A172)="N/A",0,RTD("tos.rtd",,$A$2,"."&amp;H$135&amp;H$1&amp;"C"&amp;$A172))-IF(RTD("tos.rtd",,$A$2,"."&amp;H$135&amp;H$1&amp;"P"&amp;$A172)="N/A",0,RTD("tos.rtd",,$A$2,"."&amp;H$135&amp;H$1&amp;"P"&amp;$A172))</f>
        <v>0</v>
      </c>
      <c r="I172" s="56">
        <f ca="1">IF(RTD("tos.rtd",,$A$2,"."&amp;I$135&amp;I$1&amp;"C"&amp;$A172)="N/A",0,RTD("tos.rtd",,$A$2,"."&amp;I$135&amp;I$1&amp;"C"&amp;$A172))-IF(RTD("tos.rtd",,$A$2,"."&amp;I$135&amp;I$1&amp;"P"&amp;$A172)="N/A",0,RTD("tos.rtd",,$A$2,"."&amp;I$135&amp;I$1&amp;"P"&amp;$A172))</f>
        <v>-1</v>
      </c>
      <c r="J172" s="56">
        <f ca="1">IF(RTD("tos.rtd",,$A$2,"."&amp;J$135&amp;J$1&amp;"C"&amp;$A172)="N/A",0,RTD("tos.rtd",,$A$2,"."&amp;J$135&amp;J$1&amp;"C"&amp;$A172))-IF(RTD("tos.rtd",,$A$2,"."&amp;J$135&amp;J$1&amp;"P"&amp;$A172)="N/A",0,RTD("tos.rtd",,$A$2,"."&amp;J$135&amp;J$1&amp;"P"&amp;$A172))</f>
        <v>0</v>
      </c>
      <c r="K172" s="56">
        <f ca="1">IF(RTD("tos.rtd",,$A$2,"."&amp;K$135&amp;K$1&amp;"C"&amp;$A172)="N/A",0,RTD("tos.rtd",,$A$2,"."&amp;K$135&amp;K$1&amp;"C"&amp;$A172))-IF(RTD("tos.rtd",,$A$2,"."&amp;K$135&amp;K$1&amp;"P"&amp;$A172)="N/A",0,RTD("tos.rtd",,$A$2,"."&amp;K$135&amp;K$1&amp;"P"&amp;$A172))</f>
        <v>-12</v>
      </c>
      <c r="L172" s="56">
        <f ca="1">IF(RTD("tos.rtd",,$A$2,"."&amp;L$135&amp;L$1&amp;"C"&amp;$A172)="N/A",0,RTD("tos.rtd",,$A$2,"."&amp;L$135&amp;L$1&amp;"C"&amp;$A172))-IF(RTD("tos.rtd",,$A$2,"."&amp;L$135&amp;L$1&amp;"P"&amp;$A172)="N/A",0,RTD("tos.rtd",,$A$2,"."&amp;L$135&amp;L$1&amp;"P"&amp;$A172))</f>
        <v>0</v>
      </c>
      <c r="M172" s="56">
        <f ca="1">IF(RTD("tos.rtd",,$A$2,"."&amp;M$135&amp;M$1&amp;"C"&amp;$A172)="N/A",0,RTD("tos.rtd",,$A$2,"."&amp;M$135&amp;M$1&amp;"C"&amp;$A172))-IF(RTD("tos.rtd",,$A$2,"."&amp;M$135&amp;M$1&amp;"P"&amp;$A172)="N/A",0,RTD("tos.rtd",,$A$2,"."&amp;M$135&amp;M$1&amp;"P"&amp;$A172))</f>
        <v>0</v>
      </c>
      <c r="N172" s="56">
        <f ca="1">IF(RTD("tos.rtd",,$A$2,"."&amp;N$135&amp;N$1&amp;"C"&amp;$A172)="N/A",0,RTD("tos.rtd",,$A$2,"."&amp;N$135&amp;N$1&amp;"C"&amp;$A172))-IF(RTD("tos.rtd",,$A$2,"."&amp;N$135&amp;N$1&amp;"P"&amp;$A172)="N/A",0,RTD("tos.rtd",,$A$2,"."&amp;N$135&amp;N$1&amp;"P"&amp;$A172))</f>
        <v>0</v>
      </c>
      <c r="O172" s="56">
        <f ca="1">IF(RTD("tos.rtd",,$A$2,"."&amp;O$135&amp;O$1&amp;"C"&amp;$A172)="N/A",0,RTD("tos.rtd",,$A$2,"."&amp;O$135&amp;O$1&amp;"C"&amp;$A172))-IF(RTD("tos.rtd",,$A$2,"."&amp;O$135&amp;O$1&amp;"P"&amp;$A172)="N/A",0,RTD("tos.rtd",,$A$2,"."&amp;O$135&amp;O$1&amp;"P"&amp;$A172))</f>
        <v>0</v>
      </c>
      <c r="P172" s="56">
        <f ca="1">IF(RTD("tos.rtd",,$A$2,"."&amp;P$135&amp;P$1&amp;"C"&amp;$A172)="N/A",0,RTD("tos.rtd",,$A$2,"."&amp;P$135&amp;P$1&amp;"C"&amp;$A172))-IF(RTD("tos.rtd",,$A$2,"."&amp;P$135&amp;P$1&amp;"P"&amp;$A172)="N/A",0,RTD("tos.rtd",,$A$2,"."&amp;P$135&amp;P$1&amp;"P"&amp;$A172))</f>
        <v>0</v>
      </c>
      <c r="Q172" s="56">
        <f ca="1">IF(RTD("tos.rtd",,$A$2,"."&amp;Q$135&amp;Q$1&amp;"C"&amp;$A172)="N/A",0,RTD("tos.rtd",,$A$2,"."&amp;Q$135&amp;Q$1&amp;"C"&amp;$A172))-IF(RTD("tos.rtd",,$A$2,"."&amp;Q$135&amp;Q$1&amp;"P"&amp;$A172)="N/A",0,RTD("tos.rtd",,$A$2,"."&amp;Q$135&amp;Q$1&amp;"P"&amp;$A172))</f>
        <v>0</v>
      </c>
      <c r="R172" s="56">
        <f ca="1">IF(RTD("tos.rtd",,$A$2,"."&amp;R$135&amp;R$1&amp;"C"&amp;$A172)="N/A",0,RTD("tos.rtd",,$A$2,"."&amp;R$135&amp;R$1&amp;"C"&amp;$A172))-IF(RTD("tos.rtd",,$A$2,"."&amp;R$135&amp;R$1&amp;"P"&amp;$A172)="N/A",0,RTD("tos.rtd",,$A$2,"."&amp;R$135&amp;R$1&amp;"P"&amp;$A172))</f>
        <v>0</v>
      </c>
      <c r="S172" s="56">
        <f ca="1">IF(RTD("tos.rtd",,$A$2,"."&amp;S$135&amp;S$1&amp;"C"&amp;$A172)="N/A",0,RTD("tos.rtd",,$A$2,"."&amp;S$135&amp;S$1&amp;"C"&amp;$A172))-IF(RTD("tos.rtd",,$A$2,"."&amp;S$135&amp;S$1&amp;"P"&amp;$A172)="N/A",0,RTD("tos.rtd",,$A$2,"."&amp;S$135&amp;S$1&amp;"P"&amp;$A172))</f>
        <v>0</v>
      </c>
      <c r="T172" s="56">
        <f ca="1">IF(RTD("tos.rtd",,$A$2,"."&amp;T$135&amp;T$1&amp;"C"&amp;$A172)="N/A",0,RTD("tos.rtd",,$A$2,"."&amp;T$135&amp;T$1&amp;"C"&amp;$A172))-IF(RTD("tos.rtd",,$A$2,"."&amp;T$135&amp;T$1&amp;"P"&amp;$A172)="N/A",0,RTD("tos.rtd",,$A$2,"."&amp;T$135&amp;T$1&amp;"P"&amp;$A172))</f>
        <v>0</v>
      </c>
      <c r="U172" s="56">
        <f ca="1">IF(RTD("tos.rtd",,$A$2,"."&amp;U$135&amp;U$1&amp;"C"&amp;$A172)="N/A",0,RTD("tos.rtd",,$A$2,"."&amp;U$135&amp;U$1&amp;"C"&amp;$A172))-IF(RTD("tos.rtd",,$A$2,"."&amp;U$135&amp;U$1&amp;"P"&amp;$A172)="N/A",0,RTD("tos.rtd",,$A$2,"."&amp;U$135&amp;U$1&amp;"P"&amp;$A172))</f>
        <v>0</v>
      </c>
      <c r="V172" s="56">
        <f ca="1">IF(RTD("tos.rtd",,$A$2,"."&amp;V$135&amp;V$1&amp;"C"&amp;$A172)="N/A",0,RTD("tos.rtd",,$A$2,"."&amp;V$135&amp;V$1&amp;"C"&amp;$A172))-IF(RTD("tos.rtd",,$A$2,"."&amp;V$135&amp;V$1&amp;"P"&amp;$A172)="N/A",0,RTD("tos.rtd",,$A$2,"."&amp;V$135&amp;V$1&amp;"P"&amp;$A172))</f>
        <v>0</v>
      </c>
      <c r="W172" s="56">
        <f ca="1">IF(RTD("tos.rtd",,$A$2,"."&amp;W$135&amp;W$1&amp;"C"&amp;$A172)="N/A",0,RTD("tos.rtd",,$A$2,"."&amp;W$135&amp;W$1&amp;"C"&amp;$A172))-IF(RTD("tos.rtd",,$A$2,"."&amp;W$135&amp;W$1&amp;"P"&amp;$A172)="N/A",0,RTD("tos.rtd",,$A$2,"."&amp;W$135&amp;W$1&amp;"P"&amp;$A172))</f>
        <v>0</v>
      </c>
      <c r="X172" s="56">
        <f ca="1">IF(RTD("tos.rtd",,$A$2,"."&amp;X$135&amp;X$1&amp;"C"&amp;$A172)="N/A",0,RTD("tos.rtd",,$A$2,"."&amp;X$135&amp;X$1&amp;"C"&amp;$A172))-IF(RTD("tos.rtd",,$A$2,"."&amp;X$135&amp;X$1&amp;"P"&amp;$A172)="N/A",0,RTD("tos.rtd",,$A$2,"."&amp;X$135&amp;X$1&amp;"P"&amp;$A172))</f>
        <v>0</v>
      </c>
      <c r="Y172" s="63">
        <f t="shared" ca="1" si="16"/>
        <v>-69</v>
      </c>
      <c r="Z172" s="56"/>
      <c r="AA172" s="56"/>
    </row>
    <row r="173" spans="1:27" x14ac:dyDescent="0.25">
      <c r="A173" s="58">
        <f>+Hoja1!A172</f>
        <v>24725</v>
      </c>
      <c r="B173" s="56">
        <f ca="1">IF(RTD("tos.rtd",,$A$2,"."&amp;B$135&amp;B$1&amp;"C"&amp;$A173)="N/A",0,RTD("tos.rtd",,$A$2,"."&amp;B$135&amp;B$1&amp;"C"&amp;$A173))-IF(RTD("tos.rtd",,$A$2,"."&amp;B$135&amp;B$1&amp;"P"&amp;$A173)="N/A",0,RTD("tos.rtd",,$A$2,"."&amp;B$135&amp;B$1&amp;"P"&amp;$A173))</f>
        <v>0</v>
      </c>
      <c r="C173" s="56">
        <f ca="1">IF(RTD("tos.rtd",,$A$2,"."&amp;C$135&amp;C$1&amp;"C"&amp;$A173)="N/A",0,RTD("tos.rtd",,$A$2,"."&amp;C$135&amp;C$1&amp;"C"&amp;$A173))-IF(RTD("tos.rtd",,$A$2,"."&amp;C$135&amp;C$1&amp;"P"&amp;$A173)="N/A",0,RTD("tos.rtd",,$A$2,"."&amp;C$135&amp;C$1&amp;"P"&amp;$A173))</f>
        <v>0</v>
      </c>
      <c r="D173" s="56">
        <f ca="1">IF(RTD("tos.rtd",,$A$2,"."&amp;D$135&amp;D$1&amp;"C"&amp;$A173)="N/A",0,RTD("tos.rtd",,$A$2,"."&amp;D$135&amp;D$1&amp;"C"&amp;$A173))-IF(RTD("tos.rtd",,$A$2,"."&amp;D$135&amp;D$1&amp;"P"&amp;$A173)="N/A",0,RTD("tos.rtd",,$A$2,"."&amp;D$135&amp;D$1&amp;"P"&amp;$A173))</f>
        <v>0</v>
      </c>
      <c r="E173" s="56">
        <f ca="1">IF(RTD("tos.rtd",,$A$2,"."&amp;E$135&amp;E$1&amp;"C"&amp;$A173)="N/A",0,RTD("tos.rtd",,$A$2,"."&amp;E$135&amp;E$1&amp;"C"&amp;$A173))-IF(RTD("tos.rtd",,$A$2,"."&amp;E$135&amp;E$1&amp;"P"&amp;$A173)="N/A",0,RTD("tos.rtd",,$A$2,"."&amp;E$135&amp;E$1&amp;"P"&amp;$A173))</f>
        <v>0</v>
      </c>
      <c r="F173" s="56">
        <f ca="1">IF(RTD("tos.rtd",,$A$2,"."&amp;F$135&amp;F$1&amp;"C"&amp;$A173)="N/A",0,RTD("tos.rtd",,$A$2,"."&amp;F$135&amp;F$1&amp;"C"&amp;$A173))-IF(RTD("tos.rtd",,$A$2,"."&amp;F$135&amp;F$1&amp;"P"&amp;$A173)="N/A",0,RTD("tos.rtd",,$A$2,"."&amp;F$135&amp;F$1&amp;"P"&amp;$A173))</f>
        <v>0</v>
      </c>
      <c r="G173" s="56">
        <f ca="1">IF(RTD("tos.rtd",,$A$2,"."&amp;G$135&amp;G$1&amp;"C"&amp;$A173)="N/A",0,RTD("tos.rtd",,$A$2,"."&amp;G$135&amp;G$1&amp;"C"&amp;$A173))-IF(RTD("tos.rtd",,$A$2,"."&amp;G$135&amp;G$1&amp;"P"&amp;$A173)="N/A",0,RTD("tos.rtd",,$A$2,"."&amp;G$135&amp;G$1&amp;"P"&amp;$A173))</f>
        <v>0</v>
      </c>
      <c r="H173" s="56">
        <f ca="1">IF(RTD("tos.rtd",,$A$2,"."&amp;H$135&amp;H$1&amp;"C"&amp;$A173)="N/A",0,RTD("tos.rtd",,$A$2,"."&amp;H$135&amp;H$1&amp;"C"&amp;$A173))-IF(RTD("tos.rtd",,$A$2,"."&amp;H$135&amp;H$1&amp;"P"&amp;$A173)="N/A",0,RTD("tos.rtd",,$A$2,"."&amp;H$135&amp;H$1&amp;"P"&amp;$A173))</f>
        <v>0</v>
      </c>
      <c r="I173" s="56">
        <f ca="1">IF(RTD("tos.rtd",,$A$2,"."&amp;I$135&amp;I$1&amp;"C"&amp;$A173)="N/A",0,RTD("tos.rtd",,$A$2,"."&amp;I$135&amp;I$1&amp;"C"&amp;$A173))-IF(RTD("tos.rtd",,$A$2,"."&amp;I$135&amp;I$1&amp;"P"&amp;$A173)="N/A",0,RTD("tos.rtd",,$A$2,"."&amp;I$135&amp;I$1&amp;"P"&amp;$A173))</f>
        <v>0</v>
      </c>
      <c r="J173" s="56">
        <f ca="1">IF(RTD("tos.rtd",,$A$2,"."&amp;J$135&amp;J$1&amp;"C"&amp;$A173)="N/A",0,RTD("tos.rtd",,$A$2,"."&amp;J$135&amp;J$1&amp;"C"&amp;$A173))-IF(RTD("tos.rtd",,$A$2,"."&amp;J$135&amp;J$1&amp;"P"&amp;$A173)="N/A",0,RTD("tos.rtd",,$A$2,"."&amp;J$135&amp;J$1&amp;"P"&amp;$A173))</f>
        <v>0</v>
      </c>
      <c r="K173" s="56">
        <f ca="1">IF(RTD("tos.rtd",,$A$2,"."&amp;K$135&amp;K$1&amp;"C"&amp;$A173)="N/A",0,RTD("tos.rtd",,$A$2,"."&amp;K$135&amp;K$1&amp;"C"&amp;$A173))-IF(RTD("tos.rtd",,$A$2,"."&amp;K$135&amp;K$1&amp;"P"&amp;$A173)="N/A",0,RTD("tos.rtd",,$A$2,"."&amp;K$135&amp;K$1&amp;"P"&amp;$A173))</f>
        <v>-2</v>
      </c>
      <c r="L173" s="56">
        <f ca="1">IF(RTD("tos.rtd",,$A$2,"."&amp;L$135&amp;L$1&amp;"C"&amp;$A173)="N/A",0,RTD("tos.rtd",,$A$2,"."&amp;L$135&amp;L$1&amp;"C"&amp;$A173))-IF(RTD("tos.rtd",,$A$2,"."&amp;L$135&amp;L$1&amp;"P"&amp;$A173)="N/A",0,RTD("tos.rtd",,$A$2,"."&amp;L$135&amp;L$1&amp;"P"&amp;$A173))</f>
        <v>0</v>
      </c>
      <c r="M173" s="56">
        <f ca="1">IF(RTD("tos.rtd",,$A$2,"."&amp;M$135&amp;M$1&amp;"C"&amp;$A173)="N/A",0,RTD("tos.rtd",,$A$2,"."&amp;M$135&amp;M$1&amp;"C"&amp;$A173))-IF(RTD("tos.rtd",,$A$2,"."&amp;M$135&amp;M$1&amp;"P"&amp;$A173)="N/A",0,RTD("tos.rtd",,$A$2,"."&amp;M$135&amp;M$1&amp;"P"&amp;$A173))</f>
        <v>0</v>
      </c>
      <c r="N173" s="56">
        <f ca="1">IF(RTD("tos.rtd",,$A$2,"."&amp;N$135&amp;N$1&amp;"C"&amp;$A173)="N/A",0,RTD("tos.rtd",,$A$2,"."&amp;N$135&amp;N$1&amp;"C"&amp;$A173))-IF(RTD("tos.rtd",,$A$2,"."&amp;N$135&amp;N$1&amp;"P"&amp;$A173)="N/A",0,RTD("tos.rtd",,$A$2,"."&amp;N$135&amp;N$1&amp;"P"&amp;$A173))</f>
        <v>0</v>
      </c>
      <c r="O173" s="56">
        <f ca="1">IF(RTD("tos.rtd",,$A$2,"."&amp;O$135&amp;O$1&amp;"C"&amp;$A173)="N/A",0,RTD("tos.rtd",,$A$2,"."&amp;O$135&amp;O$1&amp;"C"&amp;$A173))-IF(RTD("tos.rtd",,$A$2,"."&amp;O$135&amp;O$1&amp;"P"&amp;$A173)="N/A",0,RTD("tos.rtd",,$A$2,"."&amp;O$135&amp;O$1&amp;"P"&amp;$A173))</f>
        <v>0</v>
      </c>
      <c r="P173" s="56">
        <f ca="1">IF(RTD("tos.rtd",,$A$2,"."&amp;P$135&amp;P$1&amp;"C"&amp;$A173)="N/A",0,RTD("tos.rtd",,$A$2,"."&amp;P$135&amp;P$1&amp;"C"&amp;$A173))-IF(RTD("tos.rtd",,$A$2,"."&amp;P$135&amp;P$1&amp;"P"&amp;$A173)="N/A",0,RTD("tos.rtd",,$A$2,"."&amp;P$135&amp;P$1&amp;"P"&amp;$A173))</f>
        <v>0</v>
      </c>
      <c r="Q173" s="56">
        <f ca="1">IF(RTD("tos.rtd",,$A$2,"."&amp;Q$135&amp;Q$1&amp;"C"&amp;$A173)="N/A",0,RTD("tos.rtd",,$A$2,"."&amp;Q$135&amp;Q$1&amp;"C"&amp;$A173))-IF(RTD("tos.rtd",,$A$2,"."&amp;Q$135&amp;Q$1&amp;"P"&amp;$A173)="N/A",0,RTD("tos.rtd",,$A$2,"."&amp;Q$135&amp;Q$1&amp;"P"&amp;$A173))</f>
        <v>0</v>
      </c>
      <c r="R173" s="56">
        <f ca="1">IF(RTD("tos.rtd",,$A$2,"."&amp;R$135&amp;R$1&amp;"C"&amp;$A173)="N/A",0,RTD("tos.rtd",,$A$2,"."&amp;R$135&amp;R$1&amp;"C"&amp;$A173))-IF(RTD("tos.rtd",,$A$2,"."&amp;R$135&amp;R$1&amp;"P"&amp;$A173)="N/A",0,RTD("tos.rtd",,$A$2,"."&amp;R$135&amp;R$1&amp;"P"&amp;$A173))</f>
        <v>0</v>
      </c>
      <c r="S173" s="56">
        <f ca="1">IF(RTD("tos.rtd",,$A$2,"."&amp;S$135&amp;S$1&amp;"C"&amp;$A173)="N/A",0,RTD("tos.rtd",,$A$2,"."&amp;S$135&amp;S$1&amp;"C"&amp;$A173))-IF(RTD("tos.rtd",,$A$2,"."&amp;S$135&amp;S$1&amp;"P"&amp;$A173)="N/A",0,RTD("tos.rtd",,$A$2,"."&amp;S$135&amp;S$1&amp;"P"&amp;$A173))</f>
        <v>0</v>
      </c>
      <c r="T173" s="56">
        <f ca="1">IF(RTD("tos.rtd",,$A$2,"."&amp;T$135&amp;T$1&amp;"C"&amp;$A173)="N/A",0,RTD("tos.rtd",,$A$2,"."&amp;T$135&amp;T$1&amp;"C"&amp;$A173))-IF(RTD("tos.rtd",,$A$2,"."&amp;T$135&amp;T$1&amp;"P"&amp;$A173)="N/A",0,RTD("tos.rtd",,$A$2,"."&amp;T$135&amp;T$1&amp;"P"&amp;$A173))</f>
        <v>0</v>
      </c>
      <c r="U173" s="56">
        <f ca="1">IF(RTD("tos.rtd",,$A$2,"."&amp;U$135&amp;U$1&amp;"C"&amp;$A173)="N/A",0,RTD("tos.rtd",,$A$2,"."&amp;U$135&amp;U$1&amp;"C"&amp;$A173))-IF(RTD("tos.rtd",,$A$2,"."&amp;U$135&amp;U$1&amp;"P"&amp;$A173)="N/A",0,RTD("tos.rtd",,$A$2,"."&amp;U$135&amp;U$1&amp;"P"&amp;$A173))</f>
        <v>0</v>
      </c>
      <c r="V173" s="56">
        <f ca="1">IF(RTD("tos.rtd",,$A$2,"."&amp;V$135&amp;V$1&amp;"C"&amp;$A173)="N/A",0,RTD("tos.rtd",,$A$2,"."&amp;V$135&amp;V$1&amp;"C"&amp;$A173))-IF(RTD("tos.rtd",,$A$2,"."&amp;V$135&amp;V$1&amp;"P"&amp;$A173)="N/A",0,RTD("tos.rtd",,$A$2,"."&amp;V$135&amp;V$1&amp;"P"&amp;$A173))</f>
        <v>0</v>
      </c>
      <c r="W173" s="56">
        <f ca="1">IF(RTD("tos.rtd",,$A$2,"."&amp;W$135&amp;W$1&amp;"C"&amp;$A173)="N/A",0,RTD("tos.rtd",,$A$2,"."&amp;W$135&amp;W$1&amp;"C"&amp;$A173))-IF(RTD("tos.rtd",,$A$2,"."&amp;W$135&amp;W$1&amp;"P"&amp;$A173)="N/A",0,RTD("tos.rtd",,$A$2,"."&amp;W$135&amp;W$1&amp;"P"&amp;$A173))</f>
        <v>0</v>
      </c>
      <c r="X173" s="56">
        <f ca="1">IF(RTD("tos.rtd",,$A$2,"."&amp;X$135&amp;X$1&amp;"C"&amp;$A173)="N/A",0,RTD("tos.rtd",,$A$2,"."&amp;X$135&amp;X$1&amp;"C"&amp;$A173))-IF(RTD("tos.rtd",,$A$2,"."&amp;X$135&amp;X$1&amp;"P"&amp;$A173)="N/A",0,RTD("tos.rtd",,$A$2,"."&amp;X$135&amp;X$1&amp;"P"&amp;$A173))</f>
        <v>0</v>
      </c>
      <c r="Y173" s="63">
        <f t="shared" ca="1" si="16"/>
        <v>-2</v>
      </c>
      <c r="Z173" s="56"/>
      <c r="AA173" s="56"/>
    </row>
    <row r="174" spans="1:27" x14ac:dyDescent="0.25">
      <c r="A174" s="58">
        <f>+Hoja1!A173</f>
        <v>24700</v>
      </c>
      <c r="B174" s="56">
        <f ca="1">IF(RTD("tos.rtd",,$A$2,"."&amp;B$135&amp;B$1&amp;"C"&amp;$A174)="N/A",0,RTD("tos.rtd",,$A$2,"."&amp;B$135&amp;B$1&amp;"C"&amp;$A174))-IF(RTD("tos.rtd",,$A$2,"."&amp;B$135&amp;B$1&amp;"P"&amp;$A174)="N/A",0,RTD("tos.rtd",,$A$2,"."&amp;B$135&amp;B$1&amp;"P"&amp;$A174))</f>
        <v>-10</v>
      </c>
      <c r="C174" s="56">
        <f ca="1">IF(RTD("tos.rtd",,$A$2,"."&amp;C$135&amp;C$1&amp;"C"&amp;$A174)="N/A",0,RTD("tos.rtd",,$A$2,"."&amp;C$135&amp;C$1&amp;"C"&amp;$A174))-IF(RTD("tos.rtd",,$A$2,"."&amp;C$135&amp;C$1&amp;"P"&amp;$A174)="N/A",0,RTD("tos.rtd",,$A$2,"."&amp;C$135&amp;C$1&amp;"P"&amp;$A174))</f>
        <v>-24</v>
      </c>
      <c r="D174" s="56">
        <f ca="1">IF(RTD("tos.rtd",,$A$2,"."&amp;D$135&amp;D$1&amp;"C"&amp;$A174)="N/A",0,RTD("tos.rtd",,$A$2,"."&amp;D$135&amp;D$1&amp;"C"&amp;$A174))-IF(RTD("tos.rtd",,$A$2,"."&amp;D$135&amp;D$1&amp;"P"&amp;$A174)="N/A",0,RTD("tos.rtd",,$A$2,"."&amp;D$135&amp;D$1&amp;"P"&amp;$A174))</f>
        <v>-1</v>
      </c>
      <c r="E174" s="56">
        <f ca="1">IF(RTD("tos.rtd",,$A$2,"."&amp;E$135&amp;E$1&amp;"C"&amp;$A174)="N/A",0,RTD("tos.rtd",,$A$2,"."&amp;E$135&amp;E$1&amp;"C"&amp;$A174))-IF(RTD("tos.rtd",,$A$2,"."&amp;E$135&amp;E$1&amp;"P"&amp;$A174)="N/A",0,RTD("tos.rtd",,$A$2,"."&amp;E$135&amp;E$1&amp;"P"&amp;$A174))</f>
        <v>-2</v>
      </c>
      <c r="F174" s="56">
        <f ca="1">IF(RTD("tos.rtd",,$A$2,"."&amp;F$135&amp;F$1&amp;"C"&amp;$A174)="N/A",0,RTD("tos.rtd",,$A$2,"."&amp;F$135&amp;F$1&amp;"C"&amp;$A174))-IF(RTD("tos.rtd",,$A$2,"."&amp;F$135&amp;F$1&amp;"P"&amp;$A174)="N/A",0,RTD("tos.rtd",,$A$2,"."&amp;F$135&amp;F$1&amp;"P"&amp;$A174))</f>
        <v>0</v>
      </c>
      <c r="G174" s="56">
        <f ca="1">IF(RTD("tos.rtd",,$A$2,"."&amp;G$135&amp;G$1&amp;"C"&amp;$A174)="N/A",0,RTD("tos.rtd",,$A$2,"."&amp;G$135&amp;G$1&amp;"C"&amp;$A174))-IF(RTD("tos.rtd",,$A$2,"."&amp;G$135&amp;G$1&amp;"P"&amp;$A174)="N/A",0,RTD("tos.rtd",,$A$2,"."&amp;G$135&amp;G$1&amp;"P"&amp;$A174))</f>
        <v>0</v>
      </c>
      <c r="H174" s="56">
        <f ca="1">IF(RTD("tos.rtd",,$A$2,"."&amp;H$135&amp;H$1&amp;"C"&amp;$A174)="N/A",0,RTD("tos.rtd",,$A$2,"."&amp;H$135&amp;H$1&amp;"C"&amp;$A174))-IF(RTD("tos.rtd",,$A$2,"."&amp;H$135&amp;H$1&amp;"P"&amp;$A174)="N/A",0,RTD("tos.rtd",,$A$2,"."&amp;H$135&amp;H$1&amp;"P"&amp;$A174))</f>
        <v>0</v>
      </c>
      <c r="I174" s="56">
        <f ca="1">IF(RTD("tos.rtd",,$A$2,"."&amp;I$135&amp;I$1&amp;"C"&amp;$A174)="N/A",0,RTD("tos.rtd",,$A$2,"."&amp;I$135&amp;I$1&amp;"C"&amp;$A174))-IF(RTD("tos.rtd",,$A$2,"."&amp;I$135&amp;I$1&amp;"P"&amp;$A174)="N/A",0,RTD("tos.rtd",,$A$2,"."&amp;I$135&amp;I$1&amp;"P"&amp;$A174))</f>
        <v>0</v>
      </c>
      <c r="J174" s="56">
        <f ca="1">IF(RTD("tos.rtd",,$A$2,"."&amp;J$135&amp;J$1&amp;"C"&amp;$A174)="N/A",0,RTD("tos.rtd",,$A$2,"."&amp;J$135&amp;J$1&amp;"C"&amp;$A174))-IF(RTD("tos.rtd",,$A$2,"."&amp;J$135&amp;J$1&amp;"P"&amp;$A174)="N/A",0,RTD("tos.rtd",,$A$2,"."&amp;J$135&amp;J$1&amp;"P"&amp;$A174))</f>
        <v>0</v>
      </c>
      <c r="K174" s="56">
        <f ca="1">IF(RTD("tos.rtd",,$A$2,"."&amp;K$135&amp;K$1&amp;"C"&amp;$A174)="N/A",0,RTD("tos.rtd",,$A$2,"."&amp;K$135&amp;K$1&amp;"C"&amp;$A174))-IF(RTD("tos.rtd",,$A$2,"."&amp;K$135&amp;K$1&amp;"P"&amp;$A174)="N/A",0,RTD("tos.rtd",,$A$2,"."&amp;K$135&amp;K$1&amp;"P"&amp;$A174))</f>
        <v>-10</v>
      </c>
      <c r="L174" s="56">
        <f ca="1">IF(RTD("tos.rtd",,$A$2,"."&amp;L$135&amp;L$1&amp;"C"&amp;$A174)="N/A",0,RTD("tos.rtd",,$A$2,"."&amp;L$135&amp;L$1&amp;"C"&amp;$A174))-IF(RTD("tos.rtd",,$A$2,"."&amp;L$135&amp;L$1&amp;"P"&amp;$A174)="N/A",0,RTD("tos.rtd",,$A$2,"."&amp;L$135&amp;L$1&amp;"P"&amp;$A174))</f>
        <v>0</v>
      </c>
      <c r="M174" s="56">
        <f ca="1">IF(RTD("tos.rtd",,$A$2,"."&amp;M$135&amp;M$1&amp;"C"&amp;$A174)="N/A",0,RTD("tos.rtd",,$A$2,"."&amp;M$135&amp;M$1&amp;"C"&amp;$A174))-IF(RTD("tos.rtd",,$A$2,"."&amp;M$135&amp;M$1&amp;"P"&amp;$A174)="N/A",0,RTD("tos.rtd",,$A$2,"."&amp;M$135&amp;M$1&amp;"P"&amp;$A174))</f>
        <v>0</v>
      </c>
      <c r="N174" s="56">
        <f ca="1">IF(RTD("tos.rtd",,$A$2,"."&amp;N$135&amp;N$1&amp;"C"&amp;$A174)="N/A",0,RTD("tos.rtd",,$A$2,"."&amp;N$135&amp;N$1&amp;"C"&amp;$A174))-IF(RTD("tos.rtd",,$A$2,"."&amp;N$135&amp;N$1&amp;"P"&amp;$A174)="N/A",0,RTD("tos.rtd",,$A$2,"."&amp;N$135&amp;N$1&amp;"P"&amp;$A174))</f>
        <v>0</v>
      </c>
      <c r="O174" s="56">
        <f ca="1">IF(RTD("tos.rtd",,$A$2,"."&amp;O$135&amp;O$1&amp;"C"&amp;$A174)="N/A",0,RTD("tos.rtd",,$A$2,"."&amp;O$135&amp;O$1&amp;"C"&amp;$A174))-IF(RTD("tos.rtd",,$A$2,"."&amp;O$135&amp;O$1&amp;"P"&amp;$A174)="N/A",0,RTD("tos.rtd",,$A$2,"."&amp;O$135&amp;O$1&amp;"P"&amp;$A174))</f>
        <v>0</v>
      </c>
      <c r="P174" s="56">
        <f ca="1">IF(RTD("tos.rtd",,$A$2,"."&amp;P$135&amp;P$1&amp;"C"&amp;$A174)="N/A",0,RTD("tos.rtd",,$A$2,"."&amp;P$135&amp;P$1&amp;"C"&amp;$A174))-IF(RTD("tos.rtd",,$A$2,"."&amp;P$135&amp;P$1&amp;"P"&amp;$A174)="N/A",0,RTD("tos.rtd",,$A$2,"."&amp;P$135&amp;P$1&amp;"P"&amp;$A174))</f>
        <v>0</v>
      </c>
      <c r="Q174" s="56">
        <f ca="1">IF(RTD("tos.rtd",,$A$2,"."&amp;Q$135&amp;Q$1&amp;"C"&amp;$A174)="N/A",0,RTD("tos.rtd",,$A$2,"."&amp;Q$135&amp;Q$1&amp;"C"&amp;$A174))-IF(RTD("tos.rtd",,$A$2,"."&amp;Q$135&amp;Q$1&amp;"P"&amp;$A174)="N/A",0,RTD("tos.rtd",,$A$2,"."&amp;Q$135&amp;Q$1&amp;"P"&amp;$A174))</f>
        <v>0</v>
      </c>
      <c r="R174" s="56">
        <f ca="1">IF(RTD("tos.rtd",,$A$2,"."&amp;R$135&amp;R$1&amp;"C"&amp;$A174)="N/A",0,RTD("tos.rtd",,$A$2,"."&amp;R$135&amp;R$1&amp;"C"&amp;$A174))-IF(RTD("tos.rtd",,$A$2,"."&amp;R$135&amp;R$1&amp;"P"&amp;$A174)="N/A",0,RTD("tos.rtd",,$A$2,"."&amp;R$135&amp;R$1&amp;"P"&amp;$A174))</f>
        <v>0</v>
      </c>
      <c r="S174" s="56">
        <f ca="1">IF(RTD("tos.rtd",,$A$2,"."&amp;S$135&amp;S$1&amp;"C"&amp;$A174)="N/A",0,RTD("tos.rtd",,$A$2,"."&amp;S$135&amp;S$1&amp;"C"&amp;$A174))-IF(RTD("tos.rtd",,$A$2,"."&amp;S$135&amp;S$1&amp;"P"&amp;$A174)="N/A",0,RTD("tos.rtd",,$A$2,"."&amp;S$135&amp;S$1&amp;"P"&amp;$A174))</f>
        <v>0</v>
      </c>
      <c r="T174" s="56">
        <f ca="1">IF(RTD("tos.rtd",,$A$2,"."&amp;T$135&amp;T$1&amp;"C"&amp;$A174)="N/A",0,RTD("tos.rtd",,$A$2,"."&amp;T$135&amp;T$1&amp;"C"&amp;$A174))-IF(RTD("tos.rtd",,$A$2,"."&amp;T$135&amp;T$1&amp;"P"&amp;$A174)="N/A",0,RTD("tos.rtd",,$A$2,"."&amp;T$135&amp;T$1&amp;"P"&amp;$A174))</f>
        <v>0</v>
      </c>
      <c r="U174" s="56">
        <f ca="1">IF(RTD("tos.rtd",,$A$2,"."&amp;U$135&amp;U$1&amp;"C"&amp;$A174)="N/A",0,RTD("tos.rtd",,$A$2,"."&amp;U$135&amp;U$1&amp;"C"&amp;$A174))-IF(RTD("tos.rtd",,$A$2,"."&amp;U$135&amp;U$1&amp;"P"&amp;$A174)="N/A",0,RTD("tos.rtd",,$A$2,"."&amp;U$135&amp;U$1&amp;"P"&amp;$A174))</f>
        <v>0</v>
      </c>
      <c r="V174" s="56">
        <f ca="1">IF(RTD("tos.rtd",,$A$2,"."&amp;V$135&amp;V$1&amp;"C"&amp;$A174)="N/A",0,RTD("tos.rtd",,$A$2,"."&amp;V$135&amp;V$1&amp;"C"&amp;$A174))-IF(RTD("tos.rtd",,$A$2,"."&amp;V$135&amp;V$1&amp;"P"&amp;$A174)="N/A",0,RTD("tos.rtd",,$A$2,"."&amp;V$135&amp;V$1&amp;"P"&amp;$A174))</f>
        <v>0</v>
      </c>
      <c r="W174" s="56">
        <f ca="1">IF(RTD("tos.rtd",,$A$2,"."&amp;W$135&amp;W$1&amp;"C"&amp;$A174)="N/A",0,RTD("tos.rtd",,$A$2,"."&amp;W$135&amp;W$1&amp;"C"&amp;$A174))-IF(RTD("tos.rtd",,$A$2,"."&amp;W$135&amp;W$1&amp;"P"&amp;$A174)="N/A",0,RTD("tos.rtd",,$A$2,"."&amp;W$135&amp;W$1&amp;"P"&amp;$A174))</f>
        <v>0</v>
      </c>
      <c r="X174" s="56">
        <f ca="1">IF(RTD("tos.rtd",,$A$2,"."&amp;X$135&amp;X$1&amp;"C"&amp;$A174)="N/A",0,RTD("tos.rtd",,$A$2,"."&amp;X$135&amp;X$1&amp;"C"&amp;$A174))-IF(RTD("tos.rtd",,$A$2,"."&amp;X$135&amp;X$1&amp;"P"&amp;$A174)="N/A",0,RTD("tos.rtd",,$A$2,"."&amp;X$135&amp;X$1&amp;"P"&amp;$A174))</f>
        <v>0</v>
      </c>
      <c r="Y174" s="63">
        <f t="shared" ca="1" si="16"/>
        <v>-47</v>
      </c>
      <c r="Z174" s="56"/>
      <c r="AA174" s="56"/>
    </row>
    <row r="175" spans="1:27" x14ac:dyDescent="0.25">
      <c r="A175" s="58">
        <f>+Hoja1!A174</f>
        <v>24675</v>
      </c>
      <c r="B175" s="56">
        <f ca="1">IF(RTD("tos.rtd",,$A$2,"."&amp;B$135&amp;B$1&amp;"C"&amp;$A175)="N/A",0,RTD("tos.rtd",,$A$2,"."&amp;B$135&amp;B$1&amp;"C"&amp;$A175))-IF(RTD("tos.rtd",,$A$2,"."&amp;B$135&amp;B$1&amp;"P"&amp;$A175)="N/A",0,RTD("tos.rtd",,$A$2,"."&amp;B$135&amp;B$1&amp;"P"&amp;$A175))</f>
        <v>0</v>
      </c>
      <c r="C175" s="56">
        <f ca="1">IF(RTD("tos.rtd",,$A$2,"."&amp;C$135&amp;C$1&amp;"C"&amp;$A175)="N/A",0,RTD("tos.rtd",,$A$2,"."&amp;C$135&amp;C$1&amp;"C"&amp;$A175))-IF(RTD("tos.rtd",,$A$2,"."&amp;C$135&amp;C$1&amp;"P"&amp;$A175)="N/A",0,RTD("tos.rtd",,$A$2,"."&amp;C$135&amp;C$1&amp;"P"&amp;$A175))</f>
        <v>0</v>
      </c>
      <c r="D175" s="56">
        <f ca="1">IF(RTD("tos.rtd",,$A$2,"."&amp;D$135&amp;D$1&amp;"C"&amp;$A175)="N/A",0,RTD("tos.rtd",,$A$2,"."&amp;D$135&amp;D$1&amp;"C"&amp;$A175))-IF(RTD("tos.rtd",,$A$2,"."&amp;D$135&amp;D$1&amp;"P"&amp;$A175)="N/A",0,RTD("tos.rtd",,$A$2,"."&amp;D$135&amp;D$1&amp;"P"&amp;$A175))</f>
        <v>0</v>
      </c>
      <c r="E175" s="56">
        <f ca="1">IF(RTD("tos.rtd",,$A$2,"."&amp;E$135&amp;E$1&amp;"C"&amp;$A175)="N/A",0,RTD("tos.rtd",,$A$2,"."&amp;E$135&amp;E$1&amp;"C"&amp;$A175))-IF(RTD("tos.rtd",,$A$2,"."&amp;E$135&amp;E$1&amp;"P"&amp;$A175)="N/A",0,RTD("tos.rtd",,$A$2,"."&amp;E$135&amp;E$1&amp;"P"&amp;$A175))</f>
        <v>0</v>
      </c>
      <c r="F175" s="56">
        <f ca="1">IF(RTD("tos.rtd",,$A$2,"."&amp;F$135&amp;F$1&amp;"C"&amp;$A175)="N/A",0,RTD("tos.rtd",,$A$2,"."&amp;F$135&amp;F$1&amp;"C"&amp;$A175))-IF(RTD("tos.rtd",,$A$2,"."&amp;F$135&amp;F$1&amp;"P"&amp;$A175)="N/A",0,RTD("tos.rtd",,$A$2,"."&amp;F$135&amp;F$1&amp;"P"&amp;$A175))</f>
        <v>0</v>
      </c>
      <c r="G175" s="56">
        <f ca="1">IF(RTD("tos.rtd",,$A$2,"."&amp;G$135&amp;G$1&amp;"C"&amp;$A175)="N/A",0,RTD("tos.rtd",,$A$2,"."&amp;G$135&amp;G$1&amp;"C"&amp;$A175))-IF(RTD("tos.rtd",,$A$2,"."&amp;G$135&amp;G$1&amp;"P"&amp;$A175)="N/A",0,RTD("tos.rtd",,$A$2,"."&amp;G$135&amp;G$1&amp;"P"&amp;$A175))</f>
        <v>0</v>
      </c>
      <c r="H175" s="56">
        <f ca="1">IF(RTD("tos.rtd",,$A$2,"."&amp;H$135&amp;H$1&amp;"C"&amp;$A175)="N/A",0,RTD("tos.rtd",,$A$2,"."&amp;H$135&amp;H$1&amp;"C"&amp;$A175))-IF(RTD("tos.rtd",,$A$2,"."&amp;H$135&amp;H$1&amp;"P"&amp;$A175)="N/A",0,RTD("tos.rtd",,$A$2,"."&amp;H$135&amp;H$1&amp;"P"&amp;$A175))</f>
        <v>0</v>
      </c>
      <c r="I175" s="56">
        <f ca="1">IF(RTD("tos.rtd",,$A$2,"."&amp;I$135&amp;I$1&amp;"C"&amp;$A175)="N/A",0,RTD("tos.rtd",,$A$2,"."&amp;I$135&amp;I$1&amp;"C"&amp;$A175))-IF(RTD("tos.rtd",,$A$2,"."&amp;I$135&amp;I$1&amp;"P"&amp;$A175)="N/A",0,RTD("tos.rtd",,$A$2,"."&amp;I$135&amp;I$1&amp;"P"&amp;$A175))</f>
        <v>0</v>
      </c>
      <c r="J175" s="56">
        <f ca="1">IF(RTD("tos.rtd",,$A$2,"."&amp;J$135&amp;J$1&amp;"C"&amp;$A175)="N/A",0,RTD("tos.rtd",,$A$2,"."&amp;J$135&amp;J$1&amp;"C"&amp;$A175))-IF(RTD("tos.rtd",,$A$2,"."&amp;J$135&amp;J$1&amp;"P"&amp;$A175)="N/A",0,RTD("tos.rtd",,$A$2,"."&amp;J$135&amp;J$1&amp;"P"&amp;$A175))</f>
        <v>0</v>
      </c>
      <c r="K175" s="56">
        <f ca="1">IF(RTD("tos.rtd",,$A$2,"."&amp;K$135&amp;K$1&amp;"C"&amp;$A175)="N/A",0,RTD("tos.rtd",,$A$2,"."&amp;K$135&amp;K$1&amp;"C"&amp;$A175))-IF(RTD("tos.rtd",,$A$2,"."&amp;K$135&amp;K$1&amp;"P"&amp;$A175)="N/A",0,RTD("tos.rtd",,$A$2,"."&amp;K$135&amp;K$1&amp;"P"&amp;$A175))</f>
        <v>0</v>
      </c>
      <c r="L175" s="56">
        <f ca="1">IF(RTD("tos.rtd",,$A$2,"."&amp;L$135&amp;L$1&amp;"C"&amp;$A175)="N/A",0,RTD("tos.rtd",,$A$2,"."&amp;L$135&amp;L$1&amp;"C"&amp;$A175))-IF(RTD("tos.rtd",,$A$2,"."&amp;L$135&amp;L$1&amp;"P"&amp;$A175)="N/A",0,RTD("tos.rtd",,$A$2,"."&amp;L$135&amp;L$1&amp;"P"&amp;$A175))</f>
        <v>0</v>
      </c>
      <c r="M175" s="56">
        <f ca="1">IF(RTD("tos.rtd",,$A$2,"."&amp;M$135&amp;M$1&amp;"C"&amp;$A175)="N/A",0,RTD("tos.rtd",,$A$2,"."&amp;M$135&amp;M$1&amp;"C"&amp;$A175))-IF(RTD("tos.rtd",,$A$2,"."&amp;M$135&amp;M$1&amp;"P"&amp;$A175)="N/A",0,RTD("tos.rtd",,$A$2,"."&amp;M$135&amp;M$1&amp;"P"&amp;$A175))</f>
        <v>0</v>
      </c>
      <c r="N175" s="56">
        <f ca="1">IF(RTD("tos.rtd",,$A$2,"."&amp;N$135&amp;N$1&amp;"C"&amp;$A175)="N/A",0,RTD("tos.rtd",,$A$2,"."&amp;N$135&amp;N$1&amp;"C"&amp;$A175))-IF(RTD("tos.rtd",,$A$2,"."&amp;N$135&amp;N$1&amp;"P"&amp;$A175)="N/A",0,RTD("tos.rtd",,$A$2,"."&amp;N$135&amp;N$1&amp;"P"&amp;$A175))</f>
        <v>0</v>
      </c>
      <c r="O175" s="56">
        <f ca="1">IF(RTD("tos.rtd",,$A$2,"."&amp;O$135&amp;O$1&amp;"C"&amp;$A175)="N/A",0,RTD("tos.rtd",,$A$2,"."&amp;O$135&amp;O$1&amp;"C"&amp;$A175))-IF(RTD("tos.rtd",,$A$2,"."&amp;O$135&amp;O$1&amp;"P"&amp;$A175)="N/A",0,RTD("tos.rtd",,$A$2,"."&amp;O$135&amp;O$1&amp;"P"&amp;$A175))</f>
        <v>0</v>
      </c>
      <c r="P175" s="56">
        <f ca="1">IF(RTD("tos.rtd",,$A$2,"."&amp;P$135&amp;P$1&amp;"C"&amp;$A175)="N/A",0,RTD("tos.rtd",,$A$2,"."&amp;P$135&amp;P$1&amp;"C"&amp;$A175))-IF(RTD("tos.rtd",,$A$2,"."&amp;P$135&amp;P$1&amp;"P"&amp;$A175)="N/A",0,RTD("tos.rtd",,$A$2,"."&amp;P$135&amp;P$1&amp;"P"&amp;$A175))</f>
        <v>0</v>
      </c>
      <c r="Q175" s="56">
        <f ca="1">IF(RTD("tos.rtd",,$A$2,"."&amp;Q$135&amp;Q$1&amp;"C"&amp;$A175)="N/A",0,RTD("tos.rtd",,$A$2,"."&amp;Q$135&amp;Q$1&amp;"C"&amp;$A175))-IF(RTD("tos.rtd",,$A$2,"."&amp;Q$135&amp;Q$1&amp;"P"&amp;$A175)="N/A",0,RTD("tos.rtd",,$A$2,"."&amp;Q$135&amp;Q$1&amp;"P"&amp;$A175))</f>
        <v>0</v>
      </c>
      <c r="R175" s="56">
        <f ca="1">IF(RTD("tos.rtd",,$A$2,"."&amp;R$135&amp;R$1&amp;"C"&amp;$A175)="N/A",0,RTD("tos.rtd",,$A$2,"."&amp;R$135&amp;R$1&amp;"C"&amp;$A175))-IF(RTD("tos.rtd",,$A$2,"."&amp;R$135&amp;R$1&amp;"P"&amp;$A175)="N/A",0,RTD("tos.rtd",,$A$2,"."&amp;R$135&amp;R$1&amp;"P"&amp;$A175))</f>
        <v>0</v>
      </c>
      <c r="S175" s="56">
        <f ca="1">IF(RTD("tos.rtd",,$A$2,"."&amp;S$135&amp;S$1&amp;"C"&amp;$A175)="N/A",0,RTD("tos.rtd",,$A$2,"."&amp;S$135&amp;S$1&amp;"C"&amp;$A175))-IF(RTD("tos.rtd",,$A$2,"."&amp;S$135&amp;S$1&amp;"P"&amp;$A175)="N/A",0,RTD("tos.rtd",,$A$2,"."&amp;S$135&amp;S$1&amp;"P"&amp;$A175))</f>
        <v>0</v>
      </c>
      <c r="T175" s="56">
        <f ca="1">IF(RTD("tos.rtd",,$A$2,"."&amp;T$135&amp;T$1&amp;"C"&amp;$A175)="N/A",0,RTD("tos.rtd",,$A$2,"."&amp;T$135&amp;T$1&amp;"C"&amp;$A175))-IF(RTD("tos.rtd",,$A$2,"."&amp;T$135&amp;T$1&amp;"P"&amp;$A175)="N/A",0,RTD("tos.rtd",,$A$2,"."&amp;T$135&amp;T$1&amp;"P"&amp;$A175))</f>
        <v>0</v>
      </c>
      <c r="U175" s="56">
        <f ca="1">IF(RTD("tos.rtd",,$A$2,"."&amp;U$135&amp;U$1&amp;"C"&amp;$A175)="N/A",0,RTD("tos.rtd",,$A$2,"."&amp;U$135&amp;U$1&amp;"C"&amp;$A175))-IF(RTD("tos.rtd",,$A$2,"."&amp;U$135&amp;U$1&amp;"P"&amp;$A175)="N/A",0,RTD("tos.rtd",,$A$2,"."&amp;U$135&amp;U$1&amp;"P"&amp;$A175))</f>
        <v>0</v>
      </c>
      <c r="V175" s="56">
        <f ca="1">IF(RTD("tos.rtd",,$A$2,"."&amp;V$135&amp;V$1&amp;"C"&amp;$A175)="N/A",0,RTD("tos.rtd",,$A$2,"."&amp;V$135&amp;V$1&amp;"C"&amp;$A175))-IF(RTD("tos.rtd",,$A$2,"."&amp;V$135&amp;V$1&amp;"P"&amp;$A175)="N/A",0,RTD("tos.rtd",,$A$2,"."&amp;V$135&amp;V$1&amp;"P"&amp;$A175))</f>
        <v>0</v>
      </c>
      <c r="W175" s="56">
        <f ca="1">IF(RTD("tos.rtd",,$A$2,"."&amp;W$135&amp;W$1&amp;"C"&amp;$A175)="N/A",0,RTD("tos.rtd",,$A$2,"."&amp;W$135&amp;W$1&amp;"C"&amp;$A175))-IF(RTD("tos.rtd",,$A$2,"."&amp;W$135&amp;W$1&amp;"P"&amp;$A175)="N/A",0,RTD("tos.rtd",,$A$2,"."&amp;W$135&amp;W$1&amp;"P"&amp;$A175))</f>
        <v>0</v>
      </c>
      <c r="X175" s="56">
        <f ca="1">IF(RTD("tos.rtd",,$A$2,"."&amp;X$135&amp;X$1&amp;"C"&amp;$A175)="N/A",0,RTD("tos.rtd",,$A$2,"."&amp;X$135&amp;X$1&amp;"C"&amp;$A175))-IF(RTD("tos.rtd",,$A$2,"."&amp;X$135&amp;X$1&amp;"P"&amp;$A175)="N/A",0,RTD("tos.rtd",,$A$2,"."&amp;X$135&amp;X$1&amp;"P"&amp;$A175))</f>
        <v>0</v>
      </c>
      <c r="Y175" s="63">
        <f t="shared" ca="1" si="16"/>
        <v>0</v>
      </c>
      <c r="Z175" s="56"/>
      <c r="AA175" s="56"/>
    </row>
    <row r="176" spans="1:27" x14ac:dyDescent="0.25">
      <c r="A176" s="58">
        <f>+Hoja1!A175</f>
        <v>24650</v>
      </c>
      <c r="B176" s="56">
        <f ca="1">IF(RTD("tos.rtd",,$A$2,"."&amp;B$135&amp;B$1&amp;"C"&amp;$A176)="N/A",0,RTD("tos.rtd",,$A$2,"."&amp;B$135&amp;B$1&amp;"C"&amp;$A176))-IF(RTD("tos.rtd",,$A$2,"."&amp;B$135&amp;B$1&amp;"P"&amp;$A176)="N/A",0,RTD("tos.rtd",,$A$2,"."&amp;B$135&amp;B$1&amp;"P"&amp;$A176))</f>
        <v>2</v>
      </c>
      <c r="C176" s="56">
        <f ca="1">IF(RTD("tos.rtd",,$A$2,"."&amp;C$135&amp;C$1&amp;"C"&amp;$A176)="N/A",0,RTD("tos.rtd",,$A$2,"."&amp;C$135&amp;C$1&amp;"C"&amp;$A176))-IF(RTD("tos.rtd",,$A$2,"."&amp;C$135&amp;C$1&amp;"P"&amp;$A176)="N/A",0,RTD("tos.rtd",,$A$2,"."&amp;C$135&amp;C$1&amp;"P"&amp;$A176))</f>
        <v>-1</v>
      </c>
      <c r="D176" s="56">
        <f ca="1">IF(RTD("tos.rtd",,$A$2,"."&amp;D$135&amp;D$1&amp;"C"&amp;$A176)="N/A",0,RTD("tos.rtd",,$A$2,"."&amp;D$135&amp;D$1&amp;"C"&amp;$A176))-IF(RTD("tos.rtd",,$A$2,"."&amp;D$135&amp;D$1&amp;"P"&amp;$A176)="N/A",0,RTD("tos.rtd",,$A$2,"."&amp;D$135&amp;D$1&amp;"P"&amp;$A176))</f>
        <v>-4</v>
      </c>
      <c r="E176" s="56">
        <f ca="1">IF(RTD("tos.rtd",,$A$2,"."&amp;E$135&amp;E$1&amp;"C"&amp;$A176)="N/A",0,RTD("tos.rtd",,$A$2,"."&amp;E$135&amp;E$1&amp;"C"&amp;$A176))-IF(RTD("tos.rtd",,$A$2,"."&amp;E$135&amp;E$1&amp;"P"&amp;$A176)="N/A",0,RTD("tos.rtd",,$A$2,"."&amp;E$135&amp;E$1&amp;"P"&amp;$A176))</f>
        <v>0</v>
      </c>
      <c r="F176" s="56">
        <f ca="1">IF(RTD("tos.rtd",,$A$2,"."&amp;F$135&amp;F$1&amp;"C"&amp;$A176)="N/A",0,RTD("tos.rtd",,$A$2,"."&amp;F$135&amp;F$1&amp;"C"&amp;$A176))-IF(RTD("tos.rtd",,$A$2,"."&amp;F$135&amp;F$1&amp;"P"&amp;$A176)="N/A",0,RTD("tos.rtd",,$A$2,"."&amp;F$135&amp;F$1&amp;"P"&amp;$A176))</f>
        <v>0</v>
      </c>
      <c r="G176" s="56">
        <f ca="1">IF(RTD("tos.rtd",,$A$2,"."&amp;G$135&amp;G$1&amp;"C"&amp;$A176)="N/A",0,RTD("tos.rtd",,$A$2,"."&amp;G$135&amp;G$1&amp;"C"&amp;$A176))-IF(RTD("tos.rtd",,$A$2,"."&amp;G$135&amp;G$1&amp;"P"&amp;$A176)="N/A",0,RTD("tos.rtd",,$A$2,"."&amp;G$135&amp;G$1&amp;"P"&amp;$A176))</f>
        <v>0</v>
      </c>
      <c r="H176" s="56">
        <f ca="1">IF(RTD("tos.rtd",,$A$2,"."&amp;H$135&amp;H$1&amp;"C"&amp;$A176)="N/A",0,RTD("tos.rtd",,$A$2,"."&amp;H$135&amp;H$1&amp;"C"&amp;$A176))-IF(RTD("tos.rtd",,$A$2,"."&amp;H$135&amp;H$1&amp;"P"&amp;$A176)="N/A",0,RTD("tos.rtd",,$A$2,"."&amp;H$135&amp;H$1&amp;"P"&amp;$A176))</f>
        <v>0</v>
      </c>
      <c r="I176" s="56">
        <f ca="1">IF(RTD("tos.rtd",,$A$2,"."&amp;I$135&amp;I$1&amp;"C"&amp;$A176)="N/A",0,RTD("tos.rtd",,$A$2,"."&amp;I$135&amp;I$1&amp;"C"&amp;$A176))-IF(RTD("tos.rtd",,$A$2,"."&amp;I$135&amp;I$1&amp;"P"&amp;$A176)="N/A",0,RTD("tos.rtd",,$A$2,"."&amp;I$135&amp;I$1&amp;"P"&amp;$A176))</f>
        <v>0</v>
      </c>
      <c r="J176" s="56">
        <f ca="1">IF(RTD("tos.rtd",,$A$2,"."&amp;J$135&amp;J$1&amp;"C"&amp;$A176)="N/A",0,RTD("tos.rtd",,$A$2,"."&amp;J$135&amp;J$1&amp;"C"&amp;$A176))-IF(RTD("tos.rtd",,$A$2,"."&amp;J$135&amp;J$1&amp;"P"&amp;$A176)="N/A",0,RTD("tos.rtd",,$A$2,"."&amp;J$135&amp;J$1&amp;"P"&amp;$A176))</f>
        <v>0</v>
      </c>
      <c r="K176" s="56">
        <f ca="1">IF(RTD("tos.rtd",,$A$2,"."&amp;K$135&amp;K$1&amp;"C"&amp;$A176)="N/A",0,RTD("tos.rtd",,$A$2,"."&amp;K$135&amp;K$1&amp;"C"&amp;$A176))-IF(RTD("tos.rtd",,$A$2,"."&amp;K$135&amp;K$1&amp;"P"&amp;$A176)="N/A",0,RTD("tos.rtd",,$A$2,"."&amp;K$135&amp;K$1&amp;"P"&amp;$A176))</f>
        <v>-2</v>
      </c>
      <c r="L176" s="56">
        <f ca="1">IF(RTD("tos.rtd",,$A$2,"."&amp;L$135&amp;L$1&amp;"C"&amp;$A176)="N/A",0,RTD("tos.rtd",,$A$2,"."&amp;L$135&amp;L$1&amp;"C"&amp;$A176))-IF(RTD("tos.rtd",,$A$2,"."&amp;L$135&amp;L$1&amp;"P"&amp;$A176)="N/A",0,RTD("tos.rtd",,$A$2,"."&amp;L$135&amp;L$1&amp;"P"&amp;$A176))</f>
        <v>0</v>
      </c>
      <c r="M176" s="56">
        <f ca="1">IF(RTD("tos.rtd",,$A$2,"."&amp;M$135&amp;M$1&amp;"C"&amp;$A176)="N/A",0,RTD("tos.rtd",,$A$2,"."&amp;M$135&amp;M$1&amp;"C"&amp;$A176))-IF(RTD("tos.rtd",,$A$2,"."&amp;M$135&amp;M$1&amp;"P"&amp;$A176)="N/A",0,RTD("tos.rtd",,$A$2,"."&amp;M$135&amp;M$1&amp;"P"&amp;$A176))</f>
        <v>0</v>
      </c>
      <c r="N176" s="56">
        <f ca="1">IF(RTD("tos.rtd",,$A$2,"."&amp;N$135&amp;N$1&amp;"C"&amp;$A176)="N/A",0,RTD("tos.rtd",,$A$2,"."&amp;N$135&amp;N$1&amp;"C"&amp;$A176))-IF(RTD("tos.rtd",,$A$2,"."&amp;N$135&amp;N$1&amp;"P"&amp;$A176)="N/A",0,RTD("tos.rtd",,$A$2,"."&amp;N$135&amp;N$1&amp;"P"&amp;$A176))</f>
        <v>0</v>
      </c>
      <c r="O176" s="56">
        <f ca="1">IF(RTD("tos.rtd",,$A$2,"."&amp;O$135&amp;O$1&amp;"C"&amp;$A176)="N/A",0,RTD("tos.rtd",,$A$2,"."&amp;O$135&amp;O$1&amp;"C"&amp;$A176))-IF(RTD("tos.rtd",,$A$2,"."&amp;O$135&amp;O$1&amp;"P"&amp;$A176)="N/A",0,RTD("tos.rtd",,$A$2,"."&amp;O$135&amp;O$1&amp;"P"&amp;$A176))</f>
        <v>0</v>
      </c>
      <c r="P176" s="56">
        <f ca="1">IF(RTD("tos.rtd",,$A$2,"."&amp;P$135&amp;P$1&amp;"C"&amp;$A176)="N/A",0,RTD("tos.rtd",,$A$2,"."&amp;P$135&amp;P$1&amp;"C"&amp;$A176))-IF(RTD("tos.rtd",,$A$2,"."&amp;P$135&amp;P$1&amp;"P"&amp;$A176)="N/A",0,RTD("tos.rtd",,$A$2,"."&amp;P$135&amp;P$1&amp;"P"&amp;$A176))</f>
        <v>0</v>
      </c>
      <c r="Q176" s="56">
        <f ca="1">IF(RTD("tos.rtd",,$A$2,"."&amp;Q$135&amp;Q$1&amp;"C"&amp;$A176)="N/A",0,RTD("tos.rtd",,$A$2,"."&amp;Q$135&amp;Q$1&amp;"C"&amp;$A176))-IF(RTD("tos.rtd",,$A$2,"."&amp;Q$135&amp;Q$1&amp;"P"&amp;$A176)="N/A",0,RTD("tos.rtd",,$A$2,"."&amp;Q$135&amp;Q$1&amp;"P"&amp;$A176))</f>
        <v>0</v>
      </c>
      <c r="R176" s="56">
        <f ca="1">IF(RTD("tos.rtd",,$A$2,"."&amp;R$135&amp;R$1&amp;"C"&amp;$A176)="N/A",0,RTD("tos.rtd",,$A$2,"."&amp;R$135&amp;R$1&amp;"C"&amp;$A176))-IF(RTD("tos.rtd",,$A$2,"."&amp;R$135&amp;R$1&amp;"P"&amp;$A176)="N/A",0,RTD("tos.rtd",,$A$2,"."&amp;R$135&amp;R$1&amp;"P"&amp;$A176))</f>
        <v>0</v>
      </c>
      <c r="S176" s="56">
        <f ca="1">IF(RTD("tos.rtd",,$A$2,"."&amp;S$135&amp;S$1&amp;"C"&amp;$A176)="N/A",0,RTD("tos.rtd",,$A$2,"."&amp;S$135&amp;S$1&amp;"C"&amp;$A176))-IF(RTD("tos.rtd",,$A$2,"."&amp;S$135&amp;S$1&amp;"P"&amp;$A176)="N/A",0,RTD("tos.rtd",,$A$2,"."&amp;S$135&amp;S$1&amp;"P"&amp;$A176))</f>
        <v>0</v>
      </c>
      <c r="T176" s="56">
        <f ca="1">IF(RTD("tos.rtd",,$A$2,"."&amp;T$135&amp;T$1&amp;"C"&amp;$A176)="N/A",0,RTD("tos.rtd",,$A$2,"."&amp;T$135&amp;T$1&amp;"C"&amp;$A176))-IF(RTD("tos.rtd",,$A$2,"."&amp;T$135&amp;T$1&amp;"P"&amp;$A176)="N/A",0,RTD("tos.rtd",,$A$2,"."&amp;T$135&amp;T$1&amp;"P"&amp;$A176))</f>
        <v>0</v>
      </c>
      <c r="U176" s="56">
        <f ca="1">IF(RTD("tos.rtd",,$A$2,"."&amp;U$135&amp;U$1&amp;"C"&amp;$A176)="N/A",0,RTD("tos.rtd",,$A$2,"."&amp;U$135&amp;U$1&amp;"C"&amp;$A176))-IF(RTD("tos.rtd",,$A$2,"."&amp;U$135&amp;U$1&amp;"P"&amp;$A176)="N/A",0,RTD("tos.rtd",,$A$2,"."&amp;U$135&amp;U$1&amp;"P"&amp;$A176))</f>
        <v>0</v>
      </c>
      <c r="V176" s="56">
        <f ca="1">IF(RTD("tos.rtd",,$A$2,"."&amp;V$135&amp;V$1&amp;"C"&amp;$A176)="N/A",0,RTD("tos.rtd",,$A$2,"."&amp;V$135&amp;V$1&amp;"C"&amp;$A176))-IF(RTD("tos.rtd",,$A$2,"."&amp;V$135&amp;V$1&amp;"P"&amp;$A176)="N/A",0,RTD("tos.rtd",,$A$2,"."&amp;V$135&amp;V$1&amp;"P"&amp;$A176))</f>
        <v>0</v>
      </c>
      <c r="W176" s="56">
        <f ca="1">IF(RTD("tos.rtd",,$A$2,"."&amp;W$135&amp;W$1&amp;"C"&amp;$A176)="N/A",0,RTD("tos.rtd",,$A$2,"."&amp;W$135&amp;W$1&amp;"C"&amp;$A176))-IF(RTD("tos.rtd",,$A$2,"."&amp;W$135&amp;W$1&amp;"P"&amp;$A176)="N/A",0,RTD("tos.rtd",,$A$2,"."&amp;W$135&amp;W$1&amp;"P"&amp;$A176))</f>
        <v>0</v>
      </c>
      <c r="X176" s="56">
        <f ca="1">IF(RTD("tos.rtd",,$A$2,"."&amp;X$135&amp;X$1&amp;"C"&amp;$A176)="N/A",0,RTD("tos.rtd",,$A$2,"."&amp;X$135&amp;X$1&amp;"C"&amp;$A176))-IF(RTD("tos.rtd",,$A$2,"."&amp;X$135&amp;X$1&amp;"P"&amp;$A176)="N/A",0,RTD("tos.rtd",,$A$2,"."&amp;X$135&amp;X$1&amp;"P"&amp;$A176))</f>
        <v>0</v>
      </c>
      <c r="Y176" s="63">
        <f t="shared" ca="1" si="16"/>
        <v>-5</v>
      </c>
      <c r="Z176" s="56"/>
      <c r="AA176" s="56"/>
    </row>
    <row r="177" spans="1:27" x14ac:dyDescent="0.25">
      <c r="A177" s="58">
        <f>+Hoja1!A176</f>
        <v>24625</v>
      </c>
      <c r="B177" s="56">
        <f ca="1">IF(RTD("tos.rtd",,$A$2,"."&amp;B$135&amp;B$1&amp;"C"&amp;$A177)="N/A",0,RTD("tos.rtd",,$A$2,"."&amp;B$135&amp;B$1&amp;"C"&amp;$A177))-IF(RTD("tos.rtd",,$A$2,"."&amp;B$135&amp;B$1&amp;"P"&amp;$A177)="N/A",0,RTD("tos.rtd",,$A$2,"."&amp;B$135&amp;B$1&amp;"P"&amp;$A177))</f>
        <v>0</v>
      </c>
      <c r="C177" s="56">
        <f ca="1">IF(RTD("tos.rtd",,$A$2,"."&amp;C$135&amp;C$1&amp;"C"&amp;$A177)="N/A",0,RTD("tos.rtd",,$A$2,"."&amp;C$135&amp;C$1&amp;"C"&amp;$A177))-IF(RTD("tos.rtd",,$A$2,"."&amp;C$135&amp;C$1&amp;"P"&amp;$A177)="N/A",0,RTD("tos.rtd",,$A$2,"."&amp;C$135&amp;C$1&amp;"P"&amp;$A177))</f>
        <v>0</v>
      </c>
      <c r="D177" s="56">
        <f ca="1">IF(RTD("tos.rtd",,$A$2,"."&amp;D$135&amp;D$1&amp;"C"&amp;$A177)="N/A",0,RTD("tos.rtd",,$A$2,"."&amp;D$135&amp;D$1&amp;"C"&amp;$A177))-IF(RTD("tos.rtd",,$A$2,"."&amp;D$135&amp;D$1&amp;"P"&amp;$A177)="N/A",0,RTD("tos.rtd",,$A$2,"."&amp;D$135&amp;D$1&amp;"P"&amp;$A177))</f>
        <v>0</v>
      </c>
      <c r="E177" s="56">
        <f ca="1">IF(RTD("tos.rtd",,$A$2,"."&amp;E$135&amp;E$1&amp;"C"&amp;$A177)="N/A",0,RTD("tos.rtd",,$A$2,"."&amp;E$135&amp;E$1&amp;"C"&amp;$A177))-IF(RTD("tos.rtd",,$A$2,"."&amp;E$135&amp;E$1&amp;"P"&amp;$A177)="N/A",0,RTD("tos.rtd",,$A$2,"."&amp;E$135&amp;E$1&amp;"P"&amp;$A177))</f>
        <v>0</v>
      </c>
      <c r="F177" s="56">
        <f ca="1">IF(RTD("tos.rtd",,$A$2,"."&amp;F$135&amp;F$1&amp;"C"&amp;$A177)="N/A",0,RTD("tos.rtd",,$A$2,"."&amp;F$135&amp;F$1&amp;"C"&amp;$A177))-IF(RTD("tos.rtd",,$A$2,"."&amp;F$135&amp;F$1&amp;"P"&amp;$A177)="N/A",0,RTD("tos.rtd",,$A$2,"."&amp;F$135&amp;F$1&amp;"P"&amp;$A177))</f>
        <v>0</v>
      </c>
      <c r="G177" s="56">
        <f ca="1">IF(RTD("tos.rtd",,$A$2,"."&amp;G$135&amp;G$1&amp;"C"&amp;$A177)="N/A",0,RTD("tos.rtd",,$A$2,"."&amp;G$135&amp;G$1&amp;"C"&amp;$A177))-IF(RTD("tos.rtd",,$A$2,"."&amp;G$135&amp;G$1&amp;"P"&amp;$A177)="N/A",0,RTD("tos.rtd",,$A$2,"."&amp;G$135&amp;G$1&amp;"P"&amp;$A177))</f>
        <v>0</v>
      </c>
      <c r="H177" s="56">
        <f ca="1">IF(RTD("tos.rtd",,$A$2,"."&amp;H$135&amp;H$1&amp;"C"&amp;$A177)="N/A",0,RTD("tos.rtd",,$A$2,"."&amp;H$135&amp;H$1&amp;"C"&amp;$A177))-IF(RTD("tos.rtd",,$A$2,"."&amp;H$135&amp;H$1&amp;"P"&amp;$A177)="N/A",0,RTD("tos.rtd",,$A$2,"."&amp;H$135&amp;H$1&amp;"P"&amp;$A177))</f>
        <v>0</v>
      </c>
      <c r="I177" s="56">
        <f ca="1">IF(RTD("tos.rtd",,$A$2,"."&amp;I$135&amp;I$1&amp;"C"&amp;$A177)="N/A",0,RTD("tos.rtd",,$A$2,"."&amp;I$135&amp;I$1&amp;"C"&amp;$A177))-IF(RTD("tos.rtd",,$A$2,"."&amp;I$135&amp;I$1&amp;"P"&amp;$A177)="N/A",0,RTD("tos.rtd",,$A$2,"."&amp;I$135&amp;I$1&amp;"P"&amp;$A177))</f>
        <v>0</v>
      </c>
      <c r="J177" s="56">
        <f ca="1">IF(RTD("tos.rtd",,$A$2,"."&amp;J$135&amp;J$1&amp;"C"&amp;$A177)="N/A",0,RTD("tos.rtd",,$A$2,"."&amp;J$135&amp;J$1&amp;"C"&amp;$A177))-IF(RTD("tos.rtd",,$A$2,"."&amp;J$135&amp;J$1&amp;"P"&amp;$A177)="N/A",0,RTD("tos.rtd",,$A$2,"."&amp;J$135&amp;J$1&amp;"P"&amp;$A177))</f>
        <v>0</v>
      </c>
      <c r="K177" s="56">
        <f ca="1">IF(RTD("tos.rtd",,$A$2,"."&amp;K$135&amp;K$1&amp;"C"&amp;$A177)="N/A",0,RTD("tos.rtd",,$A$2,"."&amp;K$135&amp;K$1&amp;"C"&amp;$A177))-IF(RTD("tos.rtd",,$A$2,"."&amp;K$135&amp;K$1&amp;"P"&amp;$A177)="N/A",0,RTD("tos.rtd",,$A$2,"."&amp;K$135&amp;K$1&amp;"P"&amp;$A177))</f>
        <v>26</v>
      </c>
      <c r="L177" s="56">
        <f ca="1">IF(RTD("tos.rtd",,$A$2,"."&amp;L$135&amp;L$1&amp;"C"&amp;$A177)="N/A",0,RTD("tos.rtd",,$A$2,"."&amp;L$135&amp;L$1&amp;"C"&amp;$A177))-IF(RTD("tos.rtd",,$A$2,"."&amp;L$135&amp;L$1&amp;"P"&amp;$A177)="N/A",0,RTD("tos.rtd",,$A$2,"."&amp;L$135&amp;L$1&amp;"P"&amp;$A177))</f>
        <v>0</v>
      </c>
      <c r="M177" s="56">
        <f ca="1">IF(RTD("tos.rtd",,$A$2,"."&amp;M$135&amp;M$1&amp;"C"&amp;$A177)="N/A",0,RTD("tos.rtd",,$A$2,"."&amp;M$135&amp;M$1&amp;"C"&amp;$A177))-IF(RTD("tos.rtd",,$A$2,"."&amp;M$135&amp;M$1&amp;"P"&amp;$A177)="N/A",0,RTD("tos.rtd",,$A$2,"."&amp;M$135&amp;M$1&amp;"P"&amp;$A177))</f>
        <v>0</v>
      </c>
      <c r="N177" s="56">
        <f ca="1">IF(RTD("tos.rtd",,$A$2,"."&amp;N$135&amp;N$1&amp;"C"&amp;$A177)="N/A",0,RTD("tos.rtd",,$A$2,"."&amp;N$135&amp;N$1&amp;"C"&amp;$A177))-IF(RTD("tos.rtd",,$A$2,"."&amp;N$135&amp;N$1&amp;"P"&amp;$A177)="N/A",0,RTD("tos.rtd",,$A$2,"."&amp;N$135&amp;N$1&amp;"P"&amp;$A177))</f>
        <v>0</v>
      </c>
      <c r="O177" s="56">
        <f ca="1">IF(RTD("tos.rtd",,$A$2,"."&amp;O$135&amp;O$1&amp;"C"&amp;$A177)="N/A",0,RTD("tos.rtd",,$A$2,"."&amp;O$135&amp;O$1&amp;"C"&amp;$A177))-IF(RTD("tos.rtd",,$A$2,"."&amp;O$135&amp;O$1&amp;"P"&amp;$A177)="N/A",0,RTD("tos.rtd",,$A$2,"."&amp;O$135&amp;O$1&amp;"P"&amp;$A177))</f>
        <v>0</v>
      </c>
      <c r="P177" s="56">
        <f ca="1">IF(RTD("tos.rtd",,$A$2,"."&amp;P$135&amp;P$1&amp;"C"&amp;$A177)="N/A",0,RTD("tos.rtd",,$A$2,"."&amp;P$135&amp;P$1&amp;"C"&amp;$A177))-IF(RTD("tos.rtd",,$A$2,"."&amp;P$135&amp;P$1&amp;"P"&amp;$A177)="N/A",0,RTD("tos.rtd",,$A$2,"."&amp;P$135&amp;P$1&amp;"P"&amp;$A177))</f>
        <v>0</v>
      </c>
      <c r="Q177" s="56">
        <f ca="1">IF(RTD("tos.rtd",,$A$2,"."&amp;Q$135&amp;Q$1&amp;"C"&amp;$A177)="N/A",0,RTD("tos.rtd",,$A$2,"."&amp;Q$135&amp;Q$1&amp;"C"&amp;$A177))-IF(RTD("tos.rtd",,$A$2,"."&amp;Q$135&amp;Q$1&amp;"P"&amp;$A177)="N/A",0,RTD("tos.rtd",,$A$2,"."&amp;Q$135&amp;Q$1&amp;"P"&amp;$A177))</f>
        <v>0</v>
      </c>
      <c r="R177" s="56">
        <f ca="1">IF(RTD("tos.rtd",,$A$2,"."&amp;R$135&amp;R$1&amp;"C"&amp;$A177)="N/A",0,RTD("tos.rtd",,$A$2,"."&amp;R$135&amp;R$1&amp;"C"&amp;$A177))-IF(RTD("tos.rtd",,$A$2,"."&amp;R$135&amp;R$1&amp;"P"&amp;$A177)="N/A",0,RTD("tos.rtd",,$A$2,"."&amp;R$135&amp;R$1&amp;"P"&amp;$A177))</f>
        <v>0</v>
      </c>
      <c r="S177" s="56">
        <f ca="1">IF(RTD("tos.rtd",,$A$2,"."&amp;S$135&amp;S$1&amp;"C"&amp;$A177)="N/A",0,RTD("tos.rtd",,$A$2,"."&amp;S$135&amp;S$1&amp;"C"&amp;$A177))-IF(RTD("tos.rtd",,$A$2,"."&amp;S$135&amp;S$1&amp;"P"&amp;$A177)="N/A",0,RTD("tos.rtd",,$A$2,"."&amp;S$135&amp;S$1&amp;"P"&amp;$A177))</f>
        <v>0</v>
      </c>
      <c r="T177" s="56">
        <f ca="1">IF(RTD("tos.rtd",,$A$2,"."&amp;T$135&amp;T$1&amp;"C"&amp;$A177)="N/A",0,RTD("tos.rtd",,$A$2,"."&amp;T$135&amp;T$1&amp;"C"&amp;$A177))-IF(RTD("tos.rtd",,$A$2,"."&amp;T$135&amp;T$1&amp;"P"&amp;$A177)="N/A",0,RTD("tos.rtd",,$A$2,"."&amp;T$135&amp;T$1&amp;"P"&amp;$A177))</f>
        <v>0</v>
      </c>
      <c r="U177" s="56">
        <f ca="1">IF(RTD("tos.rtd",,$A$2,"."&amp;U$135&amp;U$1&amp;"C"&amp;$A177)="N/A",0,RTD("tos.rtd",,$A$2,"."&amp;U$135&amp;U$1&amp;"C"&amp;$A177))-IF(RTD("tos.rtd",,$A$2,"."&amp;U$135&amp;U$1&amp;"P"&amp;$A177)="N/A",0,RTD("tos.rtd",,$A$2,"."&amp;U$135&amp;U$1&amp;"P"&amp;$A177))</f>
        <v>0</v>
      </c>
      <c r="V177" s="56">
        <f ca="1">IF(RTD("tos.rtd",,$A$2,"."&amp;V$135&amp;V$1&amp;"C"&amp;$A177)="N/A",0,RTD("tos.rtd",,$A$2,"."&amp;V$135&amp;V$1&amp;"C"&amp;$A177))-IF(RTD("tos.rtd",,$A$2,"."&amp;V$135&amp;V$1&amp;"P"&amp;$A177)="N/A",0,RTD("tos.rtd",,$A$2,"."&amp;V$135&amp;V$1&amp;"P"&amp;$A177))</f>
        <v>0</v>
      </c>
      <c r="W177" s="56">
        <f ca="1">IF(RTD("tos.rtd",,$A$2,"."&amp;W$135&amp;W$1&amp;"C"&amp;$A177)="N/A",0,RTD("tos.rtd",,$A$2,"."&amp;W$135&amp;W$1&amp;"C"&amp;$A177))-IF(RTD("tos.rtd",,$A$2,"."&amp;W$135&amp;W$1&amp;"P"&amp;$A177)="N/A",0,RTD("tos.rtd",,$A$2,"."&amp;W$135&amp;W$1&amp;"P"&amp;$A177))</f>
        <v>0</v>
      </c>
      <c r="X177" s="56">
        <f ca="1">IF(RTD("tos.rtd",,$A$2,"."&amp;X$135&amp;X$1&amp;"C"&amp;$A177)="N/A",0,RTD("tos.rtd",,$A$2,"."&amp;X$135&amp;X$1&amp;"C"&amp;$A177))-IF(RTD("tos.rtd",,$A$2,"."&amp;X$135&amp;X$1&amp;"P"&amp;$A177)="N/A",0,RTD("tos.rtd",,$A$2,"."&amp;X$135&amp;X$1&amp;"P"&amp;$A177))</f>
        <v>0</v>
      </c>
      <c r="Y177" s="63">
        <f t="shared" ca="1" si="16"/>
        <v>26</v>
      </c>
      <c r="Z177" s="56"/>
      <c r="AA177" s="56"/>
    </row>
    <row r="178" spans="1:27" x14ac:dyDescent="0.25">
      <c r="A178" s="58">
        <f>+Hoja1!A177</f>
        <v>24600</v>
      </c>
      <c r="B178" s="56">
        <f ca="1">IF(RTD("tos.rtd",,$A$2,"."&amp;B$135&amp;B$1&amp;"C"&amp;$A178)="N/A",0,RTD("tos.rtd",,$A$2,"."&amp;B$135&amp;B$1&amp;"C"&amp;$A178))-IF(RTD("tos.rtd",,$A$2,"."&amp;B$135&amp;B$1&amp;"P"&amp;$A178)="N/A",0,RTD("tos.rtd",,$A$2,"."&amp;B$135&amp;B$1&amp;"P"&amp;$A178))</f>
        <v>-241</v>
      </c>
      <c r="C178" s="56">
        <f ca="1">IF(RTD("tos.rtd",,$A$2,"."&amp;C$135&amp;C$1&amp;"C"&amp;$A178)="N/A",0,RTD("tos.rtd",,$A$2,"."&amp;C$135&amp;C$1&amp;"C"&amp;$A178))-IF(RTD("tos.rtd",,$A$2,"."&amp;C$135&amp;C$1&amp;"P"&amp;$A178)="N/A",0,RTD("tos.rtd",,$A$2,"."&amp;C$135&amp;C$1&amp;"P"&amp;$A178))</f>
        <v>-17</v>
      </c>
      <c r="D178" s="56">
        <f ca="1">IF(RTD("tos.rtd",,$A$2,"."&amp;D$135&amp;D$1&amp;"C"&amp;$A178)="N/A",0,RTD("tos.rtd",,$A$2,"."&amp;D$135&amp;D$1&amp;"C"&amp;$A178))-IF(RTD("tos.rtd",,$A$2,"."&amp;D$135&amp;D$1&amp;"P"&amp;$A178)="N/A",0,RTD("tos.rtd",,$A$2,"."&amp;D$135&amp;D$1&amp;"P"&amp;$A178))</f>
        <v>-7</v>
      </c>
      <c r="E178" s="56">
        <f ca="1">IF(RTD("tos.rtd",,$A$2,"."&amp;E$135&amp;E$1&amp;"C"&amp;$A178)="N/A",0,RTD("tos.rtd",,$A$2,"."&amp;E$135&amp;E$1&amp;"C"&amp;$A178))-IF(RTD("tos.rtd",,$A$2,"."&amp;E$135&amp;E$1&amp;"P"&amp;$A178)="N/A",0,RTD("tos.rtd",,$A$2,"."&amp;E$135&amp;E$1&amp;"P"&amp;$A178))</f>
        <v>-7</v>
      </c>
      <c r="F178" s="56">
        <f ca="1">IF(RTD("tos.rtd",,$A$2,"."&amp;F$135&amp;F$1&amp;"C"&amp;$A178)="N/A",0,RTD("tos.rtd",,$A$2,"."&amp;F$135&amp;F$1&amp;"C"&amp;$A178))-IF(RTD("tos.rtd",,$A$2,"."&amp;F$135&amp;F$1&amp;"P"&amp;$A178)="N/A",0,RTD("tos.rtd",,$A$2,"."&amp;F$135&amp;F$1&amp;"P"&amp;$A178))</f>
        <v>0</v>
      </c>
      <c r="G178" s="56">
        <f ca="1">IF(RTD("tos.rtd",,$A$2,"."&amp;G$135&amp;G$1&amp;"C"&amp;$A178)="N/A",0,RTD("tos.rtd",,$A$2,"."&amp;G$135&amp;G$1&amp;"C"&amp;$A178))-IF(RTD("tos.rtd",,$A$2,"."&amp;G$135&amp;G$1&amp;"P"&amp;$A178)="N/A",0,RTD("tos.rtd",,$A$2,"."&amp;G$135&amp;G$1&amp;"P"&amp;$A178))</f>
        <v>0</v>
      </c>
      <c r="H178" s="56">
        <f ca="1">IF(RTD("tos.rtd",,$A$2,"."&amp;H$135&amp;H$1&amp;"C"&amp;$A178)="N/A",0,RTD("tos.rtd",,$A$2,"."&amp;H$135&amp;H$1&amp;"C"&amp;$A178))-IF(RTD("tos.rtd",,$A$2,"."&amp;H$135&amp;H$1&amp;"P"&amp;$A178)="N/A",0,RTD("tos.rtd",,$A$2,"."&amp;H$135&amp;H$1&amp;"P"&amp;$A178))</f>
        <v>0</v>
      </c>
      <c r="I178" s="56">
        <f ca="1">IF(RTD("tos.rtd",,$A$2,"."&amp;I$135&amp;I$1&amp;"C"&amp;$A178)="N/A",0,RTD("tos.rtd",,$A$2,"."&amp;I$135&amp;I$1&amp;"C"&amp;$A178))-IF(RTD("tos.rtd",,$A$2,"."&amp;I$135&amp;I$1&amp;"P"&amp;$A178)="N/A",0,RTD("tos.rtd",,$A$2,"."&amp;I$135&amp;I$1&amp;"P"&amp;$A178))</f>
        <v>0</v>
      </c>
      <c r="J178" s="56">
        <f ca="1">IF(RTD("tos.rtd",,$A$2,"."&amp;J$135&amp;J$1&amp;"C"&amp;$A178)="N/A",0,RTD("tos.rtd",,$A$2,"."&amp;J$135&amp;J$1&amp;"C"&amp;$A178))-IF(RTD("tos.rtd",,$A$2,"."&amp;J$135&amp;J$1&amp;"P"&amp;$A178)="N/A",0,RTD("tos.rtd",,$A$2,"."&amp;J$135&amp;J$1&amp;"P"&amp;$A178))</f>
        <v>-1</v>
      </c>
      <c r="K178" s="56">
        <f ca="1">IF(RTD("tos.rtd",,$A$2,"."&amp;K$135&amp;K$1&amp;"C"&amp;$A178)="N/A",0,RTD("tos.rtd",,$A$2,"."&amp;K$135&amp;K$1&amp;"C"&amp;$A178))-IF(RTD("tos.rtd",,$A$2,"."&amp;K$135&amp;K$1&amp;"P"&amp;$A178)="N/A",0,RTD("tos.rtd",,$A$2,"."&amp;K$135&amp;K$1&amp;"P"&amp;$A178))</f>
        <v>-68</v>
      </c>
      <c r="L178" s="56">
        <f ca="1">IF(RTD("tos.rtd",,$A$2,"."&amp;L$135&amp;L$1&amp;"C"&amp;$A178)="N/A",0,RTD("tos.rtd",,$A$2,"."&amp;L$135&amp;L$1&amp;"C"&amp;$A178))-IF(RTD("tos.rtd",,$A$2,"."&amp;L$135&amp;L$1&amp;"P"&amp;$A178)="N/A",0,RTD("tos.rtd",,$A$2,"."&amp;L$135&amp;L$1&amp;"P"&amp;$A178))</f>
        <v>0</v>
      </c>
      <c r="M178" s="56">
        <f ca="1">IF(RTD("tos.rtd",,$A$2,"."&amp;M$135&amp;M$1&amp;"C"&amp;$A178)="N/A",0,RTD("tos.rtd",,$A$2,"."&amp;M$135&amp;M$1&amp;"C"&amp;$A178))-IF(RTD("tos.rtd",,$A$2,"."&amp;M$135&amp;M$1&amp;"P"&amp;$A178)="N/A",0,RTD("tos.rtd",,$A$2,"."&amp;M$135&amp;M$1&amp;"P"&amp;$A178))</f>
        <v>0</v>
      </c>
      <c r="N178" s="56">
        <f ca="1">IF(RTD("tos.rtd",,$A$2,"."&amp;N$135&amp;N$1&amp;"C"&amp;$A178)="N/A",0,RTD("tos.rtd",,$A$2,"."&amp;N$135&amp;N$1&amp;"C"&amp;$A178))-IF(RTD("tos.rtd",,$A$2,"."&amp;N$135&amp;N$1&amp;"P"&amp;$A178)="N/A",0,RTD("tos.rtd",,$A$2,"."&amp;N$135&amp;N$1&amp;"P"&amp;$A178))</f>
        <v>0</v>
      </c>
      <c r="O178" s="56">
        <f ca="1">IF(RTD("tos.rtd",,$A$2,"."&amp;O$135&amp;O$1&amp;"C"&amp;$A178)="N/A",0,RTD("tos.rtd",,$A$2,"."&amp;O$135&amp;O$1&amp;"C"&amp;$A178))-IF(RTD("tos.rtd",,$A$2,"."&amp;O$135&amp;O$1&amp;"P"&amp;$A178)="N/A",0,RTD("tos.rtd",,$A$2,"."&amp;O$135&amp;O$1&amp;"P"&amp;$A178))</f>
        <v>0</v>
      </c>
      <c r="P178" s="56">
        <f ca="1">IF(RTD("tos.rtd",,$A$2,"."&amp;P$135&amp;P$1&amp;"C"&amp;$A178)="N/A",0,RTD("tos.rtd",,$A$2,"."&amp;P$135&amp;P$1&amp;"C"&amp;$A178))-IF(RTD("tos.rtd",,$A$2,"."&amp;P$135&amp;P$1&amp;"P"&amp;$A178)="N/A",0,RTD("tos.rtd",,$A$2,"."&amp;P$135&amp;P$1&amp;"P"&amp;$A178))</f>
        <v>0</v>
      </c>
      <c r="Q178" s="56">
        <f ca="1">IF(RTD("tos.rtd",,$A$2,"."&amp;Q$135&amp;Q$1&amp;"C"&amp;$A178)="N/A",0,RTD("tos.rtd",,$A$2,"."&amp;Q$135&amp;Q$1&amp;"C"&amp;$A178))-IF(RTD("tos.rtd",,$A$2,"."&amp;Q$135&amp;Q$1&amp;"P"&amp;$A178)="N/A",0,RTD("tos.rtd",,$A$2,"."&amp;Q$135&amp;Q$1&amp;"P"&amp;$A178))</f>
        <v>0</v>
      </c>
      <c r="R178" s="56">
        <f ca="1">IF(RTD("tos.rtd",,$A$2,"."&amp;R$135&amp;R$1&amp;"C"&amp;$A178)="N/A",0,RTD("tos.rtd",,$A$2,"."&amp;R$135&amp;R$1&amp;"C"&amp;$A178))-IF(RTD("tos.rtd",,$A$2,"."&amp;R$135&amp;R$1&amp;"P"&amp;$A178)="N/A",0,RTD("tos.rtd",,$A$2,"."&amp;R$135&amp;R$1&amp;"P"&amp;$A178))</f>
        <v>0</v>
      </c>
      <c r="S178" s="56">
        <f ca="1">IF(RTD("tos.rtd",,$A$2,"."&amp;S$135&amp;S$1&amp;"C"&amp;$A178)="N/A",0,RTD("tos.rtd",,$A$2,"."&amp;S$135&amp;S$1&amp;"C"&amp;$A178))-IF(RTD("tos.rtd",,$A$2,"."&amp;S$135&amp;S$1&amp;"P"&amp;$A178)="N/A",0,RTD("tos.rtd",,$A$2,"."&amp;S$135&amp;S$1&amp;"P"&amp;$A178))</f>
        <v>0</v>
      </c>
      <c r="T178" s="56">
        <f ca="1">IF(RTD("tos.rtd",,$A$2,"."&amp;T$135&amp;T$1&amp;"C"&amp;$A178)="N/A",0,RTD("tos.rtd",,$A$2,"."&amp;T$135&amp;T$1&amp;"C"&amp;$A178))-IF(RTD("tos.rtd",,$A$2,"."&amp;T$135&amp;T$1&amp;"P"&amp;$A178)="N/A",0,RTD("tos.rtd",,$A$2,"."&amp;T$135&amp;T$1&amp;"P"&amp;$A178))</f>
        <v>0</v>
      </c>
      <c r="U178" s="56">
        <f ca="1">IF(RTD("tos.rtd",,$A$2,"."&amp;U$135&amp;U$1&amp;"C"&amp;$A178)="N/A",0,RTD("tos.rtd",,$A$2,"."&amp;U$135&amp;U$1&amp;"C"&amp;$A178))-IF(RTD("tos.rtd",,$A$2,"."&amp;U$135&amp;U$1&amp;"P"&amp;$A178)="N/A",0,RTD("tos.rtd",,$A$2,"."&amp;U$135&amp;U$1&amp;"P"&amp;$A178))</f>
        <v>0</v>
      </c>
      <c r="V178" s="56">
        <f ca="1">IF(RTD("tos.rtd",,$A$2,"."&amp;V$135&amp;V$1&amp;"C"&amp;$A178)="N/A",0,RTD("tos.rtd",,$A$2,"."&amp;V$135&amp;V$1&amp;"C"&amp;$A178))-IF(RTD("tos.rtd",,$A$2,"."&amp;V$135&amp;V$1&amp;"P"&amp;$A178)="N/A",0,RTD("tos.rtd",,$A$2,"."&amp;V$135&amp;V$1&amp;"P"&amp;$A178))</f>
        <v>0</v>
      </c>
      <c r="W178" s="56">
        <f ca="1">IF(RTD("tos.rtd",,$A$2,"."&amp;W$135&amp;W$1&amp;"C"&amp;$A178)="N/A",0,RTD("tos.rtd",,$A$2,"."&amp;W$135&amp;W$1&amp;"C"&amp;$A178))-IF(RTD("tos.rtd",,$A$2,"."&amp;W$135&amp;W$1&amp;"P"&amp;$A178)="N/A",0,RTD("tos.rtd",,$A$2,"."&amp;W$135&amp;W$1&amp;"P"&amp;$A178))</f>
        <v>0</v>
      </c>
      <c r="X178" s="56">
        <f ca="1">IF(RTD("tos.rtd",,$A$2,"."&amp;X$135&amp;X$1&amp;"C"&amp;$A178)="N/A",0,RTD("tos.rtd",,$A$2,"."&amp;X$135&amp;X$1&amp;"C"&amp;$A178))-IF(RTD("tos.rtd",,$A$2,"."&amp;X$135&amp;X$1&amp;"P"&amp;$A178)="N/A",0,RTD("tos.rtd",,$A$2,"."&amp;X$135&amp;X$1&amp;"P"&amp;$A178))</f>
        <v>0</v>
      </c>
      <c r="Y178" s="63">
        <f t="shared" ca="1" si="16"/>
        <v>-341</v>
      </c>
      <c r="Z178" s="56"/>
      <c r="AA178" s="56"/>
    </row>
    <row r="179" spans="1:27" x14ac:dyDescent="0.25">
      <c r="A179" s="58">
        <f>+Hoja1!A178</f>
        <v>24575</v>
      </c>
      <c r="B179" s="56">
        <f ca="1">IF(RTD("tos.rtd",,$A$2,"."&amp;B$135&amp;B$1&amp;"C"&amp;$A179)="N/A",0,RTD("tos.rtd",,$A$2,"."&amp;B$135&amp;B$1&amp;"C"&amp;$A179))-IF(RTD("tos.rtd",,$A$2,"."&amp;B$135&amp;B$1&amp;"P"&amp;$A179)="N/A",0,RTD("tos.rtd",,$A$2,"."&amp;B$135&amp;B$1&amp;"P"&amp;$A179))</f>
        <v>0</v>
      </c>
      <c r="C179" s="56">
        <f ca="1">IF(RTD("tos.rtd",,$A$2,"."&amp;C$135&amp;C$1&amp;"C"&amp;$A179)="N/A",0,RTD("tos.rtd",,$A$2,"."&amp;C$135&amp;C$1&amp;"C"&amp;$A179))-IF(RTD("tos.rtd",,$A$2,"."&amp;C$135&amp;C$1&amp;"P"&amp;$A179)="N/A",0,RTD("tos.rtd",,$A$2,"."&amp;C$135&amp;C$1&amp;"P"&amp;$A179))</f>
        <v>0</v>
      </c>
      <c r="D179" s="56">
        <f ca="1">IF(RTD("tos.rtd",,$A$2,"."&amp;D$135&amp;D$1&amp;"C"&amp;$A179)="N/A",0,RTD("tos.rtd",,$A$2,"."&amp;D$135&amp;D$1&amp;"C"&amp;$A179))-IF(RTD("tos.rtd",,$A$2,"."&amp;D$135&amp;D$1&amp;"P"&amp;$A179)="N/A",0,RTD("tos.rtd",,$A$2,"."&amp;D$135&amp;D$1&amp;"P"&amp;$A179))</f>
        <v>0</v>
      </c>
      <c r="E179" s="56">
        <f ca="1">IF(RTD("tos.rtd",,$A$2,"."&amp;E$135&amp;E$1&amp;"C"&amp;$A179)="N/A",0,RTD("tos.rtd",,$A$2,"."&amp;E$135&amp;E$1&amp;"C"&amp;$A179))-IF(RTD("tos.rtd",,$A$2,"."&amp;E$135&amp;E$1&amp;"P"&amp;$A179)="N/A",0,RTD("tos.rtd",,$A$2,"."&amp;E$135&amp;E$1&amp;"P"&amp;$A179))</f>
        <v>0</v>
      </c>
      <c r="F179" s="56">
        <f ca="1">IF(RTD("tos.rtd",,$A$2,"."&amp;F$135&amp;F$1&amp;"C"&amp;$A179)="N/A",0,RTD("tos.rtd",,$A$2,"."&amp;F$135&amp;F$1&amp;"C"&amp;$A179))-IF(RTD("tos.rtd",,$A$2,"."&amp;F$135&amp;F$1&amp;"P"&amp;$A179)="N/A",0,RTD("tos.rtd",,$A$2,"."&amp;F$135&amp;F$1&amp;"P"&amp;$A179))</f>
        <v>0</v>
      </c>
      <c r="G179" s="56">
        <f ca="1">IF(RTD("tos.rtd",,$A$2,"."&amp;G$135&amp;G$1&amp;"C"&amp;$A179)="N/A",0,RTD("tos.rtd",,$A$2,"."&amp;G$135&amp;G$1&amp;"C"&amp;$A179))-IF(RTD("tos.rtd",,$A$2,"."&amp;G$135&amp;G$1&amp;"P"&amp;$A179)="N/A",0,RTD("tos.rtd",,$A$2,"."&amp;G$135&amp;G$1&amp;"P"&amp;$A179))</f>
        <v>0</v>
      </c>
      <c r="H179" s="56">
        <f ca="1">IF(RTD("tos.rtd",,$A$2,"."&amp;H$135&amp;H$1&amp;"C"&amp;$A179)="N/A",0,RTD("tos.rtd",,$A$2,"."&amp;H$135&amp;H$1&amp;"C"&amp;$A179))-IF(RTD("tos.rtd",,$A$2,"."&amp;H$135&amp;H$1&amp;"P"&amp;$A179)="N/A",0,RTD("tos.rtd",,$A$2,"."&amp;H$135&amp;H$1&amp;"P"&amp;$A179))</f>
        <v>0</v>
      </c>
      <c r="I179" s="56">
        <f ca="1">IF(RTD("tos.rtd",,$A$2,"."&amp;I$135&amp;I$1&amp;"C"&amp;$A179)="N/A",0,RTD("tos.rtd",,$A$2,"."&amp;I$135&amp;I$1&amp;"C"&amp;$A179))-IF(RTD("tos.rtd",,$A$2,"."&amp;I$135&amp;I$1&amp;"P"&amp;$A179)="N/A",0,RTD("tos.rtd",,$A$2,"."&amp;I$135&amp;I$1&amp;"P"&amp;$A179))</f>
        <v>0</v>
      </c>
      <c r="J179" s="56">
        <f ca="1">IF(RTD("tos.rtd",,$A$2,"."&amp;J$135&amp;J$1&amp;"C"&amp;$A179)="N/A",0,RTD("tos.rtd",,$A$2,"."&amp;J$135&amp;J$1&amp;"C"&amp;$A179))-IF(RTD("tos.rtd",,$A$2,"."&amp;J$135&amp;J$1&amp;"P"&amp;$A179)="N/A",0,RTD("tos.rtd",,$A$2,"."&amp;J$135&amp;J$1&amp;"P"&amp;$A179))</f>
        <v>0</v>
      </c>
      <c r="K179" s="56">
        <f ca="1">IF(RTD("tos.rtd",,$A$2,"."&amp;K$135&amp;K$1&amp;"C"&amp;$A179)="N/A",0,RTD("tos.rtd",,$A$2,"."&amp;K$135&amp;K$1&amp;"C"&amp;$A179))-IF(RTD("tos.rtd",,$A$2,"."&amp;K$135&amp;K$1&amp;"P"&amp;$A179)="N/A",0,RTD("tos.rtd",,$A$2,"."&amp;K$135&amp;K$1&amp;"P"&amp;$A179))</f>
        <v>24</v>
      </c>
      <c r="L179" s="56">
        <f ca="1">IF(RTD("tos.rtd",,$A$2,"."&amp;L$135&amp;L$1&amp;"C"&amp;$A179)="N/A",0,RTD("tos.rtd",,$A$2,"."&amp;L$135&amp;L$1&amp;"C"&amp;$A179))-IF(RTD("tos.rtd",,$A$2,"."&amp;L$135&amp;L$1&amp;"P"&amp;$A179)="N/A",0,RTD("tos.rtd",,$A$2,"."&amp;L$135&amp;L$1&amp;"P"&amp;$A179))</f>
        <v>0</v>
      </c>
      <c r="M179" s="56">
        <f ca="1">IF(RTD("tos.rtd",,$A$2,"."&amp;M$135&amp;M$1&amp;"C"&amp;$A179)="N/A",0,RTD("tos.rtd",,$A$2,"."&amp;M$135&amp;M$1&amp;"C"&amp;$A179))-IF(RTD("tos.rtd",,$A$2,"."&amp;M$135&amp;M$1&amp;"P"&amp;$A179)="N/A",0,RTD("tos.rtd",,$A$2,"."&amp;M$135&amp;M$1&amp;"P"&amp;$A179))</f>
        <v>0</v>
      </c>
      <c r="N179" s="56">
        <f ca="1">IF(RTD("tos.rtd",,$A$2,"."&amp;N$135&amp;N$1&amp;"C"&amp;$A179)="N/A",0,RTD("tos.rtd",,$A$2,"."&amp;N$135&amp;N$1&amp;"C"&amp;$A179))-IF(RTD("tos.rtd",,$A$2,"."&amp;N$135&amp;N$1&amp;"P"&amp;$A179)="N/A",0,RTD("tos.rtd",,$A$2,"."&amp;N$135&amp;N$1&amp;"P"&amp;$A179))</f>
        <v>0</v>
      </c>
      <c r="O179" s="56">
        <f ca="1">IF(RTD("tos.rtd",,$A$2,"."&amp;O$135&amp;O$1&amp;"C"&amp;$A179)="N/A",0,RTD("tos.rtd",,$A$2,"."&amp;O$135&amp;O$1&amp;"C"&amp;$A179))-IF(RTD("tos.rtd",,$A$2,"."&amp;O$135&amp;O$1&amp;"P"&amp;$A179)="N/A",0,RTD("tos.rtd",,$A$2,"."&amp;O$135&amp;O$1&amp;"P"&amp;$A179))</f>
        <v>0</v>
      </c>
      <c r="P179" s="56">
        <f ca="1">IF(RTD("tos.rtd",,$A$2,"."&amp;P$135&amp;P$1&amp;"C"&amp;$A179)="N/A",0,RTD("tos.rtd",,$A$2,"."&amp;P$135&amp;P$1&amp;"C"&amp;$A179))-IF(RTD("tos.rtd",,$A$2,"."&amp;P$135&amp;P$1&amp;"P"&amp;$A179)="N/A",0,RTD("tos.rtd",,$A$2,"."&amp;P$135&amp;P$1&amp;"P"&amp;$A179))</f>
        <v>0</v>
      </c>
      <c r="Q179" s="56">
        <f ca="1">IF(RTD("tos.rtd",,$A$2,"."&amp;Q$135&amp;Q$1&amp;"C"&amp;$A179)="N/A",0,RTD("tos.rtd",,$A$2,"."&amp;Q$135&amp;Q$1&amp;"C"&amp;$A179))-IF(RTD("tos.rtd",,$A$2,"."&amp;Q$135&amp;Q$1&amp;"P"&amp;$A179)="N/A",0,RTD("tos.rtd",,$A$2,"."&amp;Q$135&amp;Q$1&amp;"P"&amp;$A179))</f>
        <v>0</v>
      </c>
      <c r="R179" s="56">
        <f ca="1">IF(RTD("tos.rtd",,$A$2,"."&amp;R$135&amp;R$1&amp;"C"&amp;$A179)="N/A",0,RTD("tos.rtd",,$A$2,"."&amp;R$135&amp;R$1&amp;"C"&amp;$A179))-IF(RTD("tos.rtd",,$A$2,"."&amp;R$135&amp;R$1&amp;"P"&amp;$A179)="N/A",0,RTD("tos.rtd",,$A$2,"."&amp;R$135&amp;R$1&amp;"P"&amp;$A179))</f>
        <v>0</v>
      </c>
      <c r="S179" s="56">
        <f ca="1">IF(RTD("tos.rtd",,$A$2,"."&amp;S$135&amp;S$1&amp;"C"&amp;$A179)="N/A",0,RTD("tos.rtd",,$A$2,"."&amp;S$135&amp;S$1&amp;"C"&amp;$A179))-IF(RTD("tos.rtd",,$A$2,"."&amp;S$135&amp;S$1&amp;"P"&amp;$A179)="N/A",0,RTD("tos.rtd",,$A$2,"."&amp;S$135&amp;S$1&amp;"P"&amp;$A179))</f>
        <v>0</v>
      </c>
      <c r="T179" s="56">
        <f ca="1">IF(RTD("tos.rtd",,$A$2,"."&amp;T$135&amp;T$1&amp;"C"&amp;$A179)="N/A",0,RTD("tos.rtd",,$A$2,"."&amp;T$135&amp;T$1&amp;"C"&amp;$A179))-IF(RTD("tos.rtd",,$A$2,"."&amp;T$135&amp;T$1&amp;"P"&amp;$A179)="N/A",0,RTD("tos.rtd",,$A$2,"."&amp;T$135&amp;T$1&amp;"P"&amp;$A179))</f>
        <v>0</v>
      </c>
      <c r="U179" s="56">
        <f ca="1">IF(RTD("tos.rtd",,$A$2,"."&amp;U$135&amp;U$1&amp;"C"&amp;$A179)="N/A",0,RTD("tos.rtd",,$A$2,"."&amp;U$135&amp;U$1&amp;"C"&amp;$A179))-IF(RTD("tos.rtd",,$A$2,"."&amp;U$135&amp;U$1&amp;"P"&amp;$A179)="N/A",0,RTD("tos.rtd",,$A$2,"."&amp;U$135&amp;U$1&amp;"P"&amp;$A179))</f>
        <v>0</v>
      </c>
      <c r="V179" s="56">
        <f ca="1">IF(RTD("tos.rtd",,$A$2,"."&amp;V$135&amp;V$1&amp;"C"&amp;$A179)="N/A",0,RTD("tos.rtd",,$A$2,"."&amp;V$135&amp;V$1&amp;"C"&amp;$A179))-IF(RTD("tos.rtd",,$A$2,"."&amp;V$135&amp;V$1&amp;"P"&amp;$A179)="N/A",0,RTD("tos.rtd",,$A$2,"."&amp;V$135&amp;V$1&amp;"P"&amp;$A179))</f>
        <v>0</v>
      </c>
      <c r="W179" s="56">
        <f ca="1">IF(RTD("tos.rtd",,$A$2,"."&amp;W$135&amp;W$1&amp;"C"&amp;$A179)="N/A",0,RTD("tos.rtd",,$A$2,"."&amp;W$135&amp;W$1&amp;"C"&amp;$A179))-IF(RTD("tos.rtd",,$A$2,"."&amp;W$135&amp;W$1&amp;"P"&amp;$A179)="N/A",0,RTD("tos.rtd",,$A$2,"."&amp;W$135&amp;W$1&amp;"P"&amp;$A179))</f>
        <v>0</v>
      </c>
      <c r="X179" s="56">
        <f ca="1">IF(RTD("tos.rtd",,$A$2,"."&amp;X$135&amp;X$1&amp;"C"&amp;$A179)="N/A",0,RTD("tos.rtd",,$A$2,"."&amp;X$135&amp;X$1&amp;"C"&amp;$A179))-IF(RTD("tos.rtd",,$A$2,"."&amp;X$135&amp;X$1&amp;"P"&amp;$A179)="N/A",0,RTD("tos.rtd",,$A$2,"."&amp;X$135&amp;X$1&amp;"P"&amp;$A179))</f>
        <v>0</v>
      </c>
      <c r="Y179" s="63">
        <f t="shared" ca="1" si="16"/>
        <v>24</v>
      </c>
      <c r="Z179" s="56"/>
      <c r="AA179" s="56"/>
    </row>
    <row r="180" spans="1:27" x14ac:dyDescent="0.25">
      <c r="A180" s="58">
        <f>+Hoja1!A179</f>
        <v>24550</v>
      </c>
      <c r="B180" s="56">
        <f ca="1">IF(RTD("tos.rtd",,$A$2,"."&amp;B$135&amp;B$1&amp;"C"&amp;$A180)="N/A",0,RTD("tos.rtd",,$A$2,"."&amp;B$135&amp;B$1&amp;"C"&amp;$A180))-IF(RTD("tos.rtd",,$A$2,"."&amp;B$135&amp;B$1&amp;"P"&amp;$A180)="N/A",0,RTD("tos.rtd",,$A$2,"."&amp;B$135&amp;B$1&amp;"P"&amp;$A180))</f>
        <v>-39</v>
      </c>
      <c r="C180" s="56">
        <f ca="1">IF(RTD("tos.rtd",,$A$2,"."&amp;C$135&amp;C$1&amp;"C"&amp;$A180)="N/A",0,RTD("tos.rtd",,$A$2,"."&amp;C$135&amp;C$1&amp;"C"&amp;$A180))-IF(RTD("tos.rtd",,$A$2,"."&amp;C$135&amp;C$1&amp;"P"&amp;$A180)="N/A",0,RTD("tos.rtd",,$A$2,"."&amp;C$135&amp;C$1&amp;"P"&amp;$A180))</f>
        <v>-3</v>
      </c>
      <c r="D180" s="56">
        <f ca="1">IF(RTD("tos.rtd",,$A$2,"."&amp;D$135&amp;D$1&amp;"C"&amp;$A180)="N/A",0,RTD("tos.rtd",,$A$2,"."&amp;D$135&amp;D$1&amp;"C"&amp;$A180))-IF(RTD("tos.rtd",,$A$2,"."&amp;D$135&amp;D$1&amp;"P"&amp;$A180)="N/A",0,RTD("tos.rtd",,$A$2,"."&amp;D$135&amp;D$1&amp;"P"&amp;$A180))</f>
        <v>0</v>
      </c>
      <c r="E180" s="56">
        <f ca="1">IF(RTD("tos.rtd",,$A$2,"."&amp;E$135&amp;E$1&amp;"C"&amp;$A180)="N/A",0,RTD("tos.rtd",,$A$2,"."&amp;E$135&amp;E$1&amp;"C"&amp;$A180))-IF(RTD("tos.rtd",,$A$2,"."&amp;E$135&amp;E$1&amp;"P"&amp;$A180)="N/A",0,RTD("tos.rtd",,$A$2,"."&amp;E$135&amp;E$1&amp;"P"&amp;$A180))</f>
        <v>0</v>
      </c>
      <c r="F180" s="56">
        <f ca="1">IF(RTD("tos.rtd",,$A$2,"."&amp;F$135&amp;F$1&amp;"C"&amp;$A180)="N/A",0,RTD("tos.rtd",,$A$2,"."&amp;F$135&amp;F$1&amp;"C"&amp;$A180))-IF(RTD("tos.rtd",,$A$2,"."&amp;F$135&amp;F$1&amp;"P"&amp;$A180)="N/A",0,RTD("tos.rtd",,$A$2,"."&amp;F$135&amp;F$1&amp;"P"&amp;$A180))</f>
        <v>0</v>
      </c>
      <c r="G180" s="56">
        <f ca="1">IF(RTD("tos.rtd",,$A$2,"."&amp;G$135&amp;G$1&amp;"C"&amp;$A180)="N/A",0,RTD("tos.rtd",,$A$2,"."&amp;G$135&amp;G$1&amp;"C"&amp;$A180))-IF(RTD("tos.rtd",,$A$2,"."&amp;G$135&amp;G$1&amp;"P"&amp;$A180)="N/A",0,RTD("tos.rtd",,$A$2,"."&amp;G$135&amp;G$1&amp;"P"&amp;$A180))</f>
        <v>0</v>
      </c>
      <c r="H180" s="56">
        <f ca="1">IF(RTD("tos.rtd",,$A$2,"."&amp;H$135&amp;H$1&amp;"C"&amp;$A180)="N/A",0,RTD("tos.rtd",,$A$2,"."&amp;H$135&amp;H$1&amp;"C"&amp;$A180))-IF(RTD("tos.rtd",,$A$2,"."&amp;H$135&amp;H$1&amp;"P"&amp;$A180)="N/A",0,RTD("tos.rtd",,$A$2,"."&amp;H$135&amp;H$1&amp;"P"&amp;$A180))</f>
        <v>0</v>
      </c>
      <c r="I180" s="56">
        <f ca="1">IF(RTD("tos.rtd",,$A$2,"."&amp;I$135&amp;I$1&amp;"C"&amp;$A180)="N/A",0,RTD("tos.rtd",,$A$2,"."&amp;I$135&amp;I$1&amp;"C"&amp;$A180))-IF(RTD("tos.rtd",,$A$2,"."&amp;I$135&amp;I$1&amp;"P"&amp;$A180)="N/A",0,RTD("tos.rtd",,$A$2,"."&amp;I$135&amp;I$1&amp;"P"&amp;$A180))</f>
        <v>0</v>
      </c>
      <c r="J180" s="56">
        <f ca="1">IF(RTD("tos.rtd",,$A$2,"."&amp;J$135&amp;J$1&amp;"C"&amp;$A180)="N/A",0,RTD("tos.rtd",,$A$2,"."&amp;J$135&amp;J$1&amp;"C"&amp;$A180))-IF(RTD("tos.rtd",,$A$2,"."&amp;J$135&amp;J$1&amp;"P"&amp;$A180)="N/A",0,RTD("tos.rtd",,$A$2,"."&amp;J$135&amp;J$1&amp;"P"&amp;$A180))</f>
        <v>0</v>
      </c>
      <c r="K180" s="56">
        <f ca="1">IF(RTD("tos.rtd",,$A$2,"."&amp;K$135&amp;K$1&amp;"C"&amp;$A180)="N/A",0,RTD("tos.rtd",,$A$2,"."&amp;K$135&amp;K$1&amp;"C"&amp;$A180))-IF(RTD("tos.rtd",,$A$2,"."&amp;K$135&amp;K$1&amp;"P"&amp;$A180)="N/A",0,RTD("tos.rtd",,$A$2,"."&amp;K$135&amp;K$1&amp;"P"&amp;$A180))</f>
        <v>-2</v>
      </c>
      <c r="L180" s="56">
        <f ca="1">IF(RTD("tos.rtd",,$A$2,"."&amp;L$135&amp;L$1&amp;"C"&amp;$A180)="N/A",0,RTD("tos.rtd",,$A$2,"."&amp;L$135&amp;L$1&amp;"C"&amp;$A180))-IF(RTD("tos.rtd",,$A$2,"."&amp;L$135&amp;L$1&amp;"P"&amp;$A180)="N/A",0,RTD("tos.rtd",,$A$2,"."&amp;L$135&amp;L$1&amp;"P"&amp;$A180))</f>
        <v>0</v>
      </c>
      <c r="M180" s="56">
        <f ca="1">IF(RTD("tos.rtd",,$A$2,"."&amp;M$135&amp;M$1&amp;"C"&amp;$A180)="N/A",0,RTD("tos.rtd",,$A$2,"."&amp;M$135&amp;M$1&amp;"C"&amp;$A180))-IF(RTD("tos.rtd",,$A$2,"."&amp;M$135&amp;M$1&amp;"P"&amp;$A180)="N/A",0,RTD("tos.rtd",,$A$2,"."&amp;M$135&amp;M$1&amp;"P"&amp;$A180))</f>
        <v>0</v>
      </c>
      <c r="N180" s="56">
        <f ca="1">IF(RTD("tos.rtd",,$A$2,"."&amp;N$135&amp;N$1&amp;"C"&amp;$A180)="N/A",0,RTD("tos.rtd",,$A$2,"."&amp;N$135&amp;N$1&amp;"C"&amp;$A180))-IF(RTD("tos.rtd",,$A$2,"."&amp;N$135&amp;N$1&amp;"P"&amp;$A180)="N/A",0,RTD("tos.rtd",,$A$2,"."&amp;N$135&amp;N$1&amp;"P"&amp;$A180))</f>
        <v>0</v>
      </c>
      <c r="O180" s="56">
        <f ca="1">IF(RTD("tos.rtd",,$A$2,"."&amp;O$135&amp;O$1&amp;"C"&amp;$A180)="N/A",0,RTD("tos.rtd",,$A$2,"."&amp;O$135&amp;O$1&amp;"C"&amp;$A180))-IF(RTD("tos.rtd",,$A$2,"."&amp;O$135&amp;O$1&amp;"P"&amp;$A180)="N/A",0,RTD("tos.rtd",,$A$2,"."&amp;O$135&amp;O$1&amp;"P"&amp;$A180))</f>
        <v>0</v>
      </c>
      <c r="P180" s="56">
        <f ca="1">IF(RTD("tos.rtd",,$A$2,"."&amp;P$135&amp;P$1&amp;"C"&amp;$A180)="N/A",0,RTD("tos.rtd",,$A$2,"."&amp;P$135&amp;P$1&amp;"C"&amp;$A180))-IF(RTD("tos.rtd",,$A$2,"."&amp;P$135&amp;P$1&amp;"P"&amp;$A180)="N/A",0,RTD("tos.rtd",,$A$2,"."&amp;P$135&amp;P$1&amp;"P"&amp;$A180))</f>
        <v>0</v>
      </c>
      <c r="Q180" s="56">
        <f ca="1">IF(RTD("tos.rtd",,$A$2,"."&amp;Q$135&amp;Q$1&amp;"C"&amp;$A180)="N/A",0,RTD("tos.rtd",,$A$2,"."&amp;Q$135&amp;Q$1&amp;"C"&amp;$A180))-IF(RTD("tos.rtd",,$A$2,"."&amp;Q$135&amp;Q$1&amp;"P"&amp;$A180)="N/A",0,RTD("tos.rtd",,$A$2,"."&amp;Q$135&amp;Q$1&amp;"P"&amp;$A180))</f>
        <v>0</v>
      </c>
      <c r="R180" s="56">
        <f ca="1">IF(RTD("tos.rtd",,$A$2,"."&amp;R$135&amp;R$1&amp;"C"&amp;$A180)="N/A",0,RTD("tos.rtd",,$A$2,"."&amp;R$135&amp;R$1&amp;"C"&amp;$A180))-IF(RTD("tos.rtd",,$A$2,"."&amp;R$135&amp;R$1&amp;"P"&amp;$A180)="N/A",0,RTD("tos.rtd",,$A$2,"."&amp;R$135&amp;R$1&amp;"P"&amp;$A180))</f>
        <v>0</v>
      </c>
      <c r="S180" s="56">
        <f ca="1">IF(RTD("tos.rtd",,$A$2,"."&amp;S$135&amp;S$1&amp;"C"&amp;$A180)="N/A",0,RTD("tos.rtd",,$A$2,"."&amp;S$135&amp;S$1&amp;"C"&amp;$A180))-IF(RTD("tos.rtd",,$A$2,"."&amp;S$135&amp;S$1&amp;"P"&amp;$A180)="N/A",0,RTD("tos.rtd",,$A$2,"."&amp;S$135&amp;S$1&amp;"P"&amp;$A180))</f>
        <v>0</v>
      </c>
      <c r="T180" s="56">
        <f ca="1">IF(RTD("tos.rtd",,$A$2,"."&amp;T$135&amp;T$1&amp;"C"&amp;$A180)="N/A",0,RTD("tos.rtd",,$A$2,"."&amp;T$135&amp;T$1&amp;"C"&amp;$A180))-IF(RTD("tos.rtd",,$A$2,"."&amp;T$135&amp;T$1&amp;"P"&amp;$A180)="N/A",0,RTD("tos.rtd",,$A$2,"."&amp;T$135&amp;T$1&amp;"P"&amp;$A180))</f>
        <v>0</v>
      </c>
      <c r="U180" s="56">
        <f ca="1">IF(RTD("tos.rtd",,$A$2,"."&amp;U$135&amp;U$1&amp;"C"&amp;$A180)="N/A",0,RTD("tos.rtd",,$A$2,"."&amp;U$135&amp;U$1&amp;"C"&amp;$A180))-IF(RTD("tos.rtd",,$A$2,"."&amp;U$135&amp;U$1&amp;"P"&amp;$A180)="N/A",0,RTD("tos.rtd",,$A$2,"."&amp;U$135&amp;U$1&amp;"P"&amp;$A180))</f>
        <v>0</v>
      </c>
      <c r="V180" s="56">
        <f ca="1">IF(RTD("tos.rtd",,$A$2,"."&amp;V$135&amp;V$1&amp;"C"&amp;$A180)="N/A",0,RTD("tos.rtd",,$A$2,"."&amp;V$135&amp;V$1&amp;"C"&amp;$A180))-IF(RTD("tos.rtd",,$A$2,"."&amp;V$135&amp;V$1&amp;"P"&amp;$A180)="N/A",0,RTD("tos.rtd",,$A$2,"."&amp;V$135&amp;V$1&amp;"P"&amp;$A180))</f>
        <v>0</v>
      </c>
      <c r="W180" s="56">
        <f ca="1">IF(RTD("tos.rtd",,$A$2,"."&amp;W$135&amp;W$1&amp;"C"&amp;$A180)="N/A",0,RTD("tos.rtd",,$A$2,"."&amp;W$135&amp;W$1&amp;"C"&amp;$A180))-IF(RTD("tos.rtd",,$A$2,"."&amp;W$135&amp;W$1&amp;"P"&amp;$A180)="N/A",0,RTD("tos.rtd",,$A$2,"."&amp;W$135&amp;W$1&amp;"P"&amp;$A180))</f>
        <v>0</v>
      </c>
      <c r="X180" s="56">
        <f ca="1">IF(RTD("tos.rtd",,$A$2,"."&amp;X$135&amp;X$1&amp;"C"&amp;$A180)="N/A",0,RTD("tos.rtd",,$A$2,"."&amp;X$135&amp;X$1&amp;"C"&amp;$A180))-IF(RTD("tos.rtd",,$A$2,"."&amp;X$135&amp;X$1&amp;"P"&amp;$A180)="N/A",0,RTD("tos.rtd",,$A$2,"."&amp;X$135&amp;X$1&amp;"P"&amp;$A180))</f>
        <v>0</v>
      </c>
      <c r="Y180" s="63">
        <f t="shared" ca="1" si="16"/>
        <v>-44</v>
      </c>
      <c r="Z180" s="56"/>
      <c r="AA180" s="56"/>
    </row>
    <row r="181" spans="1:27" x14ac:dyDescent="0.25">
      <c r="A181" s="58">
        <f>+Hoja1!A180</f>
        <v>24525</v>
      </c>
      <c r="B181" s="56">
        <f ca="1">IF(RTD("tos.rtd",,$A$2,"."&amp;B$135&amp;B$1&amp;"C"&amp;$A181)="N/A",0,RTD("tos.rtd",,$A$2,"."&amp;B$135&amp;B$1&amp;"C"&amp;$A181))-IF(RTD("tos.rtd",,$A$2,"."&amp;B$135&amp;B$1&amp;"P"&amp;$A181)="N/A",0,RTD("tos.rtd",,$A$2,"."&amp;B$135&amp;B$1&amp;"P"&amp;$A181))</f>
        <v>0</v>
      </c>
      <c r="C181" s="56">
        <f ca="1">IF(RTD("tos.rtd",,$A$2,"."&amp;C$135&amp;C$1&amp;"C"&amp;$A181)="N/A",0,RTD("tos.rtd",,$A$2,"."&amp;C$135&amp;C$1&amp;"C"&amp;$A181))-IF(RTD("tos.rtd",,$A$2,"."&amp;C$135&amp;C$1&amp;"P"&amp;$A181)="N/A",0,RTD("tos.rtd",,$A$2,"."&amp;C$135&amp;C$1&amp;"P"&amp;$A181))</f>
        <v>0</v>
      </c>
      <c r="D181" s="56">
        <f ca="1">IF(RTD("tos.rtd",,$A$2,"."&amp;D$135&amp;D$1&amp;"C"&amp;$A181)="N/A",0,RTD("tos.rtd",,$A$2,"."&amp;D$135&amp;D$1&amp;"C"&amp;$A181))-IF(RTD("tos.rtd",,$A$2,"."&amp;D$135&amp;D$1&amp;"P"&amp;$A181)="N/A",0,RTD("tos.rtd",,$A$2,"."&amp;D$135&amp;D$1&amp;"P"&amp;$A181))</f>
        <v>0</v>
      </c>
      <c r="E181" s="56">
        <f ca="1">IF(RTD("tos.rtd",,$A$2,"."&amp;E$135&amp;E$1&amp;"C"&amp;$A181)="N/A",0,RTD("tos.rtd",,$A$2,"."&amp;E$135&amp;E$1&amp;"C"&amp;$A181))-IF(RTD("tos.rtd",,$A$2,"."&amp;E$135&amp;E$1&amp;"P"&amp;$A181)="N/A",0,RTD("tos.rtd",,$A$2,"."&amp;E$135&amp;E$1&amp;"P"&amp;$A181))</f>
        <v>0</v>
      </c>
      <c r="F181" s="56">
        <f ca="1">IF(RTD("tos.rtd",,$A$2,"."&amp;F$135&amp;F$1&amp;"C"&amp;$A181)="N/A",0,RTD("tos.rtd",,$A$2,"."&amp;F$135&amp;F$1&amp;"C"&amp;$A181))-IF(RTD("tos.rtd",,$A$2,"."&amp;F$135&amp;F$1&amp;"P"&amp;$A181)="N/A",0,RTD("tos.rtd",,$A$2,"."&amp;F$135&amp;F$1&amp;"P"&amp;$A181))</f>
        <v>0</v>
      </c>
      <c r="G181" s="56">
        <f ca="1">IF(RTD("tos.rtd",,$A$2,"."&amp;G$135&amp;G$1&amp;"C"&amp;$A181)="N/A",0,RTD("tos.rtd",,$A$2,"."&amp;G$135&amp;G$1&amp;"C"&amp;$A181))-IF(RTD("tos.rtd",,$A$2,"."&amp;G$135&amp;G$1&amp;"P"&amp;$A181)="N/A",0,RTD("tos.rtd",,$A$2,"."&amp;G$135&amp;G$1&amp;"P"&amp;$A181))</f>
        <v>0</v>
      </c>
      <c r="H181" s="56">
        <f ca="1">IF(RTD("tos.rtd",,$A$2,"."&amp;H$135&amp;H$1&amp;"C"&amp;$A181)="N/A",0,RTD("tos.rtd",,$A$2,"."&amp;H$135&amp;H$1&amp;"C"&amp;$A181))-IF(RTD("tos.rtd",,$A$2,"."&amp;H$135&amp;H$1&amp;"P"&amp;$A181)="N/A",0,RTD("tos.rtd",,$A$2,"."&amp;H$135&amp;H$1&amp;"P"&amp;$A181))</f>
        <v>0</v>
      </c>
      <c r="I181" s="56">
        <f ca="1">IF(RTD("tos.rtd",,$A$2,"."&amp;I$135&amp;I$1&amp;"C"&amp;$A181)="N/A",0,RTD("tos.rtd",,$A$2,"."&amp;I$135&amp;I$1&amp;"C"&amp;$A181))-IF(RTD("tos.rtd",,$A$2,"."&amp;I$135&amp;I$1&amp;"P"&amp;$A181)="N/A",0,RTD("tos.rtd",,$A$2,"."&amp;I$135&amp;I$1&amp;"P"&amp;$A181))</f>
        <v>-1</v>
      </c>
      <c r="J181" s="56">
        <f ca="1">IF(RTD("tos.rtd",,$A$2,"."&amp;J$135&amp;J$1&amp;"C"&amp;$A181)="N/A",0,RTD("tos.rtd",,$A$2,"."&amp;J$135&amp;J$1&amp;"C"&amp;$A181))-IF(RTD("tos.rtd",,$A$2,"."&amp;J$135&amp;J$1&amp;"P"&amp;$A181)="N/A",0,RTD("tos.rtd",,$A$2,"."&amp;J$135&amp;J$1&amp;"P"&amp;$A181))</f>
        <v>0</v>
      </c>
      <c r="K181" s="56">
        <f ca="1">IF(RTD("tos.rtd",,$A$2,"."&amp;K$135&amp;K$1&amp;"C"&amp;$A181)="N/A",0,RTD("tos.rtd",,$A$2,"."&amp;K$135&amp;K$1&amp;"C"&amp;$A181))-IF(RTD("tos.rtd",,$A$2,"."&amp;K$135&amp;K$1&amp;"P"&amp;$A181)="N/A",0,RTD("tos.rtd",,$A$2,"."&amp;K$135&amp;K$1&amp;"P"&amp;$A181))</f>
        <v>-1</v>
      </c>
      <c r="L181" s="56">
        <f ca="1">IF(RTD("tos.rtd",,$A$2,"."&amp;L$135&amp;L$1&amp;"C"&amp;$A181)="N/A",0,RTD("tos.rtd",,$A$2,"."&amp;L$135&amp;L$1&amp;"C"&amp;$A181))-IF(RTD("tos.rtd",,$A$2,"."&amp;L$135&amp;L$1&amp;"P"&amp;$A181)="N/A",0,RTD("tos.rtd",,$A$2,"."&amp;L$135&amp;L$1&amp;"P"&amp;$A181))</f>
        <v>0</v>
      </c>
      <c r="M181" s="56">
        <f ca="1">IF(RTD("tos.rtd",,$A$2,"."&amp;M$135&amp;M$1&amp;"C"&amp;$A181)="N/A",0,RTD("tos.rtd",,$A$2,"."&amp;M$135&amp;M$1&amp;"C"&amp;$A181))-IF(RTD("tos.rtd",,$A$2,"."&amp;M$135&amp;M$1&amp;"P"&amp;$A181)="N/A",0,RTD("tos.rtd",,$A$2,"."&amp;M$135&amp;M$1&amp;"P"&amp;$A181))</f>
        <v>0</v>
      </c>
      <c r="N181" s="56">
        <f ca="1">IF(RTD("tos.rtd",,$A$2,"."&amp;N$135&amp;N$1&amp;"C"&amp;$A181)="N/A",0,RTD("tos.rtd",,$A$2,"."&amp;N$135&amp;N$1&amp;"C"&amp;$A181))-IF(RTD("tos.rtd",,$A$2,"."&amp;N$135&amp;N$1&amp;"P"&amp;$A181)="N/A",0,RTD("tos.rtd",,$A$2,"."&amp;N$135&amp;N$1&amp;"P"&amp;$A181))</f>
        <v>0</v>
      </c>
      <c r="O181" s="56">
        <f ca="1">IF(RTD("tos.rtd",,$A$2,"."&amp;O$135&amp;O$1&amp;"C"&amp;$A181)="N/A",0,RTD("tos.rtd",,$A$2,"."&amp;O$135&amp;O$1&amp;"C"&amp;$A181))-IF(RTD("tos.rtd",,$A$2,"."&amp;O$135&amp;O$1&amp;"P"&amp;$A181)="N/A",0,RTD("tos.rtd",,$A$2,"."&amp;O$135&amp;O$1&amp;"P"&amp;$A181))</f>
        <v>0</v>
      </c>
      <c r="P181" s="56">
        <f ca="1">IF(RTD("tos.rtd",,$A$2,"."&amp;P$135&amp;P$1&amp;"C"&amp;$A181)="N/A",0,RTD("tos.rtd",,$A$2,"."&amp;P$135&amp;P$1&amp;"C"&amp;$A181))-IF(RTD("tos.rtd",,$A$2,"."&amp;P$135&amp;P$1&amp;"P"&amp;$A181)="N/A",0,RTD("tos.rtd",,$A$2,"."&amp;P$135&amp;P$1&amp;"P"&amp;$A181))</f>
        <v>0</v>
      </c>
      <c r="Q181" s="56">
        <f ca="1">IF(RTD("tos.rtd",,$A$2,"."&amp;Q$135&amp;Q$1&amp;"C"&amp;$A181)="N/A",0,RTD("tos.rtd",,$A$2,"."&amp;Q$135&amp;Q$1&amp;"C"&amp;$A181))-IF(RTD("tos.rtd",,$A$2,"."&amp;Q$135&amp;Q$1&amp;"P"&amp;$A181)="N/A",0,RTD("tos.rtd",,$A$2,"."&amp;Q$135&amp;Q$1&amp;"P"&amp;$A181))</f>
        <v>0</v>
      </c>
      <c r="R181" s="56">
        <f ca="1">IF(RTD("tos.rtd",,$A$2,"."&amp;R$135&amp;R$1&amp;"C"&amp;$A181)="N/A",0,RTD("tos.rtd",,$A$2,"."&amp;R$135&amp;R$1&amp;"C"&amp;$A181))-IF(RTD("tos.rtd",,$A$2,"."&amp;R$135&amp;R$1&amp;"P"&amp;$A181)="N/A",0,RTD("tos.rtd",,$A$2,"."&amp;R$135&amp;R$1&amp;"P"&amp;$A181))</f>
        <v>0</v>
      </c>
      <c r="S181" s="56">
        <f ca="1">IF(RTD("tos.rtd",,$A$2,"."&amp;S$135&amp;S$1&amp;"C"&amp;$A181)="N/A",0,RTD("tos.rtd",,$A$2,"."&amp;S$135&amp;S$1&amp;"C"&amp;$A181))-IF(RTD("tos.rtd",,$A$2,"."&amp;S$135&amp;S$1&amp;"P"&amp;$A181)="N/A",0,RTD("tos.rtd",,$A$2,"."&amp;S$135&amp;S$1&amp;"P"&amp;$A181))</f>
        <v>0</v>
      </c>
      <c r="T181" s="56">
        <f ca="1">IF(RTD("tos.rtd",,$A$2,"."&amp;T$135&amp;T$1&amp;"C"&amp;$A181)="N/A",0,RTD("tos.rtd",,$A$2,"."&amp;T$135&amp;T$1&amp;"C"&amp;$A181))-IF(RTD("tos.rtd",,$A$2,"."&amp;T$135&amp;T$1&amp;"P"&amp;$A181)="N/A",0,RTD("tos.rtd",,$A$2,"."&amp;T$135&amp;T$1&amp;"P"&amp;$A181))</f>
        <v>0</v>
      </c>
      <c r="U181" s="56">
        <f ca="1">IF(RTD("tos.rtd",,$A$2,"."&amp;U$135&amp;U$1&amp;"C"&amp;$A181)="N/A",0,RTD("tos.rtd",,$A$2,"."&amp;U$135&amp;U$1&amp;"C"&amp;$A181))-IF(RTD("tos.rtd",,$A$2,"."&amp;U$135&amp;U$1&amp;"P"&amp;$A181)="N/A",0,RTD("tos.rtd",,$A$2,"."&amp;U$135&amp;U$1&amp;"P"&amp;$A181))</f>
        <v>0</v>
      </c>
      <c r="V181" s="56">
        <f ca="1">IF(RTD("tos.rtd",,$A$2,"."&amp;V$135&amp;V$1&amp;"C"&amp;$A181)="N/A",0,RTD("tos.rtd",,$A$2,"."&amp;V$135&amp;V$1&amp;"C"&amp;$A181))-IF(RTD("tos.rtd",,$A$2,"."&amp;V$135&amp;V$1&amp;"P"&amp;$A181)="N/A",0,RTD("tos.rtd",,$A$2,"."&amp;V$135&amp;V$1&amp;"P"&amp;$A181))</f>
        <v>0</v>
      </c>
      <c r="W181" s="56">
        <f ca="1">IF(RTD("tos.rtd",,$A$2,"."&amp;W$135&amp;W$1&amp;"C"&amp;$A181)="N/A",0,RTD("tos.rtd",,$A$2,"."&amp;W$135&amp;W$1&amp;"C"&amp;$A181))-IF(RTD("tos.rtd",,$A$2,"."&amp;W$135&amp;W$1&amp;"P"&amp;$A181)="N/A",0,RTD("tos.rtd",,$A$2,"."&amp;W$135&amp;W$1&amp;"P"&amp;$A181))</f>
        <v>0</v>
      </c>
      <c r="X181" s="56">
        <f ca="1">IF(RTD("tos.rtd",,$A$2,"."&amp;X$135&amp;X$1&amp;"C"&amp;$A181)="N/A",0,RTD("tos.rtd",,$A$2,"."&amp;X$135&amp;X$1&amp;"C"&amp;$A181))-IF(RTD("tos.rtd",,$A$2,"."&amp;X$135&amp;X$1&amp;"P"&amp;$A181)="N/A",0,RTD("tos.rtd",,$A$2,"."&amp;X$135&amp;X$1&amp;"P"&amp;$A181))</f>
        <v>0</v>
      </c>
      <c r="Y181" s="63">
        <f t="shared" ca="1" si="16"/>
        <v>-2</v>
      </c>
      <c r="Z181" s="56"/>
      <c r="AA181" s="56"/>
    </row>
    <row r="182" spans="1:27" x14ac:dyDescent="0.25">
      <c r="A182" s="58">
        <f>+Hoja1!A181</f>
        <v>24500</v>
      </c>
      <c r="B182" s="56">
        <f ca="1">IF(RTD("tos.rtd",,$A$2,"."&amp;B$135&amp;B$1&amp;"C"&amp;$A182)="N/A",0,RTD("tos.rtd",,$A$2,"."&amp;B$135&amp;B$1&amp;"C"&amp;$A182))-IF(RTD("tos.rtd",,$A$2,"."&amp;B$135&amp;B$1&amp;"P"&amp;$A182)="N/A",0,RTD("tos.rtd",,$A$2,"."&amp;B$135&amp;B$1&amp;"P"&amp;$A182))</f>
        <v>-71</v>
      </c>
      <c r="C182" s="56">
        <f ca="1">IF(RTD("tos.rtd",,$A$2,"."&amp;C$135&amp;C$1&amp;"C"&amp;$A182)="N/A",0,RTD("tos.rtd",,$A$2,"."&amp;C$135&amp;C$1&amp;"C"&amp;$A182))-IF(RTD("tos.rtd",,$A$2,"."&amp;C$135&amp;C$1&amp;"P"&amp;$A182)="N/A",0,RTD("tos.rtd",,$A$2,"."&amp;C$135&amp;C$1&amp;"P"&amp;$A182))</f>
        <v>-15</v>
      </c>
      <c r="D182" s="56">
        <f ca="1">IF(RTD("tos.rtd",,$A$2,"."&amp;D$135&amp;D$1&amp;"C"&amp;$A182)="N/A",0,RTD("tos.rtd",,$A$2,"."&amp;D$135&amp;D$1&amp;"C"&amp;$A182))-IF(RTD("tos.rtd",,$A$2,"."&amp;D$135&amp;D$1&amp;"P"&amp;$A182)="N/A",0,RTD("tos.rtd",,$A$2,"."&amp;D$135&amp;D$1&amp;"P"&amp;$A182))</f>
        <v>-6</v>
      </c>
      <c r="E182" s="56">
        <f ca="1">IF(RTD("tos.rtd",,$A$2,"."&amp;E$135&amp;E$1&amp;"C"&amp;$A182)="N/A",0,RTD("tos.rtd",,$A$2,"."&amp;E$135&amp;E$1&amp;"C"&amp;$A182))-IF(RTD("tos.rtd",,$A$2,"."&amp;E$135&amp;E$1&amp;"P"&amp;$A182)="N/A",0,RTD("tos.rtd",,$A$2,"."&amp;E$135&amp;E$1&amp;"P"&amp;$A182))</f>
        <v>3</v>
      </c>
      <c r="F182" s="56">
        <f ca="1">IF(RTD("tos.rtd",,$A$2,"."&amp;F$135&amp;F$1&amp;"C"&amp;$A182)="N/A",0,RTD("tos.rtd",,$A$2,"."&amp;F$135&amp;F$1&amp;"C"&amp;$A182))-IF(RTD("tos.rtd",,$A$2,"."&amp;F$135&amp;F$1&amp;"P"&amp;$A182)="N/A",0,RTD("tos.rtd",,$A$2,"."&amp;F$135&amp;F$1&amp;"P"&amp;$A182))</f>
        <v>0</v>
      </c>
      <c r="G182" s="56">
        <f ca="1">IF(RTD("tos.rtd",,$A$2,"."&amp;G$135&amp;G$1&amp;"C"&amp;$A182)="N/A",0,RTD("tos.rtd",,$A$2,"."&amp;G$135&amp;G$1&amp;"C"&amp;$A182))-IF(RTD("tos.rtd",,$A$2,"."&amp;G$135&amp;G$1&amp;"P"&amp;$A182)="N/A",0,RTD("tos.rtd",,$A$2,"."&amp;G$135&amp;G$1&amp;"P"&amp;$A182))</f>
        <v>0</v>
      </c>
      <c r="H182" s="56">
        <f ca="1">IF(RTD("tos.rtd",,$A$2,"."&amp;H$135&amp;H$1&amp;"C"&amp;$A182)="N/A",0,RTD("tos.rtd",,$A$2,"."&amp;H$135&amp;H$1&amp;"C"&amp;$A182))-IF(RTD("tos.rtd",,$A$2,"."&amp;H$135&amp;H$1&amp;"P"&amp;$A182)="N/A",0,RTD("tos.rtd",,$A$2,"."&amp;H$135&amp;H$1&amp;"P"&amp;$A182))</f>
        <v>0</v>
      </c>
      <c r="I182" s="56">
        <f ca="1">IF(RTD("tos.rtd",,$A$2,"."&amp;I$135&amp;I$1&amp;"C"&amp;$A182)="N/A",0,RTD("tos.rtd",,$A$2,"."&amp;I$135&amp;I$1&amp;"C"&amp;$A182))-IF(RTD("tos.rtd",,$A$2,"."&amp;I$135&amp;I$1&amp;"P"&amp;$A182)="N/A",0,RTD("tos.rtd",,$A$2,"."&amp;I$135&amp;I$1&amp;"P"&amp;$A182))</f>
        <v>0</v>
      </c>
      <c r="J182" s="56">
        <f ca="1">IF(RTD("tos.rtd",,$A$2,"."&amp;J$135&amp;J$1&amp;"C"&amp;$A182)="N/A",0,RTD("tos.rtd",,$A$2,"."&amp;J$135&amp;J$1&amp;"C"&amp;$A182))-IF(RTD("tos.rtd",,$A$2,"."&amp;J$135&amp;J$1&amp;"P"&amp;$A182)="N/A",0,RTD("tos.rtd",,$A$2,"."&amp;J$135&amp;J$1&amp;"P"&amp;$A182))</f>
        <v>-1</v>
      </c>
      <c r="K182" s="56">
        <f ca="1">IF(RTD("tos.rtd",,$A$2,"."&amp;K$135&amp;K$1&amp;"C"&amp;$A182)="N/A",0,RTD("tos.rtd",,$A$2,"."&amp;K$135&amp;K$1&amp;"C"&amp;$A182))-IF(RTD("tos.rtd",,$A$2,"."&amp;K$135&amp;K$1&amp;"P"&amp;$A182)="N/A",0,RTD("tos.rtd",,$A$2,"."&amp;K$135&amp;K$1&amp;"P"&amp;$A182))</f>
        <v>-26</v>
      </c>
      <c r="L182" s="56">
        <f ca="1">IF(RTD("tos.rtd",,$A$2,"."&amp;L$135&amp;L$1&amp;"C"&amp;$A182)="N/A",0,RTD("tos.rtd",,$A$2,"."&amp;L$135&amp;L$1&amp;"C"&amp;$A182))-IF(RTD("tos.rtd",,$A$2,"."&amp;L$135&amp;L$1&amp;"P"&amp;$A182)="N/A",0,RTD("tos.rtd",,$A$2,"."&amp;L$135&amp;L$1&amp;"P"&amp;$A182))</f>
        <v>0</v>
      </c>
      <c r="M182" s="56">
        <f ca="1">IF(RTD("tos.rtd",,$A$2,"."&amp;M$135&amp;M$1&amp;"C"&amp;$A182)="N/A",0,RTD("tos.rtd",,$A$2,"."&amp;M$135&amp;M$1&amp;"C"&amp;$A182))-IF(RTD("tos.rtd",,$A$2,"."&amp;M$135&amp;M$1&amp;"P"&amp;$A182)="N/A",0,RTD("tos.rtd",,$A$2,"."&amp;M$135&amp;M$1&amp;"P"&amp;$A182))</f>
        <v>0</v>
      </c>
      <c r="N182" s="56">
        <f ca="1">IF(RTD("tos.rtd",,$A$2,"."&amp;N$135&amp;N$1&amp;"C"&amp;$A182)="N/A",0,RTD("tos.rtd",,$A$2,"."&amp;N$135&amp;N$1&amp;"C"&amp;$A182))-IF(RTD("tos.rtd",,$A$2,"."&amp;N$135&amp;N$1&amp;"P"&amp;$A182)="N/A",0,RTD("tos.rtd",,$A$2,"."&amp;N$135&amp;N$1&amp;"P"&amp;$A182))</f>
        <v>0</v>
      </c>
      <c r="O182" s="56">
        <f ca="1">IF(RTD("tos.rtd",,$A$2,"."&amp;O$135&amp;O$1&amp;"C"&amp;$A182)="N/A",0,RTD("tos.rtd",,$A$2,"."&amp;O$135&amp;O$1&amp;"C"&amp;$A182))-IF(RTD("tos.rtd",,$A$2,"."&amp;O$135&amp;O$1&amp;"P"&amp;$A182)="N/A",0,RTD("tos.rtd",,$A$2,"."&amp;O$135&amp;O$1&amp;"P"&amp;$A182))</f>
        <v>0</v>
      </c>
      <c r="P182" s="56">
        <f ca="1">IF(RTD("tos.rtd",,$A$2,"."&amp;P$135&amp;P$1&amp;"C"&amp;$A182)="N/A",0,RTD("tos.rtd",,$A$2,"."&amp;P$135&amp;P$1&amp;"C"&amp;$A182))-IF(RTD("tos.rtd",,$A$2,"."&amp;P$135&amp;P$1&amp;"P"&amp;$A182)="N/A",0,RTD("tos.rtd",,$A$2,"."&amp;P$135&amp;P$1&amp;"P"&amp;$A182))</f>
        <v>0</v>
      </c>
      <c r="Q182" s="56">
        <f ca="1">IF(RTD("tos.rtd",,$A$2,"."&amp;Q$135&amp;Q$1&amp;"C"&amp;$A182)="N/A",0,RTD("tos.rtd",,$A$2,"."&amp;Q$135&amp;Q$1&amp;"C"&amp;$A182))-IF(RTD("tos.rtd",,$A$2,"."&amp;Q$135&amp;Q$1&amp;"P"&amp;$A182)="N/A",0,RTD("tos.rtd",,$A$2,"."&amp;Q$135&amp;Q$1&amp;"P"&amp;$A182))</f>
        <v>0</v>
      </c>
      <c r="R182" s="56">
        <f ca="1">IF(RTD("tos.rtd",,$A$2,"."&amp;R$135&amp;R$1&amp;"C"&amp;$A182)="N/A",0,RTD("tos.rtd",,$A$2,"."&amp;R$135&amp;R$1&amp;"C"&amp;$A182))-IF(RTD("tos.rtd",,$A$2,"."&amp;R$135&amp;R$1&amp;"P"&amp;$A182)="N/A",0,RTD("tos.rtd",,$A$2,"."&amp;R$135&amp;R$1&amp;"P"&amp;$A182))</f>
        <v>0</v>
      </c>
      <c r="S182" s="56">
        <f ca="1">IF(RTD("tos.rtd",,$A$2,"."&amp;S$135&amp;S$1&amp;"C"&amp;$A182)="N/A",0,RTD("tos.rtd",,$A$2,"."&amp;S$135&amp;S$1&amp;"C"&amp;$A182))-IF(RTD("tos.rtd",,$A$2,"."&amp;S$135&amp;S$1&amp;"P"&amp;$A182)="N/A",0,RTD("tos.rtd",,$A$2,"."&amp;S$135&amp;S$1&amp;"P"&amp;$A182))</f>
        <v>0</v>
      </c>
      <c r="T182" s="56">
        <f ca="1">IF(RTD("tos.rtd",,$A$2,"."&amp;T$135&amp;T$1&amp;"C"&amp;$A182)="N/A",0,RTD("tos.rtd",,$A$2,"."&amp;T$135&amp;T$1&amp;"C"&amp;$A182))-IF(RTD("tos.rtd",,$A$2,"."&amp;T$135&amp;T$1&amp;"P"&amp;$A182)="N/A",0,RTD("tos.rtd",,$A$2,"."&amp;T$135&amp;T$1&amp;"P"&amp;$A182))</f>
        <v>0</v>
      </c>
      <c r="U182" s="56">
        <f ca="1">IF(RTD("tos.rtd",,$A$2,"."&amp;U$135&amp;U$1&amp;"C"&amp;$A182)="N/A",0,RTD("tos.rtd",,$A$2,"."&amp;U$135&amp;U$1&amp;"C"&amp;$A182))-IF(RTD("tos.rtd",,$A$2,"."&amp;U$135&amp;U$1&amp;"P"&amp;$A182)="N/A",0,RTD("tos.rtd",,$A$2,"."&amp;U$135&amp;U$1&amp;"P"&amp;$A182))</f>
        <v>0</v>
      </c>
      <c r="V182" s="56">
        <f ca="1">IF(RTD("tos.rtd",,$A$2,"."&amp;V$135&amp;V$1&amp;"C"&amp;$A182)="N/A",0,RTD("tos.rtd",,$A$2,"."&amp;V$135&amp;V$1&amp;"C"&amp;$A182))-IF(RTD("tos.rtd",,$A$2,"."&amp;V$135&amp;V$1&amp;"P"&amp;$A182)="N/A",0,RTD("tos.rtd",,$A$2,"."&amp;V$135&amp;V$1&amp;"P"&amp;$A182))</f>
        <v>0</v>
      </c>
      <c r="W182" s="56">
        <f ca="1">IF(RTD("tos.rtd",,$A$2,"."&amp;W$135&amp;W$1&amp;"C"&amp;$A182)="N/A",0,RTD("tos.rtd",,$A$2,"."&amp;W$135&amp;W$1&amp;"C"&amp;$A182))-IF(RTD("tos.rtd",,$A$2,"."&amp;W$135&amp;W$1&amp;"P"&amp;$A182)="N/A",0,RTD("tos.rtd",,$A$2,"."&amp;W$135&amp;W$1&amp;"P"&amp;$A182))</f>
        <v>0</v>
      </c>
      <c r="X182" s="56">
        <f ca="1">IF(RTD("tos.rtd",,$A$2,"."&amp;X$135&amp;X$1&amp;"C"&amp;$A182)="N/A",0,RTD("tos.rtd",,$A$2,"."&amp;X$135&amp;X$1&amp;"C"&amp;$A182))-IF(RTD("tos.rtd",,$A$2,"."&amp;X$135&amp;X$1&amp;"P"&amp;$A182)="N/A",0,RTD("tos.rtd",,$A$2,"."&amp;X$135&amp;X$1&amp;"P"&amp;$A182))</f>
        <v>0</v>
      </c>
      <c r="Y182" s="63">
        <f t="shared" ca="1" si="16"/>
        <v>-116</v>
      </c>
      <c r="Z182" s="56"/>
      <c r="AA182" s="56"/>
    </row>
    <row r="183" spans="1:27" x14ac:dyDescent="0.25">
      <c r="A183" s="58">
        <f>+Hoja1!A182</f>
        <v>24475</v>
      </c>
      <c r="B183" s="56">
        <f ca="1">IF(RTD("tos.rtd",,$A$2,"."&amp;B$135&amp;B$1&amp;"C"&amp;$A183)="N/A",0,RTD("tos.rtd",,$A$2,"."&amp;B$135&amp;B$1&amp;"C"&amp;$A183))-IF(RTD("tos.rtd",,$A$2,"."&amp;B$135&amp;B$1&amp;"P"&amp;$A183)="N/A",0,RTD("tos.rtd",,$A$2,"."&amp;B$135&amp;B$1&amp;"P"&amp;$A183))</f>
        <v>0</v>
      </c>
      <c r="C183" s="56">
        <f ca="1">IF(RTD("tos.rtd",,$A$2,"."&amp;C$135&amp;C$1&amp;"C"&amp;$A183)="N/A",0,RTD("tos.rtd",,$A$2,"."&amp;C$135&amp;C$1&amp;"C"&amp;$A183))-IF(RTD("tos.rtd",,$A$2,"."&amp;C$135&amp;C$1&amp;"P"&amp;$A183)="N/A",0,RTD("tos.rtd",,$A$2,"."&amp;C$135&amp;C$1&amp;"P"&amp;$A183))</f>
        <v>0</v>
      </c>
      <c r="D183" s="56">
        <f ca="1">IF(RTD("tos.rtd",,$A$2,"."&amp;D$135&amp;D$1&amp;"C"&amp;$A183)="N/A",0,RTD("tos.rtd",,$A$2,"."&amp;D$135&amp;D$1&amp;"C"&amp;$A183))-IF(RTD("tos.rtd",,$A$2,"."&amp;D$135&amp;D$1&amp;"P"&amp;$A183)="N/A",0,RTD("tos.rtd",,$A$2,"."&amp;D$135&amp;D$1&amp;"P"&amp;$A183))</f>
        <v>0</v>
      </c>
      <c r="E183" s="56">
        <f ca="1">IF(RTD("tos.rtd",,$A$2,"."&amp;E$135&amp;E$1&amp;"C"&amp;$A183)="N/A",0,RTD("tos.rtd",,$A$2,"."&amp;E$135&amp;E$1&amp;"C"&amp;$A183))-IF(RTD("tos.rtd",,$A$2,"."&amp;E$135&amp;E$1&amp;"P"&amp;$A183)="N/A",0,RTD("tos.rtd",,$A$2,"."&amp;E$135&amp;E$1&amp;"P"&amp;$A183))</f>
        <v>0</v>
      </c>
      <c r="F183" s="56">
        <f ca="1">IF(RTD("tos.rtd",,$A$2,"."&amp;F$135&amp;F$1&amp;"C"&amp;$A183)="N/A",0,RTD("tos.rtd",,$A$2,"."&amp;F$135&amp;F$1&amp;"C"&amp;$A183))-IF(RTD("tos.rtd",,$A$2,"."&amp;F$135&amp;F$1&amp;"P"&amp;$A183)="N/A",0,RTD("tos.rtd",,$A$2,"."&amp;F$135&amp;F$1&amp;"P"&amp;$A183))</f>
        <v>0</v>
      </c>
      <c r="G183" s="56">
        <f ca="1">IF(RTD("tos.rtd",,$A$2,"."&amp;G$135&amp;G$1&amp;"C"&amp;$A183)="N/A",0,RTD("tos.rtd",,$A$2,"."&amp;G$135&amp;G$1&amp;"C"&amp;$A183))-IF(RTD("tos.rtd",,$A$2,"."&amp;G$135&amp;G$1&amp;"P"&amp;$A183)="N/A",0,RTD("tos.rtd",,$A$2,"."&amp;G$135&amp;G$1&amp;"P"&amp;$A183))</f>
        <v>0</v>
      </c>
      <c r="H183" s="56">
        <f ca="1">IF(RTD("tos.rtd",,$A$2,"."&amp;H$135&amp;H$1&amp;"C"&amp;$A183)="N/A",0,RTD("tos.rtd",,$A$2,"."&amp;H$135&amp;H$1&amp;"C"&amp;$A183))-IF(RTD("tos.rtd",,$A$2,"."&amp;H$135&amp;H$1&amp;"P"&amp;$A183)="N/A",0,RTD("tos.rtd",,$A$2,"."&amp;H$135&amp;H$1&amp;"P"&amp;$A183))</f>
        <v>0</v>
      </c>
      <c r="I183" s="56">
        <f ca="1">IF(RTD("tos.rtd",,$A$2,"."&amp;I$135&amp;I$1&amp;"C"&amp;$A183)="N/A",0,RTD("tos.rtd",,$A$2,"."&amp;I$135&amp;I$1&amp;"C"&amp;$A183))-IF(RTD("tos.rtd",,$A$2,"."&amp;I$135&amp;I$1&amp;"P"&amp;$A183)="N/A",0,RTD("tos.rtd",,$A$2,"."&amp;I$135&amp;I$1&amp;"P"&amp;$A183))</f>
        <v>-1</v>
      </c>
      <c r="J183" s="56">
        <f ca="1">IF(RTD("tos.rtd",,$A$2,"."&amp;J$135&amp;J$1&amp;"C"&amp;$A183)="N/A",0,RTD("tos.rtd",,$A$2,"."&amp;J$135&amp;J$1&amp;"C"&amp;$A183))-IF(RTD("tos.rtd",,$A$2,"."&amp;J$135&amp;J$1&amp;"P"&amp;$A183)="N/A",0,RTD("tos.rtd",,$A$2,"."&amp;J$135&amp;J$1&amp;"P"&amp;$A183))</f>
        <v>0</v>
      </c>
      <c r="K183" s="56">
        <f ca="1">IF(RTD("tos.rtd",,$A$2,"."&amp;K$135&amp;K$1&amp;"C"&amp;$A183)="N/A",0,RTD("tos.rtd",,$A$2,"."&amp;K$135&amp;K$1&amp;"C"&amp;$A183))-IF(RTD("tos.rtd",,$A$2,"."&amp;K$135&amp;K$1&amp;"P"&amp;$A183)="N/A",0,RTD("tos.rtd",,$A$2,"."&amp;K$135&amp;K$1&amp;"P"&amp;$A183))</f>
        <v>1</v>
      </c>
      <c r="L183" s="56">
        <f ca="1">IF(RTD("tos.rtd",,$A$2,"."&amp;L$135&amp;L$1&amp;"C"&amp;$A183)="N/A",0,RTD("tos.rtd",,$A$2,"."&amp;L$135&amp;L$1&amp;"C"&amp;$A183))-IF(RTD("tos.rtd",,$A$2,"."&amp;L$135&amp;L$1&amp;"P"&amp;$A183)="N/A",0,RTD("tos.rtd",,$A$2,"."&amp;L$135&amp;L$1&amp;"P"&amp;$A183))</f>
        <v>0</v>
      </c>
      <c r="M183" s="56">
        <f ca="1">IF(RTD("tos.rtd",,$A$2,"."&amp;M$135&amp;M$1&amp;"C"&amp;$A183)="N/A",0,RTD("tos.rtd",,$A$2,"."&amp;M$135&amp;M$1&amp;"C"&amp;$A183))-IF(RTD("tos.rtd",,$A$2,"."&amp;M$135&amp;M$1&amp;"P"&amp;$A183)="N/A",0,RTD("tos.rtd",,$A$2,"."&amp;M$135&amp;M$1&amp;"P"&amp;$A183))</f>
        <v>0</v>
      </c>
      <c r="N183" s="56">
        <f ca="1">IF(RTD("tos.rtd",,$A$2,"."&amp;N$135&amp;N$1&amp;"C"&amp;$A183)="N/A",0,RTD("tos.rtd",,$A$2,"."&amp;N$135&amp;N$1&amp;"C"&amp;$A183))-IF(RTD("tos.rtd",,$A$2,"."&amp;N$135&amp;N$1&amp;"P"&amp;$A183)="N/A",0,RTD("tos.rtd",,$A$2,"."&amp;N$135&amp;N$1&amp;"P"&amp;$A183))</f>
        <v>0</v>
      </c>
      <c r="O183" s="56">
        <f ca="1">IF(RTD("tos.rtd",,$A$2,"."&amp;O$135&amp;O$1&amp;"C"&amp;$A183)="N/A",0,RTD("tos.rtd",,$A$2,"."&amp;O$135&amp;O$1&amp;"C"&amp;$A183))-IF(RTD("tos.rtd",,$A$2,"."&amp;O$135&amp;O$1&amp;"P"&amp;$A183)="N/A",0,RTD("tos.rtd",,$A$2,"."&amp;O$135&amp;O$1&amp;"P"&amp;$A183))</f>
        <v>0</v>
      </c>
      <c r="P183" s="56">
        <f ca="1">IF(RTD("tos.rtd",,$A$2,"."&amp;P$135&amp;P$1&amp;"C"&amp;$A183)="N/A",0,RTD("tos.rtd",,$A$2,"."&amp;P$135&amp;P$1&amp;"C"&amp;$A183))-IF(RTD("tos.rtd",,$A$2,"."&amp;P$135&amp;P$1&amp;"P"&amp;$A183)="N/A",0,RTD("tos.rtd",,$A$2,"."&amp;P$135&amp;P$1&amp;"P"&amp;$A183))</f>
        <v>0</v>
      </c>
      <c r="Q183" s="56">
        <f ca="1">IF(RTD("tos.rtd",,$A$2,"."&amp;Q$135&amp;Q$1&amp;"C"&amp;$A183)="N/A",0,RTD("tos.rtd",,$A$2,"."&amp;Q$135&amp;Q$1&amp;"C"&amp;$A183))-IF(RTD("tos.rtd",,$A$2,"."&amp;Q$135&amp;Q$1&amp;"P"&amp;$A183)="N/A",0,RTD("tos.rtd",,$A$2,"."&amp;Q$135&amp;Q$1&amp;"P"&amp;$A183))</f>
        <v>0</v>
      </c>
      <c r="R183" s="56">
        <f ca="1">IF(RTD("tos.rtd",,$A$2,"."&amp;R$135&amp;R$1&amp;"C"&amp;$A183)="N/A",0,RTD("tos.rtd",,$A$2,"."&amp;R$135&amp;R$1&amp;"C"&amp;$A183))-IF(RTD("tos.rtd",,$A$2,"."&amp;R$135&amp;R$1&amp;"P"&amp;$A183)="N/A",0,RTD("tos.rtd",,$A$2,"."&amp;R$135&amp;R$1&amp;"P"&amp;$A183))</f>
        <v>0</v>
      </c>
      <c r="S183" s="56">
        <f ca="1">IF(RTD("tos.rtd",,$A$2,"."&amp;S$135&amp;S$1&amp;"C"&amp;$A183)="N/A",0,RTD("tos.rtd",,$A$2,"."&amp;S$135&amp;S$1&amp;"C"&amp;$A183))-IF(RTD("tos.rtd",,$A$2,"."&amp;S$135&amp;S$1&amp;"P"&amp;$A183)="N/A",0,RTD("tos.rtd",,$A$2,"."&amp;S$135&amp;S$1&amp;"P"&amp;$A183))</f>
        <v>0</v>
      </c>
      <c r="T183" s="56">
        <f ca="1">IF(RTD("tos.rtd",,$A$2,"."&amp;T$135&amp;T$1&amp;"C"&amp;$A183)="N/A",0,RTD("tos.rtd",,$A$2,"."&amp;T$135&amp;T$1&amp;"C"&amp;$A183))-IF(RTD("tos.rtd",,$A$2,"."&amp;T$135&amp;T$1&amp;"P"&amp;$A183)="N/A",0,RTD("tos.rtd",,$A$2,"."&amp;T$135&amp;T$1&amp;"P"&amp;$A183))</f>
        <v>0</v>
      </c>
      <c r="U183" s="56">
        <f ca="1">IF(RTD("tos.rtd",,$A$2,"."&amp;U$135&amp;U$1&amp;"C"&amp;$A183)="N/A",0,RTD("tos.rtd",,$A$2,"."&amp;U$135&amp;U$1&amp;"C"&amp;$A183))-IF(RTD("tos.rtd",,$A$2,"."&amp;U$135&amp;U$1&amp;"P"&amp;$A183)="N/A",0,RTD("tos.rtd",,$A$2,"."&amp;U$135&amp;U$1&amp;"P"&amp;$A183))</f>
        <v>0</v>
      </c>
      <c r="V183" s="56">
        <f ca="1">IF(RTD("tos.rtd",,$A$2,"."&amp;V$135&amp;V$1&amp;"C"&amp;$A183)="N/A",0,RTD("tos.rtd",,$A$2,"."&amp;V$135&amp;V$1&amp;"C"&amp;$A183))-IF(RTD("tos.rtd",,$A$2,"."&amp;V$135&amp;V$1&amp;"P"&amp;$A183)="N/A",0,RTD("tos.rtd",,$A$2,"."&amp;V$135&amp;V$1&amp;"P"&amp;$A183))</f>
        <v>0</v>
      </c>
      <c r="W183" s="56">
        <f ca="1">IF(RTD("tos.rtd",,$A$2,"."&amp;W$135&amp;W$1&amp;"C"&amp;$A183)="N/A",0,RTD("tos.rtd",,$A$2,"."&amp;W$135&amp;W$1&amp;"C"&amp;$A183))-IF(RTD("tos.rtd",,$A$2,"."&amp;W$135&amp;W$1&amp;"P"&amp;$A183)="N/A",0,RTD("tos.rtd",,$A$2,"."&amp;W$135&amp;W$1&amp;"P"&amp;$A183))</f>
        <v>0</v>
      </c>
      <c r="X183" s="56">
        <f ca="1">IF(RTD("tos.rtd",,$A$2,"."&amp;X$135&amp;X$1&amp;"C"&amp;$A183)="N/A",0,RTD("tos.rtd",,$A$2,"."&amp;X$135&amp;X$1&amp;"C"&amp;$A183))-IF(RTD("tos.rtd",,$A$2,"."&amp;X$135&amp;X$1&amp;"P"&amp;$A183)="N/A",0,RTD("tos.rtd",,$A$2,"."&amp;X$135&amp;X$1&amp;"P"&amp;$A183))</f>
        <v>0</v>
      </c>
      <c r="Y183" s="63">
        <f t="shared" ca="1" si="16"/>
        <v>0</v>
      </c>
      <c r="Z183" s="56"/>
      <c r="AA183" s="56"/>
    </row>
    <row r="184" spans="1:27" x14ac:dyDescent="0.25">
      <c r="A184" s="58">
        <f>+Hoja1!A183</f>
        <v>24450</v>
      </c>
      <c r="B184" s="56">
        <f ca="1">IF(RTD("tos.rtd",,$A$2,"."&amp;B$135&amp;B$1&amp;"C"&amp;$A184)="N/A",0,RTD("tos.rtd",,$A$2,"."&amp;B$135&amp;B$1&amp;"C"&amp;$A184))-IF(RTD("tos.rtd",,$A$2,"."&amp;B$135&amp;B$1&amp;"P"&amp;$A184)="N/A",0,RTD("tos.rtd",,$A$2,"."&amp;B$135&amp;B$1&amp;"P"&amp;$A184))</f>
        <v>-16</v>
      </c>
      <c r="C184" s="56">
        <f ca="1">IF(RTD("tos.rtd",,$A$2,"."&amp;C$135&amp;C$1&amp;"C"&amp;$A184)="N/A",0,RTD("tos.rtd",,$A$2,"."&amp;C$135&amp;C$1&amp;"C"&amp;$A184))-IF(RTD("tos.rtd",,$A$2,"."&amp;C$135&amp;C$1&amp;"P"&amp;$A184)="N/A",0,RTD("tos.rtd",,$A$2,"."&amp;C$135&amp;C$1&amp;"P"&amp;$A184))</f>
        <v>0</v>
      </c>
      <c r="D184" s="56">
        <f ca="1">IF(RTD("tos.rtd",,$A$2,"."&amp;D$135&amp;D$1&amp;"C"&amp;$A184)="N/A",0,RTD("tos.rtd",,$A$2,"."&amp;D$135&amp;D$1&amp;"C"&amp;$A184))-IF(RTD("tos.rtd",,$A$2,"."&amp;D$135&amp;D$1&amp;"P"&amp;$A184)="N/A",0,RTD("tos.rtd",,$A$2,"."&amp;D$135&amp;D$1&amp;"P"&amp;$A184))</f>
        <v>0</v>
      </c>
      <c r="E184" s="56">
        <f ca="1">IF(RTD("tos.rtd",,$A$2,"."&amp;E$135&amp;E$1&amp;"C"&amp;$A184)="N/A",0,RTD("tos.rtd",,$A$2,"."&amp;E$135&amp;E$1&amp;"C"&amp;$A184))-IF(RTD("tos.rtd",,$A$2,"."&amp;E$135&amp;E$1&amp;"P"&amp;$A184)="N/A",0,RTD("tos.rtd",,$A$2,"."&amp;E$135&amp;E$1&amp;"P"&amp;$A184))</f>
        <v>0</v>
      </c>
      <c r="F184" s="56">
        <f ca="1">IF(RTD("tos.rtd",,$A$2,"."&amp;F$135&amp;F$1&amp;"C"&amp;$A184)="N/A",0,RTD("tos.rtd",,$A$2,"."&amp;F$135&amp;F$1&amp;"C"&amp;$A184))-IF(RTD("tos.rtd",,$A$2,"."&amp;F$135&amp;F$1&amp;"P"&amp;$A184)="N/A",0,RTD("tos.rtd",,$A$2,"."&amp;F$135&amp;F$1&amp;"P"&amp;$A184))</f>
        <v>0</v>
      </c>
      <c r="G184" s="56">
        <f ca="1">IF(RTD("tos.rtd",,$A$2,"."&amp;G$135&amp;G$1&amp;"C"&amp;$A184)="N/A",0,RTD("tos.rtd",,$A$2,"."&amp;G$135&amp;G$1&amp;"C"&amp;$A184))-IF(RTD("tos.rtd",,$A$2,"."&amp;G$135&amp;G$1&amp;"P"&amp;$A184)="N/A",0,RTD("tos.rtd",,$A$2,"."&amp;G$135&amp;G$1&amp;"P"&amp;$A184))</f>
        <v>0</v>
      </c>
      <c r="H184" s="56">
        <f ca="1">IF(RTD("tos.rtd",,$A$2,"."&amp;H$135&amp;H$1&amp;"C"&amp;$A184)="N/A",0,RTD("tos.rtd",,$A$2,"."&amp;H$135&amp;H$1&amp;"C"&amp;$A184))-IF(RTD("tos.rtd",,$A$2,"."&amp;H$135&amp;H$1&amp;"P"&amp;$A184)="N/A",0,RTD("tos.rtd",,$A$2,"."&amp;H$135&amp;H$1&amp;"P"&amp;$A184))</f>
        <v>0</v>
      </c>
      <c r="I184" s="56">
        <f ca="1">IF(RTD("tos.rtd",,$A$2,"."&amp;I$135&amp;I$1&amp;"C"&amp;$A184)="N/A",0,RTD("tos.rtd",,$A$2,"."&amp;I$135&amp;I$1&amp;"C"&amp;$A184))-IF(RTD("tos.rtd",,$A$2,"."&amp;I$135&amp;I$1&amp;"P"&amp;$A184)="N/A",0,RTD("tos.rtd",,$A$2,"."&amp;I$135&amp;I$1&amp;"P"&amp;$A184))</f>
        <v>0</v>
      </c>
      <c r="J184" s="56">
        <f ca="1">IF(RTD("tos.rtd",,$A$2,"."&amp;J$135&amp;J$1&amp;"C"&amp;$A184)="N/A",0,RTD("tos.rtd",,$A$2,"."&amp;J$135&amp;J$1&amp;"C"&amp;$A184))-IF(RTD("tos.rtd",,$A$2,"."&amp;J$135&amp;J$1&amp;"P"&amp;$A184)="N/A",0,RTD("tos.rtd",,$A$2,"."&amp;J$135&amp;J$1&amp;"P"&amp;$A184))</f>
        <v>0</v>
      </c>
      <c r="K184" s="56">
        <f ca="1">IF(RTD("tos.rtd",,$A$2,"."&amp;K$135&amp;K$1&amp;"C"&amp;$A184)="N/A",0,RTD("tos.rtd",,$A$2,"."&amp;K$135&amp;K$1&amp;"C"&amp;$A184))-IF(RTD("tos.rtd",,$A$2,"."&amp;K$135&amp;K$1&amp;"P"&amp;$A184)="N/A",0,RTD("tos.rtd",,$A$2,"."&amp;K$135&amp;K$1&amp;"P"&amp;$A184))</f>
        <v>0</v>
      </c>
      <c r="L184" s="56">
        <f ca="1">IF(RTD("tos.rtd",,$A$2,"."&amp;L$135&amp;L$1&amp;"C"&amp;$A184)="N/A",0,RTD("tos.rtd",,$A$2,"."&amp;L$135&amp;L$1&amp;"C"&amp;$A184))-IF(RTD("tos.rtd",,$A$2,"."&amp;L$135&amp;L$1&amp;"P"&amp;$A184)="N/A",0,RTD("tos.rtd",,$A$2,"."&amp;L$135&amp;L$1&amp;"P"&amp;$A184))</f>
        <v>0</v>
      </c>
      <c r="M184" s="56">
        <f ca="1">IF(RTD("tos.rtd",,$A$2,"."&amp;M$135&amp;M$1&amp;"C"&amp;$A184)="N/A",0,RTD("tos.rtd",,$A$2,"."&amp;M$135&amp;M$1&amp;"C"&amp;$A184))-IF(RTD("tos.rtd",,$A$2,"."&amp;M$135&amp;M$1&amp;"P"&amp;$A184)="N/A",0,RTD("tos.rtd",,$A$2,"."&amp;M$135&amp;M$1&amp;"P"&amp;$A184))</f>
        <v>0</v>
      </c>
      <c r="N184" s="56">
        <f ca="1">IF(RTD("tos.rtd",,$A$2,"."&amp;N$135&amp;N$1&amp;"C"&amp;$A184)="N/A",0,RTD("tos.rtd",,$A$2,"."&amp;N$135&amp;N$1&amp;"C"&amp;$A184))-IF(RTD("tos.rtd",,$A$2,"."&amp;N$135&amp;N$1&amp;"P"&amp;$A184)="N/A",0,RTD("tos.rtd",,$A$2,"."&amp;N$135&amp;N$1&amp;"P"&amp;$A184))</f>
        <v>0</v>
      </c>
      <c r="O184" s="56">
        <f ca="1">IF(RTD("tos.rtd",,$A$2,"."&amp;O$135&amp;O$1&amp;"C"&amp;$A184)="N/A",0,RTD("tos.rtd",,$A$2,"."&amp;O$135&amp;O$1&amp;"C"&amp;$A184))-IF(RTD("tos.rtd",,$A$2,"."&amp;O$135&amp;O$1&amp;"P"&amp;$A184)="N/A",0,RTD("tos.rtd",,$A$2,"."&amp;O$135&amp;O$1&amp;"P"&amp;$A184))</f>
        <v>0</v>
      </c>
      <c r="P184" s="56">
        <f ca="1">IF(RTD("tos.rtd",,$A$2,"."&amp;P$135&amp;P$1&amp;"C"&amp;$A184)="N/A",0,RTD("tos.rtd",,$A$2,"."&amp;P$135&amp;P$1&amp;"C"&amp;$A184))-IF(RTD("tos.rtd",,$A$2,"."&amp;P$135&amp;P$1&amp;"P"&amp;$A184)="N/A",0,RTD("tos.rtd",,$A$2,"."&amp;P$135&amp;P$1&amp;"P"&amp;$A184))</f>
        <v>0</v>
      </c>
      <c r="Q184" s="56">
        <f ca="1">IF(RTD("tos.rtd",,$A$2,"."&amp;Q$135&amp;Q$1&amp;"C"&amp;$A184)="N/A",0,RTD("tos.rtd",,$A$2,"."&amp;Q$135&amp;Q$1&amp;"C"&amp;$A184))-IF(RTD("tos.rtd",,$A$2,"."&amp;Q$135&amp;Q$1&amp;"P"&amp;$A184)="N/A",0,RTD("tos.rtd",,$A$2,"."&amp;Q$135&amp;Q$1&amp;"P"&amp;$A184))</f>
        <v>0</v>
      </c>
      <c r="R184" s="56">
        <f ca="1">IF(RTD("tos.rtd",,$A$2,"."&amp;R$135&amp;R$1&amp;"C"&amp;$A184)="N/A",0,RTD("tos.rtd",,$A$2,"."&amp;R$135&amp;R$1&amp;"C"&amp;$A184))-IF(RTD("tos.rtd",,$A$2,"."&amp;R$135&amp;R$1&amp;"P"&amp;$A184)="N/A",0,RTD("tos.rtd",,$A$2,"."&amp;R$135&amp;R$1&amp;"P"&amp;$A184))</f>
        <v>0</v>
      </c>
      <c r="S184" s="56">
        <f ca="1">IF(RTD("tos.rtd",,$A$2,"."&amp;S$135&amp;S$1&amp;"C"&amp;$A184)="N/A",0,RTD("tos.rtd",,$A$2,"."&amp;S$135&amp;S$1&amp;"C"&amp;$A184))-IF(RTD("tos.rtd",,$A$2,"."&amp;S$135&amp;S$1&amp;"P"&amp;$A184)="N/A",0,RTD("tos.rtd",,$A$2,"."&amp;S$135&amp;S$1&amp;"P"&amp;$A184))</f>
        <v>0</v>
      </c>
      <c r="T184" s="56">
        <f ca="1">IF(RTD("tos.rtd",,$A$2,"."&amp;T$135&amp;T$1&amp;"C"&amp;$A184)="N/A",0,RTD("tos.rtd",,$A$2,"."&amp;T$135&amp;T$1&amp;"C"&amp;$A184))-IF(RTD("tos.rtd",,$A$2,"."&amp;T$135&amp;T$1&amp;"P"&amp;$A184)="N/A",0,RTD("tos.rtd",,$A$2,"."&amp;T$135&amp;T$1&amp;"P"&amp;$A184))</f>
        <v>0</v>
      </c>
      <c r="U184" s="56">
        <f ca="1">IF(RTD("tos.rtd",,$A$2,"."&amp;U$135&amp;U$1&amp;"C"&amp;$A184)="N/A",0,RTD("tos.rtd",,$A$2,"."&amp;U$135&amp;U$1&amp;"C"&amp;$A184))-IF(RTD("tos.rtd",,$A$2,"."&amp;U$135&amp;U$1&amp;"P"&amp;$A184)="N/A",0,RTD("tos.rtd",,$A$2,"."&amp;U$135&amp;U$1&amp;"P"&amp;$A184))</f>
        <v>0</v>
      </c>
      <c r="V184" s="56">
        <f ca="1">IF(RTD("tos.rtd",,$A$2,"."&amp;V$135&amp;V$1&amp;"C"&amp;$A184)="N/A",0,RTD("tos.rtd",,$A$2,"."&amp;V$135&amp;V$1&amp;"C"&amp;$A184))-IF(RTD("tos.rtd",,$A$2,"."&amp;V$135&amp;V$1&amp;"P"&amp;$A184)="N/A",0,RTD("tos.rtd",,$A$2,"."&amp;V$135&amp;V$1&amp;"P"&amp;$A184))</f>
        <v>0</v>
      </c>
      <c r="W184" s="56">
        <f ca="1">IF(RTD("tos.rtd",,$A$2,"."&amp;W$135&amp;W$1&amp;"C"&amp;$A184)="N/A",0,RTD("tos.rtd",,$A$2,"."&amp;W$135&amp;W$1&amp;"C"&amp;$A184))-IF(RTD("tos.rtd",,$A$2,"."&amp;W$135&amp;W$1&amp;"P"&amp;$A184)="N/A",0,RTD("tos.rtd",,$A$2,"."&amp;W$135&amp;W$1&amp;"P"&amp;$A184))</f>
        <v>0</v>
      </c>
      <c r="X184" s="56">
        <f ca="1">IF(RTD("tos.rtd",,$A$2,"."&amp;X$135&amp;X$1&amp;"C"&amp;$A184)="N/A",0,RTD("tos.rtd",,$A$2,"."&amp;X$135&amp;X$1&amp;"C"&amp;$A184))-IF(RTD("tos.rtd",,$A$2,"."&amp;X$135&amp;X$1&amp;"P"&amp;$A184)="N/A",0,RTD("tos.rtd",,$A$2,"."&amp;X$135&amp;X$1&amp;"P"&amp;$A184))</f>
        <v>0</v>
      </c>
      <c r="Y184" s="63">
        <f t="shared" ca="1" si="16"/>
        <v>-16</v>
      </c>
      <c r="Z184" s="56"/>
      <c r="AA184" s="56"/>
    </row>
    <row r="185" spans="1:27" x14ac:dyDescent="0.25">
      <c r="A185" s="58">
        <f>+Hoja1!A184</f>
        <v>24425</v>
      </c>
      <c r="B185" s="56">
        <f ca="1">IF(RTD("tos.rtd",,$A$2,"."&amp;B$135&amp;B$1&amp;"C"&amp;$A185)="N/A",0,RTD("tos.rtd",,$A$2,"."&amp;B$135&amp;B$1&amp;"C"&amp;$A185))-IF(RTD("tos.rtd",,$A$2,"."&amp;B$135&amp;B$1&amp;"P"&amp;$A185)="N/A",0,RTD("tos.rtd",,$A$2,"."&amp;B$135&amp;B$1&amp;"P"&amp;$A185))</f>
        <v>0</v>
      </c>
      <c r="C185" s="56">
        <f ca="1">IF(RTD("tos.rtd",,$A$2,"."&amp;C$135&amp;C$1&amp;"C"&amp;$A185)="N/A",0,RTD("tos.rtd",,$A$2,"."&amp;C$135&amp;C$1&amp;"C"&amp;$A185))-IF(RTD("tos.rtd",,$A$2,"."&amp;C$135&amp;C$1&amp;"P"&amp;$A185)="N/A",0,RTD("tos.rtd",,$A$2,"."&amp;C$135&amp;C$1&amp;"P"&amp;$A185))</f>
        <v>0</v>
      </c>
      <c r="D185" s="56">
        <f ca="1">IF(RTD("tos.rtd",,$A$2,"."&amp;D$135&amp;D$1&amp;"C"&amp;$A185)="N/A",0,RTD("tos.rtd",,$A$2,"."&amp;D$135&amp;D$1&amp;"C"&amp;$A185))-IF(RTD("tos.rtd",,$A$2,"."&amp;D$135&amp;D$1&amp;"P"&amp;$A185)="N/A",0,RTD("tos.rtd",,$A$2,"."&amp;D$135&amp;D$1&amp;"P"&amp;$A185))</f>
        <v>0</v>
      </c>
      <c r="E185" s="56">
        <f ca="1">IF(RTD("tos.rtd",,$A$2,"."&amp;E$135&amp;E$1&amp;"C"&amp;$A185)="N/A",0,RTD("tos.rtd",,$A$2,"."&amp;E$135&amp;E$1&amp;"C"&amp;$A185))-IF(RTD("tos.rtd",,$A$2,"."&amp;E$135&amp;E$1&amp;"P"&amp;$A185)="N/A",0,RTD("tos.rtd",,$A$2,"."&amp;E$135&amp;E$1&amp;"P"&amp;$A185))</f>
        <v>0</v>
      </c>
      <c r="F185" s="56">
        <f ca="1">IF(RTD("tos.rtd",,$A$2,"."&amp;F$135&amp;F$1&amp;"C"&amp;$A185)="N/A",0,RTD("tos.rtd",,$A$2,"."&amp;F$135&amp;F$1&amp;"C"&amp;$A185))-IF(RTD("tos.rtd",,$A$2,"."&amp;F$135&amp;F$1&amp;"P"&amp;$A185)="N/A",0,RTD("tos.rtd",,$A$2,"."&amp;F$135&amp;F$1&amp;"P"&amp;$A185))</f>
        <v>0</v>
      </c>
      <c r="G185" s="56">
        <f ca="1">IF(RTD("tos.rtd",,$A$2,"."&amp;G$135&amp;G$1&amp;"C"&amp;$A185)="N/A",0,RTD("tos.rtd",,$A$2,"."&amp;G$135&amp;G$1&amp;"C"&amp;$A185))-IF(RTD("tos.rtd",,$A$2,"."&amp;G$135&amp;G$1&amp;"P"&amp;$A185)="N/A",0,RTD("tos.rtd",,$A$2,"."&amp;G$135&amp;G$1&amp;"P"&amp;$A185))</f>
        <v>0</v>
      </c>
      <c r="H185" s="56">
        <f ca="1">IF(RTD("tos.rtd",,$A$2,"."&amp;H$135&amp;H$1&amp;"C"&amp;$A185)="N/A",0,RTD("tos.rtd",,$A$2,"."&amp;H$135&amp;H$1&amp;"C"&amp;$A185))-IF(RTD("tos.rtd",,$A$2,"."&amp;H$135&amp;H$1&amp;"P"&amp;$A185)="N/A",0,RTD("tos.rtd",,$A$2,"."&amp;H$135&amp;H$1&amp;"P"&amp;$A185))</f>
        <v>0</v>
      </c>
      <c r="I185" s="56">
        <f ca="1">IF(RTD("tos.rtd",,$A$2,"."&amp;I$135&amp;I$1&amp;"C"&amp;$A185)="N/A",0,RTD("tos.rtd",,$A$2,"."&amp;I$135&amp;I$1&amp;"C"&amp;$A185))-IF(RTD("tos.rtd",,$A$2,"."&amp;I$135&amp;I$1&amp;"P"&amp;$A185)="N/A",0,RTD("tos.rtd",,$A$2,"."&amp;I$135&amp;I$1&amp;"P"&amp;$A185))</f>
        <v>0</v>
      </c>
      <c r="J185" s="56">
        <f ca="1">IF(RTD("tos.rtd",,$A$2,"."&amp;J$135&amp;J$1&amp;"C"&amp;$A185)="N/A",0,RTD("tos.rtd",,$A$2,"."&amp;J$135&amp;J$1&amp;"C"&amp;$A185))-IF(RTD("tos.rtd",,$A$2,"."&amp;J$135&amp;J$1&amp;"P"&amp;$A185)="N/A",0,RTD("tos.rtd",,$A$2,"."&amp;J$135&amp;J$1&amp;"P"&amp;$A185))</f>
        <v>0</v>
      </c>
      <c r="K185" s="56">
        <f ca="1">IF(RTD("tos.rtd",,$A$2,"."&amp;K$135&amp;K$1&amp;"C"&amp;$A185)="N/A",0,RTD("tos.rtd",,$A$2,"."&amp;K$135&amp;K$1&amp;"C"&amp;$A185))-IF(RTD("tos.rtd",,$A$2,"."&amp;K$135&amp;K$1&amp;"P"&amp;$A185)="N/A",0,RTD("tos.rtd",,$A$2,"."&amp;K$135&amp;K$1&amp;"P"&amp;$A185))</f>
        <v>-31</v>
      </c>
      <c r="L185" s="56">
        <f ca="1">IF(RTD("tos.rtd",,$A$2,"."&amp;L$135&amp;L$1&amp;"C"&amp;$A185)="N/A",0,RTD("tos.rtd",,$A$2,"."&amp;L$135&amp;L$1&amp;"C"&amp;$A185))-IF(RTD("tos.rtd",,$A$2,"."&amp;L$135&amp;L$1&amp;"P"&amp;$A185)="N/A",0,RTD("tos.rtd",,$A$2,"."&amp;L$135&amp;L$1&amp;"P"&amp;$A185))</f>
        <v>0</v>
      </c>
      <c r="M185" s="56">
        <f ca="1">IF(RTD("tos.rtd",,$A$2,"."&amp;M$135&amp;M$1&amp;"C"&amp;$A185)="N/A",0,RTD("tos.rtd",,$A$2,"."&amp;M$135&amp;M$1&amp;"C"&amp;$A185))-IF(RTD("tos.rtd",,$A$2,"."&amp;M$135&amp;M$1&amp;"P"&amp;$A185)="N/A",0,RTD("tos.rtd",,$A$2,"."&amp;M$135&amp;M$1&amp;"P"&amp;$A185))</f>
        <v>0</v>
      </c>
      <c r="N185" s="56">
        <f ca="1">IF(RTD("tos.rtd",,$A$2,"."&amp;N$135&amp;N$1&amp;"C"&amp;$A185)="N/A",0,RTD("tos.rtd",,$A$2,"."&amp;N$135&amp;N$1&amp;"C"&amp;$A185))-IF(RTD("tos.rtd",,$A$2,"."&amp;N$135&amp;N$1&amp;"P"&amp;$A185)="N/A",0,RTD("tos.rtd",,$A$2,"."&amp;N$135&amp;N$1&amp;"P"&amp;$A185))</f>
        <v>0</v>
      </c>
      <c r="O185" s="56">
        <f ca="1">IF(RTD("tos.rtd",,$A$2,"."&amp;O$135&amp;O$1&amp;"C"&amp;$A185)="N/A",0,RTD("tos.rtd",,$A$2,"."&amp;O$135&amp;O$1&amp;"C"&amp;$A185))-IF(RTD("tos.rtd",,$A$2,"."&amp;O$135&amp;O$1&amp;"P"&amp;$A185)="N/A",0,RTD("tos.rtd",,$A$2,"."&amp;O$135&amp;O$1&amp;"P"&amp;$A185))</f>
        <v>0</v>
      </c>
      <c r="P185" s="56">
        <f ca="1">IF(RTD("tos.rtd",,$A$2,"."&amp;P$135&amp;P$1&amp;"C"&amp;$A185)="N/A",0,RTD("tos.rtd",,$A$2,"."&amp;P$135&amp;P$1&amp;"C"&amp;$A185))-IF(RTD("tos.rtd",,$A$2,"."&amp;P$135&amp;P$1&amp;"P"&amp;$A185)="N/A",0,RTD("tos.rtd",,$A$2,"."&amp;P$135&amp;P$1&amp;"P"&amp;$A185))</f>
        <v>0</v>
      </c>
      <c r="Q185" s="56">
        <f ca="1">IF(RTD("tos.rtd",,$A$2,"."&amp;Q$135&amp;Q$1&amp;"C"&amp;$A185)="N/A",0,RTD("tos.rtd",,$A$2,"."&amp;Q$135&amp;Q$1&amp;"C"&amp;$A185))-IF(RTD("tos.rtd",,$A$2,"."&amp;Q$135&amp;Q$1&amp;"P"&amp;$A185)="N/A",0,RTD("tos.rtd",,$A$2,"."&amp;Q$135&amp;Q$1&amp;"P"&amp;$A185))</f>
        <v>0</v>
      </c>
      <c r="R185" s="56">
        <f ca="1">IF(RTD("tos.rtd",,$A$2,"."&amp;R$135&amp;R$1&amp;"C"&amp;$A185)="N/A",0,RTD("tos.rtd",,$A$2,"."&amp;R$135&amp;R$1&amp;"C"&amp;$A185))-IF(RTD("tos.rtd",,$A$2,"."&amp;R$135&amp;R$1&amp;"P"&amp;$A185)="N/A",0,RTD("tos.rtd",,$A$2,"."&amp;R$135&amp;R$1&amp;"P"&amp;$A185))</f>
        <v>0</v>
      </c>
      <c r="S185" s="56">
        <f ca="1">IF(RTD("tos.rtd",,$A$2,"."&amp;S$135&amp;S$1&amp;"C"&amp;$A185)="N/A",0,RTD("tos.rtd",,$A$2,"."&amp;S$135&amp;S$1&amp;"C"&amp;$A185))-IF(RTD("tos.rtd",,$A$2,"."&amp;S$135&amp;S$1&amp;"P"&amp;$A185)="N/A",0,RTD("tos.rtd",,$A$2,"."&amp;S$135&amp;S$1&amp;"P"&amp;$A185))</f>
        <v>0</v>
      </c>
      <c r="T185" s="56">
        <f ca="1">IF(RTD("tos.rtd",,$A$2,"."&amp;T$135&amp;T$1&amp;"C"&amp;$A185)="N/A",0,RTD("tos.rtd",,$A$2,"."&amp;T$135&amp;T$1&amp;"C"&amp;$A185))-IF(RTD("tos.rtd",,$A$2,"."&amp;T$135&amp;T$1&amp;"P"&amp;$A185)="N/A",0,RTD("tos.rtd",,$A$2,"."&amp;T$135&amp;T$1&amp;"P"&amp;$A185))</f>
        <v>0</v>
      </c>
      <c r="U185" s="56">
        <f ca="1">IF(RTD("tos.rtd",,$A$2,"."&amp;U$135&amp;U$1&amp;"C"&amp;$A185)="N/A",0,RTD("tos.rtd",,$A$2,"."&amp;U$135&amp;U$1&amp;"C"&amp;$A185))-IF(RTD("tos.rtd",,$A$2,"."&amp;U$135&amp;U$1&amp;"P"&amp;$A185)="N/A",0,RTD("tos.rtd",,$A$2,"."&amp;U$135&amp;U$1&amp;"P"&amp;$A185))</f>
        <v>0</v>
      </c>
      <c r="V185" s="56">
        <f ca="1">IF(RTD("tos.rtd",,$A$2,"."&amp;V$135&amp;V$1&amp;"C"&amp;$A185)="N/A",0,RTD("tos.rtd",,$A$2,"."&amp;V$135&amp;V$1&amp;"C"&amp;$A185))-IF(RTD("tos.rtd",,$A$2,"."&amp;V$135&amp;V$1&amp;"P"&amp;$A185)="N/A",0,RTD("tos.rtd",,$A$2,"."&amp;V$135&amp;V$1&amp;"P"&amp;$A185))</f>
        <v>0</v>
      </c>
      <c r="W185" s="56">
        <f ca="1">IF(RTD("tos.rtd",,$A$2,"."&amp;W$135&amp;W$1&amp;"C"&amp;$A185)="N/A",0,RTD("tos.rtd",,$A$2,"."&amp;W$135&amp;W$1&amp;"C"&amp;$A185))-IF(RTD("tos.rtd",,$A$2,"."&amp;W$135&amp;W$1&amp;"P"&amp;$A185)="N/A",0,RTD("tos.rtd",,$A$2,"."&amp;W$135&amp;W$1&amp;"P"&amp;$A185))</f>
        <v>0</v>
      </c>
      <c r="X185" s="56">
        <f ca="1">IF(RTD("tos.rtd",,$A$2,"."&amp;X$135&amp;X$1&amp;"C"&amp;$A185)="N/A",0,RTD("tos.rtd",,$A$2,"."&amp;X$135&amp;X$1&amp;"C"&amp;$A185))-IF(RTD("tos.rtd",,$A$2,"."&amp;X$135&amp;X$1&amp;"P"&amp;$A185)="N/A",0,RTD("tos.rtd",,$A$2,"."&amp;X$135&amp;X$1&amp;"P"&amp;$A185))</f>
        <v>0</v>
      </c>
      <c r="Y185" s="63">
        <f t="shared" ca="1" si="16"/>
        <v>-31</v>
      </c>
      <c r="Z185" s="56"/>
      <c r="AA185" s="56"/>
    </row>
    <row r="186" spans="1:27" x14ac:dyDescent="0.25">
      <c r="A186" s="58">
        <f>+Hoja1!A185</f>
        <v>24400</v>
      </c>
      <c r="B186" s="56">
        <f ca="1">IF(RTD("tos.rtd",,$A$2,"."&amp;B$135&amp;B$1&amp;"C"&amp;$A186)="N/A",0,RTD("tos.rtd",,$A$2,"."&amp;B$135&amp;B$1&amp;"C"&amp;$A186))-IF(RTD("tos.rtd",,$A$2,"."&amp;B$135&amp;B$1&amp;"P"&amp;$A186)="N/A",0,RTD("tos.rtd",,$A$2,"."&amp;B$135&amp;B$1&amp;"P"&amp;$A186))</f>
        <v>-150</v>
      </c>
      <c r="C186" s="56">
        <f ca="1">IF(RTD("tos.rtd",,$A$2,"."&amp;C$135&amp;C$1&amp;"C"&amp;$A186)="N/A",0,RTD("tos.rtd",,$A$2,"."&amp;C$135&amp;C$1&amp;"C"&amp;$A186))-IF(RTD("tos.rtd",,$A$2,"."&amp;C$135&amp;C$1&amp;"P"&amp;$A186)="N/A",0,RTD("tos.rtd",,$A$2,"."&amp;C$135&amp;C$1&amp;"P"&amp;$A186))</f>
        <v>-11</v>
      </c>
      <c r="D186" s="56">
        <f ca="1">IF(RTD("tos.rtd",,$A$2,"."&amp;D$135&amp;D$1&amp;"C"&amp;$A186)="N/A",0,RTD("tos.rtd",,$A$2,"."&amp;D$135&amp;D$1&amp;"C"&amp;$A186))-IF(RTD("tos.rtd",,$A$2,"."&amp;D$135&amp;D$1&amp;"P"&amp;$A186)="N/A",0,RTD("tos.rtd",,$A$2,"."&amp;D$135&amp;D$1&amp;"P"&amp;$A186))</f>
        <v>-18</v>
      </c>
      <c r="E186" s="56">
        <f ca="1">IF(RTD("tos.rtd",,$A$2,"."&amp;E$135&amp;E$1&amp;"C"&amp;$A186)="N/A",0,RTD("tos.rtd",,$A$2,"."&amp;E$135&amp;E$1&amp;"C"&amp;$A186))-IF(RTD("tos.rtd",,$A$2,"."&amp;E$135&amp;E$1&amp;"P"&amp;$A186)="N/A",0,RTD("tos.rtd",,$A$2,"."&amp;E$135&amp;E$1&amp;"P"&amp;$A186))</f>
        <v>-3</v>
      </c>
      <c r="F186" s="56">
        <f ca="1">IF(RTD("tos.rtd",,$A$2,"."&amp;F$135&amp;F$1&amp;"C"&amp;$A186)="N/A",0,RTD("tos.rtd",,$A$2,"."&amp;F$135&amp;F$1&amp;"C"&amp;$A186))-IF(RTD("tos.rtd",,$A$2,"."&amp;F$135&amp;F$1&amp;"P"&amp;$A186)="N/A",0,RTD("tos.rtd",,$A$2,"."&amp;F$135&amp;F$1&amp;"P"&amp;$A186))</f>
        <v>0</v>
      </c>
      <c r="G186" s="56">
        <f ca="1">IF(RTD("tos.rtd",,$A$2,"."&amp;G$135&amp;G$1&amp;"C"&amp;$A186)="N/A",0,RTD("tos.rtd",,$A$2,"."&amp;G$135&amp;G$1&amp;"C"&amp;$A186))-IF(RTD("tos.rtd",,$A$2,"."&amp;G$135&amp;G$1&amp;"P"&amp;$A186)="N/A",0,RTD("tos.rtd",,$A$2,"."&amp;G$135&amp;G$1&amp;"P"&amp;$A186))</f>
        <v>0</v>
      </c>
      <c r="H186" s="56">
        <f ca="1">IF(RTD("tos.rtd",,$A$2,"."&amp;H$135&amp;H$1&amp;"C"&amp;$A186)="N/A",0,RTD("tos.rtd",,$A$2,"."&amp;H$135&amp;H$1&amp;"C"&amp;$A186))-IF(RTD("tos.rtd",,$A$2,"."&amp;H$135&amp;H$1&amp;"P"&amp;$A186)="N/A",0,RTD("tos.rtd",,$A$2,"."&amp;H$135&amp;H$1&amp;"P"&amp;$A186))</f>
        <v>0</v>
      </c>
      <c r="I186" s="56">
        <f ca="1">IF(RTD("tos.rtd",,$A$2,"."&amp;I$135&amp;I$1&amp;"C"&amp;$A186)="N/A",0,RTD("tos.rtd",,$A$2,"."&amp;I$135&amp;I$1&amp;"C"&amp;$A186))-IF(RTD("tos.rtd",,$A$2,"."&amp;I$135&amp;I$1&amp;"P"&amp;$A186)="N/A",0,RTD("tos.rtd",,$A$2,"."&amp;I$135&amp;I$1&amp;"P"&amp;$A186))</f>
        <v>0</v>
      </c>
      <c r="J186" s="56">
        <f ca="1">IF(RTD("tos.rtd",,$A$2,"."&amp;J$135&amp;J$1&amp;"C"&amp;$A186)="N/A",0,RTD("tos.rtd",,$A$2,"."&amp;J$135&amp;J$1&amp;"C"&amp;$A186))-IF(RTD("tos.rtd",,$A$2,"."&amp;J$135&amp;J$1&amp;"P"&amp;$A186)="N/A",0,RTD("tos.rtd",,$A$2,"."&amp;J$135&amp;J$1&amp;"P"&amp;$A186))</f>
        <v>0</v>
      </c>
      <c r="K186" s="56">
        <f ca="1">IF(RTD("tos.rtd",,$A$2,"."&amp;K$135&amp;K$1&amp;"C"&amp;$A186)="N/A",0,RTD("tos.rtd",,$A$2,"."&amp;K$135&amp;K$1&amp;"C"&amp;$A186))-IF(RTD("tos.rtd",,$A$2,"."&amp;K$135&amp;K$1&amp;"P"&amp;$A186)="N/A",0,RTD("tos.rtd",,$A$2,"."&amp;K$135&amp;K$1&amp;"P"&amp;$A186))</f>
        <v>-1</v>
      </c>
      <c r="L186" s="56">
        <f ca="1">IF(RTD("tos.rtd",,$A$2,"."&amp;L$135&amp;L$1&amp;"C"&amp;$A186)="N/A",0,RTD("tos.rtd",,$A$2,"."&amp;L$135&amp;L$1&amp;"C"&amp;$A186))-IF(RTD("tos.rtd",,$A$2,"."&amp;L$135&amp;L$1&amp;"P"&amp;$A186)="N/A",0,RTD("tos.rtd",,$A$2,"."&amp;L$135&amp;L$1&amp;"P"&amp;$A186))</f>
        <v>0</v>
      </c>
      <c r="M186" s="56">
        <f ca="1">IF(RTD("tos.rtd",,$A$2,"."&amp;M$135&amp;M$1&amp;"C"&amp;$A186)="N/A",0,RTD("tos.rtd",,$A$2,"."&amp;M$135&amp;M$1&amp;"C"&amp;$A186))-IF(RTD("tos.rtd",,$A$2,"."&amp;M$135&amp;M$1&amp;"P"&amp;$A186)="N/A",0,RTD("tos.rtd",,$A$2,"."&amp;M$135&amp;M$1&amp;"P"&amp;$A186))</f>
        <v>0</v>
      </c>
      <c r="N186" s="56">
        <f ca="1">IF(RTD("tos.rtd",,$A$2,"."&amp;N$135&amp;N$1&amp;"C"&amp;$A186)="N/A",0,RTD("tos.rtd",,$A$2,"."&amp;N$135&amp;N$1&amp;"C"&amp;$A186))-IF(RTD("tos.rtd",,$A$2,"."&amp;N$135&amp;N$1&amp;"P"&amp;$A186)="N/A",0,RTD("tos.rtd",,$A$2,"."&amp;N$135&amp;N$1&amp;"P"&amp;$A186))</f>
        <v>0</v>
      </c>
      <c r="O186" s="56">
        <f ca="1">IF(RTD("tos.rtd",,$A$2,"."&amp;O$135&amp;O$1&amp;"C"&amp;$A186)="N/A",0,RTD("tos.rtd",,$A$2,"."&amp;O$135&amp;O$1&amp;"C"&amp;$A186))-IF(RTD("tos.rtd",,$A$2,"."&amp;O$135&amp;O$1&amp;"P"&amp;$A186)="N/A",0,RTD("tos.rtd",,$A$2,"."&amp;O$135&amp;O$1&amp;"P"&amp;$A186))</f>
        <v>0</v>
      </c>
      <c r="P186" s="56">
        <f ca="1">IF(RTD("tos.rtd",,$A$2,"."&amp;P$135&amp;P$1&amp;"C"&amp;$A186)="N/A",0,RTD("tos.rtd",,$A$2,"."&amp;P$135&amp;P$1&amp;"C"&amp;$A186))-IF(RTD("tos.rtd",,$A$2,"."&amp;P$135&amp;P$1&amp;"P"&amp;$A186)="N/A",0,RTD("tos.rtd",,$A$2,"."&amp;P$135&amp;P$1&amp;"P"&amp;$A186))</f>
        <v>0</v>
      </c>
      <c r="Q186" s="56">
        <f ca="1">IF(RTD("tos.rtd",,$A$2,"."&amp;Q$135&amp;Q$1&amp;"C"&amp;$A186)="N/A",0,RTD("tos.rtd",,$A$2,"."&amp;Q$135&amp;Q$1&amp;"C"&amp;$A186))-IF(RTD("tos.rtd",,$A$2,"."&amp;Q$135&amp;Q$1&amp;"P"&amp;$A186)="N/A",0,RTD("tos.rtd",,$A$2,"."&amp;Q$135&amp;Q$1&amp;"P"&amp;$A186))</f>
        <v>0</v>
      </c>
      <c r="R186" s="56">
        <f ca="1">IF(RTD("tos.rtd",,$A$2,"."&amp;R$135&amp;R$1&amp;"C"&amp;$A186)="N/A",0,RTD("tos.rtd",,$A$2,"."&amp;R$135&amp;R$1&amp;"C"&amp;$A186))-IF(RTD("tos.rtd",,$A$2,"."&amp;R$135&amp;R$1&amp;"P"&amp;$A186)="N/A",0,RTD("tos.rtd",,$A$2,"."&amp;R$135&amp;R$1&amp;"P"&amp;$A186))</f>
        <v>0</v>
      </c>
      <c r="S186" s="56">
        <f ca="1">IF(RTD("tos.rtd",,$A$2,"."&amp;S$135&amp;S$1&amp;"C"&amp;$A186)="N/A",0,RTD("tos.rtd",,$A$2,"."&amp;S$135&amp;S$1&amp;"C"&amp;$A186))-IF(RTD("tos.rtd",,$A$2,"."&amp;S$135&amp;S$1&amp;"P"&amp;$A186)="N/A",0,RTD("tos.rtd",,$A$2,"."&amp;S$135&amp;S$1&amp;"P"&amp;$A186))</f>
        <v>0</v>
      </c>
      <c r="T186" s="56">
        <f ca="1">IF(RTD("tos.rtd",,$A$2,"."&amp;T$135&amp;T$1&amp;"C"&amp;$A186)="N/A",0,RTD("tos.rtd",,$A$2,"."&amp;T$135&amp;T$1&amp;"C"&amp;$A186))-IF(RTD("tos.rtd",,$A$2,"."&amp;T$135&amp;T$1&amp;"P"&amp;$A186)="N/A",0,RTD("tos.rtd",,$A$2,"."&amp;T$135&amp;T$1&amp;"P"&amp;$A186))</f>
        <v>0</v>
      </c>
      <c r="U186" s="56">
        <f ca="1">IF(RTD("tos.rtd",,$A$2,"."&amp;U$135&amp;U$1&amp;"C"&amp;$A186)="N/A",0,RTD("tos.rtd",,$A$2,"."&amp;U$135&amp;U$1&amp;"C"&amp;$A186))-IF(RTD("tos.rtd",,$A$2,"."&amp;U$135&amp;U$1&amp;"P"&amp;$A186)="N/A",0,RTD("tos.rtd",,$A$2,"."&amp;U$135&amp;U$1&amp;"P"&amp;$A186))</f>
        <v>0</v>
      </c>
      <c r="V186" s="56">
        <f ca="1">IF(RTD("tos.rtd",,$A$2,"."&amp;V$135&amp;V$1&amp;"C"&amp;$A186)="N/A",0,RTD("tos.rtd",,$A$2,"."&amp;V$135&amp;V$1&amp;"C"&amp;$A186))-IF(RTD("tos.rtd",,$A$2,"."&amp;V$135&amp;V$1&amp;"P"&amp;$A186)="N/A",0,RTD("tos.rtd",,$A$2,"."&amp;V$135&amp;V$1&amp;"P"&amp;$A186))</f>
        <v>0</v>
      </c>
      <c r="W186" s="56">
        <f ca="1">IF(RTD("tos.rtd",,$A$2,"."&amp;W$135&amp;W$1&amp;"C"&amp;$A186)="N/A",0,RTD("tos.rtd",,$A$2,"."&amp;W$135&amp;W$1&amp;"C"&amp;$A186))-IF(RTD("tos.rtd",,$A$2,"."&amp;W$135&amp;W$1&amp;"P"&amp;$A186)="N/A",0,RTD("tos.rtd",,$A$2,"."&amp;W$135&amp;W$1&amp;"P"&amp;$A186))</f>
        <v>0</v>
      </c>
      <c r="X186" s="56">
        <f ca="1">IF(RTD("tos.rtd",,$A$2,"."&amp;X$135&amp;X$1&amp;"C"&amp;$A186)="N/A",0,RTD("tos.rtd",,$A$2,"."&amp;X$135&amp;X$1&amp;"C"&amp;$A186))-IF(RTD("tos.rtd",,$A$2,"."&amp;X$135&amp;X$1&amp;"P"&amp;$A186)="N/A",0,RTD("tos.rtd",,$A$2,"."&amp;X$135&amp;X$1&amp;"P"&amp;$A186))</f>
        <v>0</v>
      </c>
      <c r="Y186" s="63">
        <f t="shared" ca="1" si="16"/>
        <v>-183</v>
      </c>
      <c r="Z186" s="56"/>
      <c r="AA186" s="56"/>
    </row>
    <row r="187" spans="1:27" x14ac:dyDescent="0.25">
      <c r="A187" s="58">
        <f>+Hoja1!A186</f>
        <v>24375</v>
      </c>
      <c r="B187" s="56">
        <f ca="1">IF(RTD("tos.rtd",,$A$2,"."&amp;B$135&amp;B$1&amp;"C"&amp;$A187)="N/A",0,RTD("tos.rtd",,$A$2,"."&amp;B$135&amp;B$1&amp;"C"&amp;$A187))-IF(RTD("tos.rtd",,$A$2,"."&amp;B$135&amp;B$1&amp;"P"&amp;$A187)="N/A",0,RTD("tos.rtd",,$A$2,"."&amp;B$135&amp;B$1&amp;"P"&amp;$A187))</f>
        <v>0</v>
      </c>
      <c r="C187" s="56">
        <f ca="1">IF(RTD("tos.rtd",,$A$2,"."&amp;C$135&amp;C$1&amp;"C"&amp;$A187)="N/A",0,RTD("tos.rtd",,$A$2,"."&amp;C$135&amp;C$1&amp;"C"&amp;$A187))-IF(RTD("tos.rtd",,$A$2,"."&amp;C$135&amp;C$1&amp;"P"&amp;$A187)="N/A",0,RTD("tos.rtd",,$A$2,"."&amp;C$135&amp;C$1&amp;"P"&amp;$A187))</f>
        <v>0</v>
      </c>
      <c r="D187" s="56">
        <f ca="1">IF(RTD("tos.rtd",,$A$2,"."&amp;D$135&amp;D$1&amp;"C"&amp;$A187)="N/A",0,RTD("tos.rtd",,$A$2,"."&amp;D$135&amp;D$1&amp;"C"&amp;$A187))-IF(RTD("tos.rtd",,$A$2,"."&amp;D$135&amp;D$1&amp;"P"&amp;$A187)="N/A",0,RTD("tos.rtd",,$A$2,"."&amp;D$135&amp;D$1&amp;"P"&amp;$A187))</f>
        <v>0</v>
      </c>
      <c r="E187" s="56">
        <f ca="1">IF(RTD("tos.rtd",,$A$2,"."&amp;E$135&amp;E$1&amp;"C"&amp;$A187)="N/A",0,RTD("tos.rtd",,$A$2,"."&amp;E$135&amp;E$1&amp;"C"&amp;$A187))-IF(RTD("tos.rtd",,$A$2,"."&amp;E$135&amp;E$1&amp;"P"&amp;$A187)="N/A",0,RTD("tos.rtd",,$A$2,"."&amp;E$135&amp;E$1&amp;"P"&amp;$A187))</f>
        <v>0</v>
      </c>
      <c r="F187" s="56">
        <f ca="1">IF(RTD("tos.rtd",,$A$2,"."&amp;F$135&amp;F$1&amp;"C"&amp;$A187)="N/A",0,RTD("tos.rtd",,$A$2,"."&amp;F$135&amp;F$1&amp;"C"&amp;$A187))-IF(RTD("tos.rtd",,$A$2,"."&amp;F$135&amp;F$1&amp;"P"&amp;$A187)="N/A",0,RTD("tos.rtd",,$A$2,"."&amp;F$135&amp;F$1&amp;"P"&amp;$A187))</f>
        <v>0</v>
      </c>
      <c r="G187" s="56">
        <f ca="1">IF(RTD("tos.rtd",,$A$2,"."&amp;G$135&amp;G$1&amp;"C"&amp;$A187)="N/A",0,RTD("tos.rtd",,$A$2,"."&amp;G$135&amp;G$1&amp;"C"&amp;$A187))-IF(RTD("tos.rtd",,$A$2,"."&amp;G$135&amp;G$1&amp;"P"&amp;$A187)="N/A",0,RTD("tos.rtd",,$A$2,"."&amp;G$135&amp;G$1&amp;"P"&amp;$A187))</f>
        <v>0</v>
      </c>
      <c r="H187" s="56">
        <f ca="1">IF(RTD("tos.rtd",,$A$2,"."&amp;H$135&amp;H$1&amp;"C"&amp;$A187)="N/A",0,RTD("tos.rtd",,$A$2,"."&amp;H$135&amp;H$1&amp;"C"&amp;$A187))-IF(RTD("tos.rtd",,$A$2,"."&amp;H$135&amp;H$1&amp;"P"&amp;$A187)="N/A",0,RTD("tos.rtd",,$A$2,"."&amp;H$135&amp;H$1&amp;"P"&amp;$A187))</f>
        <v>0</v>
      </c>
      <c r="I187" s="56">
        <f ca="1">IF(RTD("tos.rtd",,$A$2,"."&amp;I$135&amp;I$1&amp;"C"&amp;$A187)="N/A",0,RTD("tos.rtd",,$A$2,"."&amp;I$135&amp;I$1&amp;"C"&amp;$A187))-IF(RTD("tos.rtd",,$A$2,"."&amp;I$135&amp;I$1&amp;"P"&amp;$A187)="N/A",0,RTD("tos.rtd",,$A$2,"."&amp;I$135&amp;I$1&amp;"P"&amp;$A187))</f>
        <v>0</v>
      </c>
      <c r="J187" s="56">
        <f ca="1">IF(RTD("tos.rtd",,$A$2,"."&amp;J$135&amp;J$1&amp;"C"&amp;$A187)="N/A",0,RTD("tos.rtd",,$A$2,"."&amp;J$135&amp;J$1&amp;"C"&amp;$A187))-IF(RTD("tos.rtd",,$A$2,"."&amp;J$135&amp;J$1&amp;"P"&amp;$A187)="N/A",0,RTD("tos.rtd",,$A$2,"."&amp;J$135&amp;J$1&amp;"P"&amp;$A187))</f>
        <v>0</v>
      </c>
      <c r="K187" s="56">
        <f ca="1">IF(RTD("tos.rtd",,$A$2,"."&amp;K$135&amp;K$1&amp;"C"&amp;$A187)="N/A",0,RTD("tos.rtd",,$A$2,"."&amp;K$135&amp;K$1&amp;"C"&amp;$A187))-IF(RTD("tos.rtd",,$A$2,"."&amp;K$135&amp;K$1&amp;"P"&amp;$A187)="N/A",0,RTD("tos.rtd",,$A$2,"."&amp;K$135&amp;K$1&amp;"P"&amp;$A187))</f>
        <v>1</v>
      </c>
      <c r="L187" s="56">
        <f ca="1">IF(RTD("tos.rtd",,$A$2,"."&amp;L$135&amp;L$1&amp;"C"&amp;$A187)="N/A",0,RTD("tos.rtd",,$A$2,"."&amp;L$135&amp;L$1&amp;"C"&amp;$A187))-IF(RTD("tos.rtd",,$A$2,"."&amp;L$135&amp;L$1&amp;"P"&amp;$A187)="N/A",0,RTD("tos.rtd",,$A$2,"."&amp;L$135&amp;L$1&amp;"P"&amp;$A187))</f>
        <v>0</v>
      </c>
      <c r="M187" s="56">
        <f ca="1">IF(RTD("tos.rtd",,$A$2,"."&amp;M$135&amp;M$1&amp;"C"&amp;$A187)="N/A",0,RTD("tos.rtd",,$A$2,"."&amp;M$135&amp;M$1&amp;"C"&amp;$A187))-IF(RTD("tos.rtd",,$A$2,"."&amp;M$135&amp;M$1&amp;"P"&amp;$A187)="N/A",0,RTD("tos.rtd",,$A$2,"."&amp;M$135&amp;M$1&amp;"P"&amp;$A187))</f>
        <v>0</v>
      </c>
      <c r="N187" s="56">
        <f ca="1">IF(RTD("tos.rtd",,$A$2,"."&amp;N$135&amp;N$1&amp;"C"&amp;$A187)="N/A",0,RTD("tos.rtd",,$A$2,"."&amp;N$135&amp;N$1&amp;"C"&amp;$A187))-IF(RTD("tos.rtd",,$A$2,"."&amp;N$135&amp;N$1&amp;"P"&amp;$A187)="N/A",0,RTD("tos.rtd",,$A$2,"."&amp;N$135&amp;N$1&amp;"P"&amp;$A187))</f>
        <v>0</v>
      </c>
      <c r="O187" s="56">
        <f ca="1">IF(RTD("tos.rtd",,$A$2,"."&amp;O$135&amp;O$1&amp;"C"&amp;$A187)="N/A",0,RTD("tos.rtd",,$A$2,"."&amp;O$135&amp;O$1&amp;"C"&amp;$A187))-IF(RTD("tos.rtd",,$A$2,"."&amp;O$135&amp;O$1&amp;"P"&amp;$A187)="N/A",0,RTD("tos.rtd",,$A$2,"."&amp;O$135&amp;O$1&amp;"P"&amp;$A187))</f>
        <v>0</v>
      </c>
      <c r="P187" s="56">
        <f ca="1">IF(RTD("tos.rtd",,$A$2,"."&amp;P$135&amp;P$1&amp;"C"&amp;$A187)="N/A",0,RTD("tos.rtd",,$A$2,"."&amp;P$135&amp;P$1&amp;"C"&amp;$A187))-IF(RTD("tos.rtd",,$A$2,"."&amp;P$135&amp;P$1&amp;"P"&amp;$A187)="N/A",0,RTD("tos.rtd",,$A$2,"."&amp;P$135&amp;P$1&amp;"P"&amp;$A187))</f>
        <v>0</v>
      </c>
      <c r="Q187" s="56">
        <f ca="1">IF(RTD("tos.rtd",,$A$2,"."&amp;Q$135&amp;Q$1&amp;"C"&amp;$A187)="N/A",0,RTD("tos.rtd",,$A$2,"."&amp;Q$135&amp;Q$1&amp;"C"&amp;$A187))-IF(RTD("tos.rtd",,$A$2,"."&amp;Q$135&amp;Q$1&amp;"P"&amp;$A187)="N/A",0,RTD("tos.rtd",,$A$2,"."&amp;Q$135&amp;Q$1&amp;"P"&amp;$A187))</f>
        <v>0</v>
      </c>
      <c r="R187" s="56">
        <f ca="1">IF(RTD("tos.rtd",,$A$2,"."&amp;R$135&amp;R$1&amp;"C"&amp;$A187)="N/A",0,RTD("tos.rtd",,$A$2,"."&amp;R$135&amp;R$1&amp;"C"&amp;$A187))-IF(RTD("tos.rtd",,$A$2,"."&amp;R$135&amp;R$1&amp;"P"&amp;$A187)="N/A",0,RTD("tos.rtd",,$A$2,"."&amp;R$135&amp;R$1&amp;"P"&amp;$A187))</f>
        <v>0</v>
      </c>
      <c r="S187" s="56">
        <f ca="1">IF(RTD("tos.rtd",,$A$2,"."&amp;S$135&amp;S$1&amp;"C"&amp;$A187)="N/A",0,RTD("tos.rtd",,$A$2,"."&amp;S$135&amp;S$1&amp;"C"&amp;$A187))-IF(RTD("tos.rtd",,$A$2,"."&amp;S$135&amp;S$1&amp;"P"&amp;$A187)="N/A",0,RTD("tos.rtd",,$A$2,"."&amp;S$135&amp;S$1&amp;"P"&amp;$A187))</f>
        <v>0</v>
      </c>
      <c r="T187" s="56">
        <f ca="1">IF(RTD("tos.rtd",,$A$2,"."&amp;T$135&amp;T$1&amp;"C"&amp;$A187)="N/A",0,RTD("tos.rtd",,$A$2,"."&amp;T$135&amp;T$1&amp;"C"&amp;$A187))-IF(RTD("tos.rtd",,$A$2,"."&amp;T$135&amp;T$1&amp;"P"&amp;$A187)="N/A",0,RTD("tos.rtd",,$A$2,"."&amp;T$135&amp;T$1&amp;"P"&amp;$A187))</f>
        <v>0</v>
      </c>
      <c r="U187" s="56">
        <f ca="1">IF(RTD("tos.rtd",,$A$2,"."&amp;U$135&amp;U$1&amp;"C"&amp;$A187)="N/A",0,RTD("tos.rtd",,$A$2,"."&amp;U$135&amp;U$1&amp;"C"&amp;$A187))-IF(RTD("tos.rtd",,$A$2,"."&amp;U$135&amp;U$1&amp;"P"&amp;$A187)="N/A",0,RTD("tos.rtd",,$A$2,"."&amp;U$135&amp;U$1&amp;"P"&amp;$A187))</f>
        <v>0</v>
      </c>
      <c r="V187" s="56">
        <f ca="1">IF(RTD("tos.rtd",,$A$2,"."&amp;V$135&amp;V$1&amp;"C"&amp;$A187)="N/A",0,RTD("tos.rtd",,$A$2,"."&amp;V$135&amp;V$1&amp;"C"&amp;$A187))-IF(RTD("tos.rtd",,$A$2,"."&amp;V$135&amp;V$1&amp;"P"&amp;$A187)="N/A",0,RTD("tos.rtd",,$A$2,"."&amp;V$135&amp;V$1&amp;"P"&amp;$A187))</f>
        <v>0</v>
      </c>
      <c r="W187" s="56">
        <f ca="1">IF(RTD("tos.rtd",,$A$2,"."&amp;W$135&amp;W$1&amp;"C"&amp;$A187)="N/A",0,RTD("tos.rtd",,$A$2,"."&amp;W$135&amp;W$1&amp;"C"&amp;$A187))-IF(RTD("tos.rtd",,$A$2,"."&amp;W$135&amp;W$1&amp;"P"&amp;$A187)="N/A",0,RTD("tos.rtd",,$A$2,"."&amp;W$135&amp;W$1&amp;"P"&amp;$A187))</f>
        <v>0</v>
      </c>
      <c r="X187" s="56">
        <f ca="1">IF(RTD("tos.rtd",,$A$2,"."&amp;X$135&amp;X$1&amp;"C"&amp;$A187)="N/A",0,RTD("tos.rtd",,$A$2,"."&amp;X$135&amp;X$1&amp;"C"&amp;$A187))-IF(RTD("tos.rtd",,$A$2,"."&amp;X$135&amp;X$1&amp;"P"&amp;$A187)="N/A",0,RTD("tos.rtd",,$A$2,"."&amp;X$135&amp;X$1&amp;"P"&amp;$A187))</f>
        <v>0</v>
      </c>
      <c r="Y187" s="63">
        <f t="shared" ca="1" si="16"/>
        <v>1</v>
      </c>
      <c r="Z187" s="56"/>
      <c r="AA187" s="56"/>
    </row>
    <row r="188" spans="1:27" x14ac:dyDescent="0.25">
      <c r="A188" s="58">
        <f>+Hoja1!A187</f>
        <v>24350</v>
      </c>
      <c r="B188" s="56">
        <f ca="1">IF(RTD("tos.rtd",,$A$2,"."&amp;B$135&amp;B$1&amp;"C"&amp;$A188)="N/A",0,RTD("tos.rtd",,$A$2,"."&amp;B$135&amp;B$1&amp;"C"&amp;$A188))-IF(RTD("tos.rtd",,$A$2,"."&amp;B$135&amp;B$1&amp;"P"&amp;$A188)="N/A",0,RTD("tos.rtd",,$A$2,"."&amp;B$135&amp;B$1&amp;"P"&amp;$A188))</f>
        <v>-29</v>
      </c>
      <c r="C188" s="56">
        <f ca="1">IF(RTD("tos.rtd",,$A$2,"."&amp;C$135&amp;C$1&amp;"C"&amp;$A188)="N/A",0,RTD("tos.rtd",,$A$2,"."&amp;C$135&amp;C$1&amp;"C"&amp;$A188))-IF(RTD("tos.rtd",,$A$2,"."&amp;C$135&amp;C$1&amp;"P"&amp;$A188)="N/A",0,RTD("tos.rtd",,$A$2,"."&amp;C$135&amp;C$1&amp;"P"&amp;$A188))</f>
        <v>-2</v>
      </c>
      <c r="D188" s="56">
        <f ca="1">IF(RTD("tos.rtd",,$A$2,"."&amp;D$135&amp;D$1&amp;"C"&amp;$A188)="N/A",0,RTD("tos.rtd",,$A$2,"."&amp;D$135&amp;D$1&amp;"C"&amp;$A188))-IF(RTD("tos.rtd",,$A$2,"."&amp;D$135&amp;D$1&amp;"P"&amp;$A188)="N/A",0,RTD("tos.rtd",,$A$2,"."&amp;D$135&amp;D$1&amp;"P"&amp;$A188))</f>
        <v>0</v>
      </c>
      <c r="E188" s="56">
        <f ca="1">IF(RTD("tos.rtd",,$A$2,"."&amp;E$135&amp;E$1&amp;"C"&amp;$A188)="N/A",0,RTD("tos.rtd",,$A$2,"."&amp;E$135&amp;E$1&amp;"C"&amp;$A188))-IF(RTD("tos.rtd",,$A$2,"."&amp;E$135&amp;E$1&amp;"P"&amp;$A188)="N/A",0,RTD("tos.rtd",,$A$2,"."&amp;E$135&amp;E$1&amp;"P"&amp;$A188))</f>
        <v>-33</v>
      </c>
      <c r="F188" s="56">
        <f ca="1">IF(RTD("tos.rtd",,$A$2,"."&amp;F$135&amp;F$1&amp;"C"&amp;$A188)="N/A",0,RTD("tos.rtd",,$A$2,"."&amp;F$135&amp;F$1&amp;"C"&amp;$A188))-IF(RTD("tos.rtd",,$A$2,"."&amp;F$135&amp;F$1&amp;"P"&amp;$A188)="N/A",0,RTD("tos.rtd",,$A$2,"."&amp;F$135&amp;F$1&amp;"P"&amp;$A188))</f>
        <v>0</v>
      </c>
      <c r="G188" s="56">
        <f ca="1">IF(RTD("tos.rtd",,$A$2,"."&amp;G$135&amp;G$1&amp;"C"&amp;$A188)="N/A",0,RTD("tos.rtd",,$A$2,"."&amp;G$135&amp;G$1&amp;"C"&amp;$A188))-IF(RTD("tos.rtd",,$A$2,"."&amp;G$135&amp;G$1&amp;"P"&amp;$A188)="N/A",0,RTD("tos.rtd",,$A$2,"."&amp;G$135&amp;G$1&amp;"P"&amp;$A188))</f>
        <v>0</v>
      </c>
      <c r="H188" s="56">
        <f ca="1">IF(RTD("tos.rtd",,$A$2,"."&amp;H$135&amp;H$1&amp;"C"&amp;$A188)="N/A",0,RTD("tos.rtd",,$A$2,"."&amp;H$135&amp;H$1&amp;"C"&amp;$A188))-IF(RTD("tos.rtd",,$A$2,"."&amp;H$135&amp;H$1&amp;"P"&amp;$A188)="N/A",0,RTD("tos.rtd",,$A$2,"."&amp;H$135&amp;H$1&amp;"P"&amp;$A188))</f>
        <v>0</v>
      </c>
      <c r="I188" s="56">
        <f ca="1">IF(RTD("tos.rtd",,$A$2,"."&amp;I$135&amp;I$1&amp;"C"&amp;$A188)="N/A",0,RTD("tos.rtd",,$A$2,"."&amp;I$135&amp;I$1&amp;"C"&amp;$A188))-IF(RTD("tos.rtd",,$A$2,"."&amp;I$135&amp;I$1&amp;"P"&amp;$A188)="N/A",0,RTD("tos.rtd",,$A$2,"."&amp;I$135&amp;I$1&amp;"P"&amp;$A188))</f>
        <v>0</v>
      </c>
      <c r="J188" s="56">
        <f ca="1">IF(RTD("tos.rtd",,$A$2,"."&amp;J$135&amp;J$1&amp;"C"&amp;$A188)="N/A",0,RTD("tos.rtd",,$A$2,"."&amp;J$135&amp;J$1&amp;"C"&amp;$A188))-IF(RTD("tos.rtd",,$A$2,"."&amp;J$135&amp;J$1&amp;"P"&amp;$A188)="N/A",0,RTD("tos.rtd",,$A$2,"."&amp;J$135&amp;J$1&amp;"P"&amp;$A188))</f>
        <v>0</v>
      </c>
      <c r="K188" s="56">
        <f ca="1">IF(RTD("tos.rtd",,$A$2,"."&amp;K$135&amp;K$1&amp;"C"&amp;$A188)="N/A",0,RTD("tos.rtd",,$A$2,"."&amp;K$135&amp;K$1&amp;"C"&amp;$A188))-IF(RTD("tos.rtd",,$A$2,"."&amp;K$135&amp;K$1&amp;"P"&amp;$A188)="N/A",0,RTD("tos.rtd",,$A$2,"."&amp;K$135&amp;K$1&amp;"P"&amp;$A188))</f>
        <v>0</v>
      </c>
      <c r="L188" s="56">
        <f ca="1">IF(RTD("tos.rtd",,$A$2,"."&amp;L$135&amp;L$1&amp;"C"&amp;$A188)="N/A",0,RTD("tos.rtd",,$A$2,"."&amp;L$135&amp;L$1&amp;"C"&amp;$A188))-IF(RTD("tos.rtd",,$A$2,"."&amp;L$135&amp;L$1&amp;"P"&amp;$A188)="N/A",0,RTD("tos.rtd",,$A$2,"."&amp;L$135&amp;L$1&amp;"P"&amp;$A188))</f>
        <v>0</v>
      </c>
      <c r="M188" s="56">
        <f ca="1">IF(RTD("tos.rtd",,$A$2,"."&amp;M$135&amp;M$1&amp;"C"&amp;$A188)="N/A",0,RTD("tos.rtd",,$A$2,"."&amp;M$135&amp;M$1&amp;"C"&amp;$A188))-IF(RTD("tos.rtd",,$A$2,"."&amp;M$135&amp;M$1&amp;"P"&amp;$A188)="N/A",0,RTD("tos.rtd",,$A$2,"."&amp;M$135&amp;M$1&amp;"P"&amp;$A188))</f>
        <v>0</v>
      </c>
      <c r="N188" s="56">
        <f ca="1">IF(RTD("tos.rtd",,$A$2,"."&amp;N$135&amp;N$1&amp;"C"&amp;$A188)="N/A",0,RTD("tos.rtd",,$A$2,"."&amp;N$135&amp;N$1&amp;"C"&amp;$A188))-IF(RTD("tos.rtd",,$A$2,"."&amp;N$135&amp;N$1&amp;"P"&amp;$A188)="N/A",0,RTD("tos.rtd",,$A$2,"."&amp;N$135&amp;N$1&amp;"P"&amp;$A188))</f>
        <v>0</v>
      </c>
      <c r="O188" s="56">
        <f ca="1">IF(RTD("tos.rtd",,$A$2,"."&amp;O$135&amp;O$1&amp;"C"&amp;$A188)="N/A",0,RTD("tos.rtd",,$A$2,"."&amp;O$135&amp;O$1&amp;"C"&amp;$A188))-IF(RTD("tos.rtd",,$A$2,"."&amp;O$135&amp;O$1&amp;"P"&amp;$A188)="N/A",0,RTD("tos.rtd",,$A$2,"."&amp;O$135&amp;O$1&amp;"P"&amp;$A188))</f>
        <v>0</v>
      </c>
      <c r="P188" s="56">
        <f ca="1">IF(RTD("tos.rtd",,$A$2,"."&amp;P$135&amp;P$1&amp;"C"&amp;$A188)="N/A",0,RTD("tos.rtd",,$A$2,"."&amp;P$135&amp;P$1&amp;"C"&amp;$A188))-IF(RTD("tos.rtd",,$A$2,"."&amp;P$135&amp;P$1&amp;"P"&amp;$A188)="N/A",0,RTD("tos.rtd",,$A$2,"."&amp;P$135&amp;P$1&amp;"P"&amp;$A188))</f>
        <v>0</v>
      </c>
      <c r="Q188" s="56">
        <f ca="1">IF(RTD("tos.rtd",,$A$2,"."&amp;Q$135&amp;Q$1&amp;"C"&amp;$A188)="N/A",0,RTD("tos.rtd",,$A$2,"."&amp;Q$135&amp;Q$1&amp;"C"&amp;$A188))-IF(RTD("tos.rtd",,$A$2,"."&amp;Q$135&amp;Q$1&amp;"P"&amp;$A188)="N/A",0,RTD("tos.rtd",,$A$2,"."&amp;Q$135&amp;Q$1&amp;"P"&amp;$A188))</f>
        <v>0</v>
      </c>
      <c r="R188" s="56">
        <f ca="1">IF(RTD("tos.rtd",,$A$2,"."&amp;R$135&amp;R$1&amp;"C"&amp;$A188)="N/A",0,RTD("tos.rtd",,$A$2,"."&amp;R$135&amp;R$1&amp;"C"&amp;$A188))-IF(RTD("tos.rtd",,$A$2,"."&amp;R$135&amp;R$1&amp;"P"&amp;$A188)="N/A",0,RTD("tos.rtd",,$A$2,"."&amp;R$135&amp;R$1&amp;"P"&amp;$A188))</f>
        <v>0</v>
      </c>
      <c r="S188" s="56">
        <f ca="1">IF(RTD("tos.rtd",,$A$2,"."&amp;S$135&amp;S$1&amp;"C"&amp;$A188)="N/A",0,RTD("tos.rtd",,$A$2,"."&amp;S$135&amp;S$1&amp;"C"&amp;$A188))-IF(RTD("tos.rtd",,$A$2,"."&amp;S$135&amp;S$1&amp;"P"&amp;$A188)="N/A",0,RTD("tos.rtd",,$A$2,"."&amp;S$135&amp;S$1&amp;"P"&amp;$A188))</f>
        <v>0</v>
      </c>
      <c r="T188" s="56">
        <f ca="1">IF(RTD("tos.rtd",,$A$2,"."&amp;T$135&amp;T$1&amp;"C"&amp;$A188)="N/A",0,RTD("tos.rtd",,$A$2,"."&amp;T$135&amp;T$1&amp;"C"&amp;$A188))-IF(RTD("tos.rtd",,$A$2,"."&amp;T$135&amp;T$1&amp;"P"&amp;$A188)="N/A",0,RTD("tos.rtd",,$A$2,"."&amp;T$135&amp;T$1&amp;"P"&amp;$A188))</f>
        <v>0</v>
      </c>
      <c r="U188" s="56">
        <f ca="1">IF(RTD("tos.rtd",,$A$2,"."&amp;U$135&amp;U$1&amp;"C"&amp;$A188)="N/A",0,RTD("tos.rtd",,$A$2,"."&amp;U$135&amp;U$1&amp;"C"&amp;$A188))-IF(RTD("tos.rtd",,$A$2,"."&amp;U$135&amp;U$1&amp;"P"&amp;$A188)="N/A",0,RTD("tos.rtd",,$A$2,"."&amp;U$135&amp;U$1&amp;"P"&amp;$A188))</f>
        <v>0</v>
      </c>
      <c r="V188" s="56">
        <f ca="1">IF(RTD("tos.rtd",,$A$2,"."&amp;V$135&amp;V$1&amp;"C"&amp;$A188)="N/A",0,RTD("tos.rtd",,$A$2,"."&amp;V$135&amp;V$1&amp;"C"&amp;$A188))-IF(RTD("tos.rtd",,$A$2,"."&amp;V$135&amp;V$1&amp;"P"&amp;$A188)="N/A",0,RTD("tos.rtd",,$A$2,"."&amp;V$135&amp;V$1&amp;"P"&amp;$A188))</f>
        <v>0</v>
      </c>
      <c r="W188" s="56">
        <f ca="1">IF(RTD("tos.rtd",,$A$2,"."&amp;W$135&amp;W$1&amp;"C"&amp;$A188)="N/A",0,RTD("tos.rtd",,$A$2,"."&amp;W$135&amp;W$1&amp;"C"&amp;$A188))-IF(RTD("tos.rtd",,$A$2,"."&amp;W$135&amp;W$1&amp;"P"&amp;$A188)="N/A",0,RTD("tos.rtd",,$A$2,"."&amp;W$135&amp;W$1&amp;"P"&amp;$A188))</f>
        <v>0</v>
      </c>
      <c r="X188" s="56">
        <f ca="1">IF(RTD("tos.rtd",,$A$2,"."&amp;X$135&amp;X$1&amp;"C"&amp;$A188)="N/A",0,RTD("tos.rtd",,$A$2,"."&amp;X$135&amp;X$1&amp;"C"&amp;$A188))-IF(RTD("tos.rtd",,$A$2,"."&amp;X$135&amp;X$1&amp;"P"&amp;$A188)="N/A",0,RTD("tos.rtd",,$A$2,"."&amp;X$135&amp;X$1&amp;"P"&amp;$A188))</f>
        <v>0</v>
      </c>
      <c r="Y188" s="63">
        <f t="shared" ca="1" si="16"/>
        <v>-64</v>
      </c>
      <c r="Z188" s="56"/>
      <c r="AA188" s="56"/>
    </row>
    <row r="189" spans="1:27" x14ac:dyDescent="0.25">
      <c r="A189" s="58">
        <f>+Hoja1!A188</f>
        <v>24325</v>
      </c>
      <c r="B189" s="56">
        <f ca="1">IF(RTD("tos.rtd",,$A$2,"."&amp;B$135&amp;B$1&amp;"C"&amp;$A189)="N/A",0,RTD("tos.rtd",,$A$2,"."&amp;B$135&amp;B$1&amp;"C"&amp;$A189))-IF(RTD("tos.rtd",,$A$2,"."&amp;B$135&amp;B$1&amp;"P"&amp;$A189)="N/A",0,RTD("tos.rtd",,$A$2,"."&amp;B$135&amp;B$1&amp;"P"&amp;$A189))</f>
        <v>0</v>
      </c>
      <c r="C189" s="56">
        <f ca="1">IF(RTD("tos.rtd",,$A$2,"."&amp;C$135&amp;C$1&amp;"C"&amp;$A189)="N/A",0,RTD("tos.rtd",,$A$2,"."&amp;C$135&amp;C$1&amp;"C"&amp;$A189))-IF(RTD("tos.rtd",,$A$2,"."&amp;C$135&amp;C$1&amp;"P"&amp;$A189)="N/A",0,RTD("tos.rtd",,$A$2,"."&amp;C$135&amp;C$1&amp;"P"&amp;$A189))</f>
        <v>0</v>
      </c>
      <c r="D189" s="56">
        <f ca="1">IF(RTD("tos.rtd",,$A$2,"."&amp;D$135&amp;D$1&amp;"C"&amp;$A189)="N/A",0,RTD("tos.rtd",,$A$2,"."&amp;D$135&amp;D$1&amp;"C"&amp;$A189))-IF(RTD("tos.rtd",,$A$2,"."&amp;D$135&amp;D$1&amp;"P"&amp;$A189)="N/A",0,RTD("tos.rtd",,$A$2,"."&amp;D$135&amp;D$1&amp;"P"&amp;$A189))</f>
        <v>0</v>
      </c>
      <c r="E189" s="56">
        <f ca="1">IF(RTD("tos.rtd",,$A$2,"."&amp;E$135&amp;E$1&amp;"C"&amp;$A189)="N/A",0,RTD("tos.rtd",,$A$2,"."&amp;E$135&amp;E$1&amp;"C"&amp;$A189))-IF(RTD("tos.rtd",,$A$2,"."&amp;E$135&amp;E$1&amp;"P"&amp;$A189)="N/A",0,RTD("tos.rtd",,$A$2,"."&amp;E$135&amp;E$1&amp;"P"&amp;$A189))</f>
        <v>0</v>
      </c>
      <c r="F189" s="56">
        <f ca="1">IF(RTD("tos.rtd",,$A$2,"."&amp;F$135&amp;F$1&amp;"C"&amp;$A189)="N/A",0,RTD("tos.rtd",,$A$2,"."&amp;F$135&amp;F$1&amp;"C"&amp;$A189))-IF(RTD("tos.rtd",,$A$2,"."&amp;F$135&amp;F$1&amp;"P"&amp;$A189)="N/A",0,RTD("tos.rtd",,$A$2,"."&amp;F$135&amp;F$1&amp;"P"&amp;$A189))</f>
        <v>0</v>
      </c>
      <c r="G189" s="56">
        <f ca="1">IF(RTD("tos.rtd",,$A$2,"."&amp;G$135&amp;G$1&amp;"C"&amp;$A189)="N/A",0,RTD("tos.rtd",,$A$2,"."&amp;G$135&amp;G$1&amp;"C"&amp;$A189))-IF(RTD("tos.rtd",,$A$2,"."&amp;G$135&amp;G$1&amp;"P"&amp;$A189)="N/A",0,RTD("tos.rtd",,$A$2,"."&amp;G$135&amp;G$1&amp;"P"&amp;$A189))</f>
        <v>0</v>
      </c>
      <c r="H189" s="56">
        <f ca="1">IF(RTD("tos.rtd",,$A$2,"."&amp;H$135&amp;H$1&amp;"C"&amp;$A189)="N/A",0,RTD("tos.rtd",,$A$2,"."&amp;H$135&amp;H$1&amp;"C"&amp;$A189))-IF(RTD("tos.rtd",,$A$2,"."&amp;H$135&amp;H$1&amp;"P"&amp;$A189)="N/A",0,RTD("tos.rtd",,$A$2,"."&amp;H$135&amp;H$1&amp;"P"&amp;$A189))</f>
        <v>0</v>
      </c>
      <c r="I189" s="56">
        <f ca="1">IF(RTD("tos.rtd",,$A$2,"."&amp;I$135&amp;I$1&amp;"C"&amp;$A189)="N/A",0,RTD("tos.rtd",,$A$2,"."&amp;I$135&amp;I$1&amp;"C"&amp;$A189))-IF(RTD("tos.rtd",,$A$2,"."&amp;I$135&amp;I$1&amp;"P"&amp;$A189)="N/A",0,RTD("tos.rtd",,$A$2,"."&amp;I$135&amp;I$1&amp;"P"&amp;$A189))</f>
        <v>0</v>
      </c>
      <c r="J189" s="56">
        <f ca="1">IF(RTD("tos.rtd",,$A$2,"."&amp;J$135&amp;J$1&amp;"C"&amp;$A189)="N/A",0,RTD("tos.rtd",,$A$2,"."&amp;J$135&amp;J$1&amp;"C"&amp;$A189))-IF(RTD("tos.rtd",,$A$2,"."&amp;J$135&amp;J$1&amp;"P"&amp;$A189)="N/A",0,RTD("tos.rtd",,$A$2,"."&amp;J$135&amp;J$1&amp;"P"&amp;$A189))</f>
        <v>0</v>
      </c>
      <c r="K189" s="56">
        <f ca="1">IF(RTD("tos.rtd",,$A$2,"."&amp;K$135&amp;K$1&amp;"C"&amp;$A189)="N/A",0,RTD("tos.rtd",,$A$2,"."&amp;K$135&amp;K$1&amp;"C"&amp;$A189))-IF(RTD("tos.rtd",,$A$2,"."&amp;K$135&amp;K$1&amp;"P"&amp;$A189)="N/A",0,RTD("tos.rtd",,$A$2,"."&amp;K$135&amp;K$1&amp;"P"&amp;$A189))</f>
        <v>0</v>
      </c>
      <c r="L189" s="56">
        <f ca="1">IF(RTD("tos.rtd",,$A$2,"."&amp;L$135&amp;L$1&amp;"C"&amp;$A189)="N/A",0,RTD("tos.rtd",,$A$2,"."&amp;L$135&amp;L$1&amp;"C"&amp;$A189))-IF(RTD("tos.rtd",,$A$2,"."&amp;L$135&amp;L$1&amp;"P"&amp;$A189)="N/A",0,RTD("tos.rtd",,$A$2,"."&amp;L$135&amp;L$1&amp;"P"&amp;$A189))</f>
        <v>0</v>
      </c>
      <c r="M189" s="56">
        <f ca="1">IF(RTD("tos.rtd",,$A$2,"."&amp;M$135&amp;M$1&amp;"C"&amp;$A189)="N/A",0,RTD("tos.rtd",,$A$2,"."&amp;M$135&amp;M$1&amp;"C"&amp;$A189))-IF(RTD("tos.rtd",,$A$2,"."&amp;M$135&amp;M$1&amp;"P"&amp;$A189)="N/A",0,RTD("tos.rtd",,$A$2,"."&amp;M$135&amp;M$1&amp;"P"&amp;$A189))</f>
        <v>0</v>
      </c>
      <c r="N189" s="56">
        <f ca="1">IF(RTD("tos.rtd",,$A$2,"."&amp;N$135&amp;N$1&amp;"C"&amp;$A189)="N/A",0,RTD("tos.rtd",,$A$2,"."&amp;N$135&amp;N$1&amp;"C"&amp;$A189))-IF(RTD("tos.rtd",,$A$2,"."&amp;N$135&amp;N$1&amp;"P"&amp;$A189)="N/A",0,RTD("tos.rtd",,$A$2,"."&amp;N$135&amp;N$1&amp;"P"&amp;$A189))</f>
        <v>0</v>
      </c>
      <c r="O189" s="56">
        <f ca="1">IF(RTD("tos.rtd",,$A$2,"."&amp;O$135&amp;O$1&amp;"C"&amp;$A189)="N/A",0,RTD("tos.rtd",,$A$2,"."&amp;O$135&amp;O$1&amp;"C"&amp;$A189))-IF(RTD("tos.rtd",,$A$2,"."&amp;O$135&amp;O$1&amp;"P"&amp;$A189)="N/A",0,RTD("tos.rtd",,$A$2,"."&amp;O$135&amp;O$1&amp;"P"&amp;$A189))</f>
        <v>0</v>
      </c>
      <c r="P189" s="56">
        <f ca="1">IF(RTD("tos.rtd",,$A$2,"."&amp;P$135&amp;P$1&amp;"C"&amp;$A189)="N/A",0,RTD("tos.rtd",,$A$2,"."&amp;P$135&amp;P$1&amp;"C"&amp;$A189))-IF(RTD("tos.rtd",,$A$2,"."&amp;P$135&amp;P$1&amp;"P"&amp;$A189)="N/A",0,RTD("tos.rtd",,$A$2,"."&amp;P$135&amp;P$1&amp;"P"&amp;$A189))</f>
        <v>0</v>
      </c>
      <c r="Q189" s="56">
        <f ca="1">IF(RTD("tos.rtd",,$A$2,"."&amp;Q$135&amp;Q$1&amp;"C"&amp;$A189)="N/A",0,RTD("tos.rtd",,$A$2,"."&amp;Q$135&amp;Q$1&amp;"C"&amp;$A189))-IF(RTD("tos.rtd",,$A$2,"."&amp;Q$135&amp;Q$1&amp;"P"&amp;$A189)="N/A",0,RTD("tos.rtd",,$A$2,"."&amp;Q$135&amp;Q$1&amp;"P"&amp;$A189))</f>
        <v>0</v>
      </c>
      <c r="R189" s="56">
        <f ca="1">IF(RTD("tos.rtd",,$A$2,"."&amp;R$135&amp;R$1&amp;"C"&amp;$A189)="N/A",0,RTD("tos.rtd",,$A$2,"."&amp;R$135&amp;R$1&amp;"C"&amp;$A189))-IF(RTD("tos.rtd",,$A$2,"."&amp;R$135&amp;R$1&amp;"P"&amp;$A189)="N/A",0,RTD("tos.rtd",,$A$2,"."&amp;R$135&amp;R$1&amp;"P"&amp;$A189))</f>
        <v>0</v>
      </c>
      <c r="S189" s="56">
        <f ca="1">IF(RTD("tos.rtd",,$A$2,"."&amp;S$135&amp;S$1&amp;"C"&amp;$A189)="N/A",0,RTD("tos.rtd",,$A$2,"."&amp;S$135&amp;S$1&amp;"C"&amp;$A189))-IF(RTD("tos.rtd",,$A$2,"."&amp;S$135&amp;S$1&amp;"P"&amp;$A189)="N/A",0,RTD("tos.rtd",,$A$2,"."&amp;S$135&amp;S$1&amp;"P"&amp;$A189))</f>
        <v>0</v>
      </c>
      <c r="T189" s="56">
        <f ca="1">IF(RTD("tos.rtd",,$A$2,"."&amp;T$135&amp;T$1&amp;"C"&amp;$A189)="N/A",0,RTD("tos.rtd",,$A$2,"."&amp;T$135&amp;T$1&amp;"C"&amp;$A189))-IF(RTD("tos.rtd",,$A$2,"."&amp;T$135&amp;T$1&amp;"P"&amp;$A189)="N/A",0,RTD("tos.rtd",,$A$2,"."&amp;T$135&amp;T$1&amp;"P"&amp;$A189))</f>
        <v>0</v>
      </c>
      <c r="U189" s="56">
        <f ca="1">IF(RTD("tos.rtd",,$A$2,"."&amp;U$135&amp;U$1&amp;"C"&amp;$A189)="N/A",0,RTD("tos.rtd",,$A$2,"."&amp;U$135&amp;U$1&amp;"C"&amp;$A189))-IF(RTD("tos.rtd",,$A$2,"."&amp;U$135&amp;U$1&amp;"P"&amp;$A189)="N/A",0,RTD("tos.rtd",,$A$2,"."&amp;U$135&amp;U$1&amp;"P"&amp;$A189))</f>
        <v>0</v>
      </c>
      <c r="V189" s="56">
        <f ca="1">IF(RTD("tos.rtd",,$A$2,"."&amp;V$135&amp;V$1&amp;"C"&amp;$A189)="N/A",0,RTD("tos.rtd",,$A$2,"."&amp;V$135&amp;V$1&amp;"C"&amp;$A189))-IF(RTD("tos.rtd",,$A$2,"."&amp;V$135&amp;V$1&amp;"P"&amp;$A189)="N/A",0,RTD("tos.rtd",,$A$2,"."&amp;V$135&amp;V$1&amp;"P"&amp;$A189))</f>
        <v>0</v>
      </c>
      <c r="W189" s="56">
        <f ca="1">IF(RTD("tos.rtd",,$A$2,"."&amp;W$135&amp;W$1&amp;"C"&amp;$A189)="N/A",0,RTD("tos.rtd",,$A$2,"."&amp;W$135&amp;W$1&amp;"C"&amp;$A189))-IF(RTD("tos.rtd",,$A$2,"."&amp;W$135&amp;W$1&amp;"P"&amp;$A189)="N/A",0,RTD("tos.rtd",,$A$2,"."&amp;W$135&amp;W$1&amp;"P"&amp;$A189))</f>
        <v>0</v>
      </c>
      <c r="X189" s="56">
        <f ca="1">IF(RTD("tos.rtd",,$A$2,"."&amp;X$135&amp;X$1&amp;"C"&amp;$A189)="N/A",0,RTD("tos.rtd",,$A$2,"."&amp;X$135&amp;X$1&amp;"C"&amp;$A189))-IF(RTD("tos.rtd",,$A$2,"."&amp;X$135&amp;X$1&amp;"P"&amp;$A189)="N/A",0,RTD("tos.rtd",,$A$2,"."&amp;X$135&amp;X$1&amp;"P"&amp;$A189))</f>
        <v>0</v>
      </c>
      <c r="Y189" s="63">
        <f t="shared" ca="1" si="16"/>
        <v>0</v>
      </c>
      <c r="Z189" s="56"/>
      <c r="AA189" s="56"/>
    </row>
    <row r="190" spans="1:27" x14ac:dyDescent="0.25">
      <c r="A190" s="58">
        <f>+Hoja1!A189</f>
        <v>24300</v>
      </c>
      <c r="B190" s="56">
        <f ca="1">IF(RTD("tos.rtd",,$A$2,"."&amp;B$135&amp;B$1&amp;"C"&amp;$A190)="N/A",0,RTD("tos.rtd",,$A$2,"."&amp;B$135&amp;B$1&amp;"C"&amp;$A190))-IF(RTD("tos.rtd",,$A$2,"."&amp;B$135&amp;B$1&amp;"P"&amp;$A190)="N/A",0,RTD("tos.rtd",,$A$2,"."&amp;B$135&amp;B$1&amp;"P"&amp;$A190))</f>
        <v>-533</v>
      </c>
      <c r="C190" s="56">
        <f ca="1">IF(RTD("tos.rtd",,$A$2,"."&amp;C$135&amp;C$1&amp;"C"&amp;$A190)="N/A",0,RTD("tos.rtd",,$A$2,"."&amp;C$135&amp;C$1&amp;"C"&amp;$A190))-IF(RTD("tos.rtd",,$A$2,"."&amp;C$135&amp;C$1&amp;"P"&amp;$A190)="N/A",0,RTD("tos.rtd",,$A$2,"."&amp;C$135&amp;C$1&amp;"P"&amp;$A190))</f>
        <v>-6</v>
      </c>
      <c r="D190" s="56">
        <f ca="1">IF(RTD("tos.rtd",,$A$2,"."&amp;D$135&amp;D$1&amp;"C"&amp;$A190)="N/A",0,RTD("tos.rtd",,$A$2,"."&amp;D$135&amp;D$1&amp;"C"&amp;$A190))-IF(RTD("tos.rtd",,$A$2,"."&amp;D$135&amp;D$1&amp;"P"&amp;$A190)="N/A",0,RTD("tos.rtd",,$A$2,"."&amp;D$135&amp;D$1&amp;"P"&amp;$A190))</f>
        <v>-2</v>
      </c>
      <c r="E190" s="56">
        <f ca="1">IF(RTD("tos.rtd",,$A$2,"."&amp;E$135&amp;E$1&amp;"C"&amp;$A190)="N/A",0,RTD("tos.rtd",,$A$2,"."&amp;E$135&amp;E$1&amp;"C"&amp;$A190))-IF(RTD("tos.rtd",,$A$2,"."&amp;E$135&amp;E$1&amp;"P"&amp;$A190)="N/A",0,RTD("tos.rtd",,$A$2,"."&amp;E$135&amp;E$1&amp;"P"&amp;$A190))</f>
        <v>-10</v>
      </c>
      <c r="F190" s="56">
        <f ca="1">IF(RTD("tos.rtd",,$A$2,"."&amp;F$135&amp;F$1&amp;"C"&amp;$A190)="N/A",0,RTD("tos.rtd",,$A$2,"."&amp;F$135&amp;F$1&amp;"C"&amp;$A190))-IF(RTD("tos.rtd",,$A$2,"."&amp;F$135&amp;F$1&amp;"P"&amp;$A190)="N/A",0,RTD("tos.rtd",,$A$2,"."&amp;F$135&amp;F$1&amp;"P"&amp;$A190))</f>
        <v>0</v>
      </c>
      <c r="G190" s="56">
        <f ca="1">IF(RTD("tos.rtd",,$A$2,"."&amp;G$135&amp;G$1&amp;"C"&amp;$A190)="N/A",0,RTD("tos.rtd",,$A$2,"."&amp;G$135&amp;G$1&amp;"C"&amp;$A190))-IF(RTD("tos.rtd",,$A$2,"."&amp;G$135&amp;G$1&amp;"P"&amp;$A190)="N/A",0,RTD("tos.rtd",,$A$2,"."&amp;G$135&amp;G$1&amp;"P"&amp;$A190))</f>
        <v>0</v>
      </c>
      <c r="H190" s="56">
        <f ca="1">IF(RTD("tos.rtd",,$A$2,"."&amp;H$135&amp;H$1&amp;"C"&amp;$A190)="N/A",0,RTD("tos.rtd",,$A$2,"."&amp;H$135&amp;H$1&amp;"C"&amp;$A190))-IF(RTD("tos.rtd",,$A$2,"."&amp;H$135&amp;H$1&amp;"P"&amp;$A190)="N/A",0,RTD("tos.rtd",,$A$2,"."&amp;H$135&amp;H$1&amp;"P"&amp;$A190))</f>
        <v>0</v>
      </c>
      <c r="I190" s="56">
        <f ca="1">IF(RTD("tos.rtd",,$A$2,"."&amp;I$135&amp;I$1&amp;"C"&amp;$A190)="N/A",0,RTD("tos.rtd",,$A$2,"."&amp;I$135&amp;I$1&amp;"C"&amp;$A190))-IF(RTD("tos.rtd",,$A$2,"."&amp;I$135&amp;I$1&amp;"P"&amp;$A190)="N/A",0,RTD("tos.rtd",,$A$2,"."&amp;I$135&amp;I$1&amp;"P"&amp;$A190))</f>
        <v>-1</v>
      </c>
      <c r="J190" s="56">
        <f ca="1">IF(RTD("tos.rtd",,$A$2,"."&amp;J$135&amp;J$1&amp;"C"&amp;$A190)="N/A",0,RTD("tos.rtd",,$A$2,"."&amp;J$135&amp;J$1&amp;"C"&amp;$A190))-IF(RTD("tos.rtd",,$A$2,"."&amp;J$135&amp;J$1&amp;"P"&amp;$A190)="N/A",0,RTD("tos.rtd",,$A$2,"."&amp;J$135&amp;J$1&amp;"P"&amp;$A190))</f>
        <v>0</v>
      </c>
      <c r="K190" s="56">
        <f ca="1">IF(RTD("tos.rtd",,$A$2,"."&amp;K$135&amp;K$1&amp;"C"&amp;$A190)="N/A",0,RTD("tos.rtd",,$A$2,"."&amp;K$135&amp;K$1&amp;"C"&amp;$A190))-IF(RTD("tos.rtd",,$A$2,"."&amp;K$135&amp;K$1&amp;"P"&amp;$A190)="N/A",0,RTD("tos.rtd",,$A$2,"."&amp;K$135&amp;K$1&amp;"P"&amp;$A190))</f>
        <v>0</v>
      </c>
      <c r="L190" s="56">
        <f ca="1">IF(RTD("tos.rtd",,$A$2,"."&amp;L$135&amp;L$1&amp;"C"&amp;$A190)="N/A",0,RTD("tos.rtd",,$A$2,"."&amp;L$135&amp;L$1&amp;"C"&amp;$A190))-IF(RTD("tos.rtd",,$A$2,"."&amp;L$135&amp;L$1&amp;"P"&amp;$A190)="N/A",0,RTD("tos.rtd",,$A$2,"."&amp;L$135&amp;L$1&amp;"P"&amp;$A190))</f>
        <v>0</v>
      </c>
      <c r="M190" s="56">
        <f ca="1">IF(RTD("tos.rtd",,$A$2,"."&amp;M$135&amp;M$1&amp;"C"&amp;$A190)="N/A",0,RTD("tos.rtd",,$A$2,"."&amp;M$135&amp;M$1&amp;"C"&amp;$A190))-IF(RTD("tos.rtd",,$A$2,"."&amp;M$135&amp;M$1&amp;"P"&amp;$A190)="N/A",0,RTD("tos.rtd",,$A$2,"."&amp;M$135&amp;M$1&amp;"P"&amp;$A190))</f>
        <v>0</v>
      </c>
      <c r="N190" s="56">
        <f ca="1">IF(RTD("tos.rtd",,$A$2,"."&amp;N$135&amp;N$1&amp;"C"&amp;$A190)="N/A",0,RTD("tos.rtd",,$A$2,"."&amp;N$135&amp;N$1&amp;"C"&amp;$A190))-IF(RTD("tos.rtd",,$A$2,"."&amp;N$135&amp;N$1&amp;"P"&amp;$A190)="N/A",0,RTD("tos.rtd",,$A$2,"."&amp;N$135&amp;N$1&amp;"P"&amp;$A190))</f>
        <v>0</v>
      </c>
      <c r="O190" s="56">
        <f ca="1">IF(RTD("tos.rtd",,$A$2,"."&amp;O$135&amp;O$1&amp;"C"&amp;$A190)="N/A",0,RTD("tos.rtd",,$A$2,"."&amp;O$135&amp;O$1&amp;"C"&amp;$A190))-IF(RTD("tos.rtd",,$A$2,"."&amp;O$135&amp;O$1&amp;"P"&amp;$A190)="N/A",0,RTD("tos.rtd",,$A$2,"."&amp;O$135&amp;O$1&amp;"P"&amp;$A190))</f>
        <v>0</v>
      </c>
      <c r="P190" s="56">
        <f ca="1">IF(RTD("tos.rtd",,$A$2,"."&amp;P$135&amp;P$1&amp;"C"&amp;$A190)="N/A",0,RTD("tos.rtd",,$A$2,"."&amp;P$135&amp;P$1&amp;"C"&amp;$A190))-IF(RTD("tos.rtd",,$A$2,"."&amp;P$135&amp;P$1&amp;"P"&amp;$A190)="N/A",0,RTD("tos.rtd",,$A$2,"."&amp;P$135&amp;P$1&amp;"P"&amp;$A190))</f>
        <v>0</v>
      </c>
      <c r="Q190" s="56">
        <f ca="1">IF(RTD("tos.rtd",,$A$2,"."&amp;Q$135&amp;Q$1&amp;"C"&amp;$A190)="N/A",0,RTD("tos.rtd",,$A$2,"."&amp;Q$135&amp;Q$1&amp;"C"&amp;$A190))-IF(RTD("tos.rtd",,$A$2,"."&amp;Q$135&amp;Q$1&amp;"P"&amp;$A190)="N/A",0,RTD("tos.rtd",,$A$2,"."&amp;Q$135&amp;Q$1&amp;"P"&amp;$A190))</f>
        <v>0</v>
      </c>
      <c r="R190" s="56">
        <f ca="1">IF(RTD("tos.rtd",,$A$2,"."&amp;R$135&amp;R$1&amp;"C"&amp;$A190)="N/A",0,RTD("tos.rtd",,$A$2,"."&amp;R$135&amp;R$1&amp;"C"&amp;$A190))-IF(RTD("tos.rtd",,$A$2,"."&amp;R$135&amp;R$1&amp;"P"&amp;$A190)="N/A",0,RTD("tos.rtd",,$A$2,"."&amp;R$135&amp;R$1&amp;"P"&amp;$A190))</f>
        <v>0</v>
      </c>
      <c r="S190" s="56">
        <f ca="1">IF(RTD("tos.rtd",,$A$2,"."&amp;S$135&amp;S$1&amp;"C"&amp;$A190)="N/A",0,RTD("tos.rtd",,$A$2,"."&amp;S$135&amp;S$1&amp;"C"&amp;$A190))-IF(RTD("tos.rtd",,$A$2,"."&amp;S$135&amp;S$1&amp;"P"&amp;$A190)="N/A",0,RTD("tos.rtd",,$A$2,"."&amp;S$135&amp;S$1&amp;"P"&amp;$A190))</f>
        <v>0</v>
      </c>
      <c r="T190" s="56">
        <f ca="1">IF(RTD("tos.rtd",,$A$2,"."&amp;T$135&amp;T$1&amp;"C"&amp;$A190)="N/A",0,RTD("tos.rtd",,$A$2,"."&amp;T$135&amp;T$1&amp;"C"&amp;$A190))-IF(RTD("tos.rtd",,$A$2,"."&amp;T$135&amp;T$1&amp;"P"&amp;$A190)="N/A",0,RTD("tos.rtd",,$A$2,"."&amp;T$135&amp;T$1&amp;"P"&amp;$A190))</f>
        <v>0</v>
      </c>
      <c r="U190" s="56">
        <f ca="1">IF(RTD("tos.rtd",,$A$2,"."&amp;U$135&amp;U$1&amp;"C"&amp;$A190)="N/A",0,RTD("tos.rtd",,$A$2,"."&amp;U$135&amp;U$1&amp;"C"&amp;$A190))-IF(RTD("tos.rtd",,$A$2,"."&amp;U$135&amp;U$1&amp;"P"&amp;$A190)="N/A",0,RTD("tos.rtd",,$A$2,"."&amp;U$135&amp;U$1&amp;"P"&amp;$A190))</f>
        <v>0</v>
      </c>
      <c r="V190" s="56">
        <f ca="1">IF(RTD("tos.rtd",,$A$2,"."&amp;V$135&amp;V$1&amp;"C"&amp;$A190)="N/A",0,RTD("tos.rtd",,$A$2,"."&amp;V$135&amp;V$1&amp;"C"&amp;$A190))-IF(RTD("tos.rtd",,$A$2,"."&amp;V$135&amp;V$1&amp;"P"&amp;$A190)="N/A",0,RTD("tos.rtd",,$A$2,"."&amp;V$135&amp;V$1&amp;"P"&amp;$A190))</f>
        <v>0</v>
      </c>
      <c r="W190" s="56">
        <f ca="1">IF(RTD("tos.rtd",,$A$2,"."&amp;W$135&amp;W$1&amp;"C"&amp;$A190)="N/A",0,RTD("tos.rtd",,$A$2,"."&amp;W$135&amp;W$1&amp;"C"&amp;$A190))-IF(RTD("tos.rtd",,$A$2,"."&amp;W$135&amp;W$1&amp;"P"&amp;$A190)="N/A",0,RTD("tos.rtd",,$A$2,"."&amp;W$135&amp;W$1&amp;"P"&amp;$A190))</f>
        <v>0</v>
      </c>
      <c r="X190" s="56">
        <f ca="1">IF(RTD("tos.rtd",,$A$2,"."&amp;X$135&amp;X$1&amp;"C"&amp;$A190)="N/A",0,RTD("tos.rtd",,$A$2,"."&amp;X$135&amp;X$1&amp;"C"&amp;$A190))-IF(RTD("tos.rtd",,$A$2,"."&amp;X$135&amp;X$1&amp;"P"&amp;$A190)="N/A",0,RTD("tos.rtd",,$A$2,"."&amp;X$135&amp;X$1&amp;"P"&amp;$A190))</f>
        <v>0</v>
      </c>
      <c r="Y190" s="63">
        <f t="shared" ca="1" si="16"/>
        <v>-552</v>
      </c>
      <c r="Z190" s="56"/>
      <c r="AA190" s="56"/>
    </row>
  </sheetData>
  <conditionalFormatting sqref="Y5:Y39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{ACE85CF4-896F-49F0-881A-8C4A8DE47A60}</x14:id>
        </ext>
      </extLst>
    </cfRule>
  </conditionalFormatting>
  <conditionalFormatting sqref="Y46:Y8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{B161C68F-6B4A-407B-BA0A-1F28BFDB1E1E}</x14:id>
        </ext>
      </extLst>
    </cfRule>
  </conditionalFormatting>
  <conditionalFormatting sqref="Y86:Y13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{9700F8F5-0916-40F1-86D3-AE0B5AA2D92F}</x14:id>
        </ext>
      </extLst>
    </cfRule>
  </conditionalFormatting>
  <conditionalFormatting sqref="Y138:Y19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{659DE2BF-8AD3-4F5C-9B32-3879E9CB2192}</x14:id>
        </ext>
      </extLst>
    </cfRule>
  </conditionalFormatting>
  <conditionalFormatting sqref="B5:X39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6:X80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6:X13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8:X19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E85CF4-896F-49F0-881A-8C4A8DE47A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Y5:Y39</xm:sqref>
        </x14:conditionalFormatting>
        <x14:conditionalFormatting xmlns:xm="http://schemas.microsoft.com/office/excel/2006/main">
          <x14:cfRule type="dataBar" id="{B161C68F-6B4A-407B-BA0A-1F28BFDB1E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Y46:Y80</xm:sqref>
        </x14:conditionalFormatting>
        <x14:conditionalFormatting xmlns:xm="http://schemas.microsoft.com/office/excel/2006/main">
          <x14:cfRule type="dataBar" id="{9700F8F5-0916-40F1-86D3-AE0B5AA2D9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Y86:Y131</xm:sqref>
        </x14:conditionalFormatting>
        <x14:conditionalFormatting xmlns:xm="http://schemas.microsoft.com/office/excel/2006/main">
          <x14:cfRule type="dataBar" id="{659DE2BF-8AD3-4F5C-9B32-3879E9CB21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Y138:Y190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61"/>
  <sheetViews>
    <sheetView tabSelected="1" zoomScale="120" zoomScaleNormal="120" workbookViewId="0">
      <selection activeCell="G56" sqref="A55:G56"/>
    </sheetView>
  </sheetViews>
  <sheetFormatPr baseColWidth="10" defaultRowHeight="15" x14ac:dyDescent="0.25"/>
  <cols>
    <col min="2" max="5" width="9.42578125" customWidth="1"/>
    <col min="7" max="8" width="15.85546875" customWidth="1"/>
    <col min="10" max="13" width="9.7109375" customWidth="1"/>
    <col min="14" max="14" width="11.85546875" style="92" bestFit="1" customWidth="1"/>
    <col min="15" max="18" width="11.42578125" style="81"/>
    <col min="19" max="19" width="11.85546875" style="81" bestFit="1" customWidth="1"/>
    <col min="20" max="16384" width="11.42578125" style="81"/>
  </cols>
  <sheetData>
    <row r="1" spans="1:34" ht="15.75" thickBot="1" x14ac:dyDescent="0.3">
      <c r="A1" s="15" t="s">
        <v>8</v>
      </c>
      <c r="B1" s="75" t="s">
        <v>21</v>
      </c>
      <c r="C1" s="75" t="s">
        <v>21</v>
      </c>
      <c r="D1" s="75" t="s">
        <v>21</v>
      </c>
      <c r="E1" s="78" t="s">
        <v>21</v>
      </c>
      <c r="F1" s="95">
        <f>+MAX(F4:F60)</f>
        <v>86379.511261824024</v>
      </c>
      <c r="G1">
        <f>+MAX(F1,ABS(F2))</f>
        <v>86379.511261824024</v>
      </c>
      <c r="H1" s="95">
        <f ca="1">+MAX(I1,ABS(I2))</f>
        <v>338283.85103218514</v>
      </c>
      <c r="I1" s="95">
        <f ca="1">+MAX(I4:I60)</f>
        <v>338283.85103218514</v>
      </c>
      <c r="J1" s="75" t="s">
        <v>20</v>
      </c>
      <c r="K1" s="76" t="s">
        <v>20</v>
      </c>
      <c r="L1" s="76" t="s">
        <v>20</v>
      </c>
      <c r="M1" s="77" t="s">
        <v>20</v>
      </c>
      <c r="S1" s="81">
        <f>($C$3/$B$3)</f>
        <v>0.91007793443988338</v>
      </c>
      <c r="U1" s="81">
        <f>$D$3/$B$3</f>
        <v>10.007733952049497</v>
      </c>
      <c r="W1" s="81">
        <f>($E$3/$B$3)</f>
        <v>37.271414123386279</v>
      </c>
      <c r="AD1" s="81" t="s">
        <v>22</v>
      </c>
      <c r="AF1" s="81">
        <f>($D$3/$B$3)</f>
        <v>10.007733952049497</v>
      </c>
      <c r="AH1" s="81">
        <f>($E$3/$B$3)</f>
        <v>37.271414123386279</v>
      </c>
    </row>
    <row r="2" spans="1:34" ht="15.75" thickBot="1" x14ac:dyDescent="0.3">
      <c r="A2" s="22" t="s">
        <v>12</v>
      </c>
      <c r="B2" s="75" t="s">
        <v>12</v>
      </c>
      <c r="C2" s="75" t="s">
        <v>2</v>
      </c>
      <c r="D2" s="75" t="s">
        <v>9</v>
      </c>
      <c r="E2" s="78" t="s">
        <v>13</v>
      </c>
      <c r="F2" s="95">
        <f>+MIN(F4:F60)</f>
        <v>-85934.601225533945</v>
      </c>
      <c r="I2" s="95">
        <f ca="1">+MIN(I4:I60)</f>
        <v>-312041.51190433692</v>
      </c>
      <c r="J2" s="75" t="s">
        <v>12</v>
      </c>
      <c r="K2" s="75" t="s">
        <v>2</v>
      </c>
      <c r="L2" s="75" t="s">
        <v>9</v>
      </c>
      <c r="M2" s="78" t="s">
        <v>13</v>
      </c>
      <c r="N2" s="93">
        <f ca="1">+MIN(N4:N60)</f>
        <v>8289.9323735300513</v>
      </c>
    </row>
    <row r="3" spans="1:34" ht="13.5" thickBot="1" x14ac:dyDescent="0.25">
      <c r="A3" s="24">
        <v>0.5</v>
      </c>
      <c r="B3" s="74">
        <f>+Hoja1!A3</f>
        <v>672.36</v>
      </c>
      <c r="C3" s="74">
        <f>+Hoja1!A42</f>
        <v>611.9</v>
      </c>
      <c r="D3" s="74">
        <f>+Hoja1!A84</f>
        <v>6728.8</v>
      </c>
      <c r="E3" s="74">
        <f>+Hoja1!A136</f>
        <v>25059.808000000001</v>
      </c>
      <c r="F3" s="24" t="s">
        <v>11</v>
      </c>
      <c r="G3" s="24" t="s">
        <v>11</v>
      </c>
      <c r="H3" s="24" t="s">
        <v>14</v>
      </c>
      <c r="I3" s="24" t="s">
        <v>14</v>
      </c>
      <c r="J3" s="79">
        <f>+B3</f>
        <v>672.36</v>
      </c>
      <c r="K3" s="74">
        <f t="shared" ref="K3:M3" si="0">+C3</f>
        <v>611.9</v>
      </c>
      <c r="L3" s="74">
        <f t="shared" si="0"/>
        <v>6728.8</v>
      </c>
      <c r="M3" s="80">
        <f t="shared" si="0"/>
        <v>25059.808000000001</v>
      </c>
      <c r="N3" s="93">
        <f ca="1">MATCH(MAX($O$4:$O$60),$O$4:$O$60,0)+2+1</f>
        <v>17</v>
      </c>
      <c r="T3" s="82">
        <v>5</v>
      </c>
      <c r="V3" s="82">
        <v>25</v>
      </c>
      <c r="AE3" s="81">
        <v>5</v>
      </c>
      <c r="AG3" s="81">
        <f>+V3</f>
        <v>25</v>
      </c>
    </row>
    <row r="4" spans="1:34" s="86" customFormat="1" ht="7.5" customHeight="1" x14ac:dyDescent="0.25">
      <c r="A4" s="67">
        <f t="shared" ref="A4:A30" si="1">+A5+$A$3</f>
        <v>686</v>
      </c>
      <c r="B4" s="71">
        <f>+Q4</f>
        <v>7974</v>
      </c>
      <c r="C4" s="71">
        <f>+S4</f>
        <v>0</v>
      </c>
      <c r="D4" s="71">
        <f>+U4</f>
        <v>0</v>
      </c>
      <c r="E4" s="71">
        <f>+W4</f>
        <v>-37.271414123386279</v>
      </c>
      <c r="F4" s="68">
        <f>SUM(B4:E4)</f>
        <v>7936.7285858766136</v>
      </c>
      <c r="G4" s="83">
        <f>+F4</f>
        <v>7936.7285858766136</v>
      </c>
      <c r="H4" s="83">
        <f ca="1">+AB4+AD4+AF4+AH4</f>
        <v>19339.614040097567</v>
      </c>
      <c r="I4" s="68">
        <f ca="1">+H4</f>
        <v>19339.614040097567</v>
      </c>
      <c r="J4" s="71">
        <f ca="1">+AB4</f>
        <v>18706</v>
      </c>
      <c r="K4" s="71">
        <f>+AD4</f>
        <v>0</v>
      </c>
      <c r="L4" s="71">
        <f>+AF4</f>
        <v>0</v>
      </c>
      <c r="M4" s="89">
        <f ca="1">+AH4</f>
        <v>633.61404009756677</v>
      </c>
      <c r="N4" s="94" t="str">
        <f ca="1">IF(AND(ROW(O4)&gt;$N$3,ROW(O4)&lt;$N$61),ABS(O4),"")</f>
        <v/>
      </c>
      <c r="O4" s="84"/>
      <c r="P4" s="85">
        <f>+$A4</f>
        <v>686</v>
      </c>
      <c r="Q4" s="89">
        <f>IFERROR(INDEX(Hoja1!$E$4:$E$38,MATCH(P4,Hoja1!$A$4:$A$38,0)),0)</f>
        <v>7974</v>
      </c>
      <c r="R4" s="87">
        <f>ROUND($A4*$C$3/$B$3/$A$3,0)*$A$3</f>
        <v>624.5</v>
      </c>
      <c r="S4" s="89">
        <f>IFERROR(INDEX(Hoja1!$E$45:$E$79,MATCH(R4,Hoja1!$A$45:$A$79,0)),0)*($C$3/$B$3)</f>
        <v>0</v>
      </c>
      <c r="T4" s="87">
        <f t="shared" ref="T4:T60" si="2">ROUND($A4*$D$3/$B$3/$T$3,0)*$T$3</f>
        <v>6865</v>
      </c>
      <c r="U4" s="89">
        <f>IFERROR(INDEX(Hoja1!$E$85:$E$130,MATCH(T4,Hoja1!$A$85:$A$130,0)),0)*($D$3/$B$3)</f>
        <v>0</v>
      </c>
      <c r="V4" s="84">
        <f t="shared" ref="V4:V60" si="3">ROUND($A4*$E$3/$B$3/$V$3,0)*$V$3</f>
        <v>25575</v>
      </c>
      <c r="W4" s="89">
        <f>IFERROR(INDEX(Hoja1!$E$137:$E$189,MATCH(V4,Hoja1!$A$137:$A$189,0)),0)*($E$3/$B$3)</f>
        <v>-37.271414123386279</v>
      </c>
      <c r="AA4" s="87">
        <f>+$A4</f>
        <v>686</v>
      </c>
      <c r="AB4" s="89">
        <f ca="1">IFERROR(INDEX(Hoja1!$W$4:$W$38,MATCH(AA4,Hoja1!$A$4:$A$38,0)),0)</f>
        <v>18706</v>
      </c>
      <c r="AC4" s="87">
        <f>ROUND($A4*$C$3/$B$3/$A$3,0)*$A$3</f>
        <v>624.5</v>
      </c>
      <c r="AD4" s="89">
        <f>IFERROR(INDEX(Hoja1!$W$45:$W$79,MATCH(AC4,Hoja1!$A$45:$A$79,0)),0)*($C$3/$B$3)</f>
        <v>0</v>
      </c>
      <c r="AE4" s="87">
        <f t="shared" ref="AE4:AE60" si="4">ROUND($A4*$D$3/$B$3/$T$3,0)*$T$3</f>
        <v>6865</v>
      </c>
      <c r="AF4" s="89">
        <f>IFERROR(INDEX(Hoja1!$W$85:$W$130,MATCH(AE4,Hoja1!$A$85:$A$130,0)),0)*($D$3/$B$3)</f>
        <v>0</v>
      </c>
      <c r="AG4" s="84">
        <f t="shared" ref="AG4:AG60" si="5">ROUND($A4*$E$3/$B$3/$V$3,0)*$V$3</f>
        <v>25575</v>
      </c>
      <c r="AH4" s="89">
        <f ca="1">IFERROR(INDEX(Hoja1!$W$137:$W$189,MATCH(AG4,Hoja1!$A$137:$A$189,0)),0)*($E$3/$B$3)</f>
        <v>633.61404009756677</v>
      </c>
    </row>
    <row r="5" spans="1:34" s="86" customFormat="1" ht="7.5" customHeight="1" x14ac:dyDescent="0.25">
      <c r="A5" s="67">
        <f t="shared" si="1"/>
        <v>685.5</v>
      </c>
      <c r="B5" s="72">
        <f t="shared" ref="B5:B60" si="6">+Q5</f>
        <v>0</v>
      </c>
      <c r="C5" s="72">
        <f t="shared" ref="C5:C60" si="7">+S5</f>
        <v>-927.36941519424113</v>
      </c>
      <c r="D5" s="72">
        <f t="shared" ref="D5:D60" si="8">+U5</f>
        <v>0</v>
      </c>
      <c r="E5" s="72">
        <f t="shared" ref="E5:E60" si="9">+W5</f>
        <v>1006.3281813314295</v>
      </c>
      <c r="F5" s="69">
        <f t="shared" ref="F5:F60" si="10">SUM(B5:E5)</f>
        <v>78.958766137188377</v>
      </c>
      <c r="G5" s="83">
        <f t="shared" ref="G5:G60" si="11">+F5</f>
        <v>78.958766137188377</v>
      </c>
      <c r="H5" s="83">
        <f t="shared" ref="H5:H60" ca="1" si="12">+AB5+AD5+AF5+AH5</f>
        <v>29132.809512761021</v>
      </c>
      <c r="I5" s="69">
        <f t="shared" ref="I5:I60" ca="1" si="13">+H5</f>
        <v>29132.809512761021</v>
      </c>
      <c r="J5" s="72">
        <f t="shared" ref="J5:J60" si="14">+AB5</f>
        <v>0</v>
      </c>
      <c r="K5" s="72">
        <f t="shared" ref="K5:K60" ca="1" si="15">+AD5</f>
        <v>15603.286185971801</v>
      </c>
      <c r="L5" s="72">
        <f t="shared" ref="L5:L60" si="16">+AF5</f>
        <v>0</v>
      </c>
      <c r="M5" s="90">
        <f t="shared" ref="M5:M60" ca="1" si="17">+AH5</f>
        <v>13529.52332678922</v>
      </c>
      <c r="N5" s="94" t="str">
        <f t="shared" ref="N5:N60" ca="1" si="18">IF(AND(ROW(O5)&gt;$N$3,ROW(O5)&lt;$N$61),ABS(O5),"")</f>
        <v/>
      </c>
      <c r="O5" s="84">
        <f ca="1">AVERAGE(H4:H6)</f>
        <v>34778.650645487534</v>
      </c>
      <c r="P5" s="85">
        <f t="shared" ref="P5:P60" si="19">+$A5</f>
        <v>685.5</v>
      </c>
      <c r="Q5" s="90">
        <f>IFERROR(INDEX(Hoja1!$E$4:$E$38,MATCH(P5,Hoja1!$A$4:$A$38,0)),0)</f>
        <v>0</v>
      </c>
      <c r="R5" s="87">
        <f t="shared" ref="R5:R60" si="20">ROUND($A5*$C$3/$B$3/$A$3,0)*$A$3</f>
        <v>624</v>
      </c>
      <c r="S5" s="90">
        <f>IFERROR(INDEX(Hoja1!$E$45:$E$79,MATCH(R5,Hoja1!$A$45:$A$79,0)),0)*($C$3/$B$3)</f>
        <v>-927.36941519424113</v>
      </c>
      <c r="T5" s="87">
        <f t="shared" si="2"/>
        <v>6860</v>
      </c>
      <c r="U5" s="90">
        <f>IFERROR(INDEX(Hoja1!$E$85:$E$130,MATCH(T5,Hoja1!$A$85:$A$130,0)),0)*($D$3/$B$3)</f>
        <v>0</v>
      </c>
      <c r="V5" s="84">
        <f t="shared" si="3"/>
        <v>25550</v>
      </c>
      <c r="W5" s="90">
        <f>IFERROR(INDEX(Hoja1!$E$137:$E$189,MATCH(V5,Hoja1!$A$137:$A$189,0)),0)*($E$3/$B$3)</f>
        <v>1006.3281813314295</v>
      </c>
      <c r="AA5" s="87">
        <f t="shared" ref="AA5:AA60" si="21">+$A5</f>
        <v>685.5</v>
      </c>
      <c r="AB5" s="90">
        <f>IFERROR(INDEX(Hoja1!$W$4:$W$38,MATCH(AA5,Hoja1!$A$4:$A$38,0)),0)</f>
        <v>0</v>
      </c>
      <c r="AC5" s="87">
        <f t="shared" ref="AC5:AC60" si="22">ROUND($A5*$C$3/$B$3/$A$3,0)*$A$3</f>
        <v>624</v>
      </c>
      <c r="AD5" s="90">
        <f ca="1">IFERROR(INDEX(Hoja1!$W$45:$W$79,MATCH(AC5,Hoja1!$A$45:$A$79,0)),0)*($C$3/$B$3)</f>
        <v>15603.286185971801</v>
      </c>
      <c r="AE5" s="87">
        <f t="shared" si="4"/>
        <v>6860</v>
      </c>
      <c r="AF5" s="90">
        <f>IFERROR(INDEX(Hoja1!$W$85:$W$130,MATCH(AE5,Hoja1!$A$85:$A$130,0)),0)*($D$3/$B$3)</f>
        <v>0</v>
      </c>
      <c r="AG5" s="84">
        <f t="shared" si="5"/>
        <v>25550</v>
      </c>
      <c r="AH5" s="90">
        <f ca="1">IFERROR(INDEX(Hoja1!$W$137:$W$189,MATCH(AG5,Hoja1!$A$137:$A$189,0)),0)*($E$3/$B$3)</f>
        <v>13529.52332678922</v>
      </c>
    </row>
    <row r="6" spans="1:34" s="86" customFormat="1" ht="7.5" customHeight="1" x14ac:dyDescent="0.25">
      <c r="A6" s="67">
        <f t="shared" si="1"/>
        <v>685</v>
      </c>
      <c r="B6" s="72">
        <f t="shared" si="6"/>
        <v>21975</v>
      </c>
      <c r="C6" s="72">
        <f t="shared" si="7"/>
        <v>0</v>
      </c>
      <c r="D6" s="72">
        <f t="shared" si="8"/>
        <v>0</v>
      </c>
      <c r="E6" s="72">
        <f t="shared" si="9"/>
        <v>37.271414123386279</v>
      </c>
      <c r="F6" s="69">
        <f t="shared" si="10"/>
        <v>22012.271414123385</v>
      </c>
      <c r="G6" s="83">
        <f t="shared" si="11"/>
        <v>22012.271414123385</v>
      </c>
      <c r="H6" s="83">
        <f t="shared" ca="1" si="12"/>
        <v>55863.528383604018</v>
      </c>
      <c r="I6" s="69">
        <f t="shared" ca="1" si="13"/>
        <v>55863.528383604018</v>
      </c>
      <c r="J6" s="72">
        <f t="shared" ca="1" si="14"/>
        <v>55379</v>
      </c>
      <c r="K6" s="72">
        <f t="shared" si="15"/>
        <v>0</v>
      </c>
      <c r="L6" s="72">
        <f t="shared" si="16"/>
        <v>0</v>
      </c>
      <c r="M6" s="90">
        <f t="shared" ca="1" si="17"/>
        <v>484.52838360402166</v>
      </c>
      <c r="N6" s="94" t="str">
        <f t="shared" ca="1" si="18"/>
        <v/>
      </c>
      <c r="O6" s="84">
        <f ca="1">AVERAGE(H5:H7)</f>
        <v>34642.81513871537</v>
      </c>
      <c r="P6" s="85">
        <f t="shared" si="19"/>
        <v>685</v>
      </c>
      <c r="Q6" s="90">
        <f>IFERROR(INDEX(Hoja1!$E$4:$E$38,MATCH(P6,Hoja1!$A$4:$A$38,0)),0)</f>
        <v>21975</v>
      </c>
      <c r="R6" s="87">
        <f t="shared" si="20"/>
        <v>623.5</v>
      </c>
      <c r="S6" s="90">
        <f>IFERROR(INDEX(Hoja1!$E$45:$E$79,MATCH(R6,Hoja1!$A$45:$A$79,0)),0)*($C$3/$B$3)</f>
        <v>0</v>
      </c>
      <c r="T6" s="87">
        <f t="shared" si="2"/>
        <v>6855</v>
      </c>
      <c r="U6" s="90">
        <f>IFERROR(INDEX(Hoja1!$E$85:$E$130,MATCH(T6,Hoja1!$A$85:$A$130,0)),0)*($D$3/$B$3)</f>
        <v>0</v>
      </c>
      <c r="V6" s="84">
        <f t="shared" si="3"/>
        <v>25525</v>
      </c>
      <c r="W6" s="90">
        <f>IFERROR(INDEX(Hoja1!$E$137:$E$189,MATCH(V6,Hoja1!$A$137:$A$189,0)),0)*($E$3/$B$3)</f>
        <v>37.271414123386279</v>
      </c>
      <c r="AA6" s="87">
        <f t="shared" si="21"/>
        <v>685</v>
      </c>
      <c r="AB6" s="90">
        <f ca="1">IFERROR(INDEX(Hoja1!$W$4:$W$38,MATCH(AA6,Hoja1!$A$4:$A$38,0)),0)</f>
        <v>55379</v>
      </c>
      <c r="AC6" s="87">
        <f t="shared" si="22"/>
        <v>623.5</v>
      </c>
      <c r="AD6" s="90">
        <f>IFERROR(INDEX(Hoja1!$W$45:$W$79,MATCH(AC6,Hoja1!$A$45:$A$79,0)),0)*($C$3/$B$3)</f>
        <v>0</v>
      </c>
      <c r="AE6" s="87">
        <f t="shared" si="4"/>
        <v>6855</v>
      </c>
      <c r="AF6" s="90">
        <f>IFERROR(INDEX(Hoja1!$W$85:$W$130,MATCH(AE6,Hoja1!$A$85:$A$130,0)),0)*($D$3/$B$3)</f>
        <v>0</v>
      </c>
      <c r="AG6" s="84">
        <f t="shared" si="5"/>
        <v>25525</v>
      </c>
      <c r="AH6" s="90">
        <f ca="1">IFERROR(INDEX(Hoja1!$W$137:$W$189,MATCH(AG6,Hoja1!$A$137:$A$189,0)),0)*($E$3/$B$3)</f>
        <v>484.52838360402166</v>
      </c>
    </row>
    <row r="7" spans="1:34" s="86" customFormat="1" ht="7.5" customHeight="1" x14ac:dyDescent="0.25">
      <c r="A7" s="67">
        <f t="shared" si="1"/>
        <v>684.5</v>
      </c>
      <c r="B7" s="72">
        <f t="shared" ref="B7:B17" si="23">+Q7</f>
        <v>0</v>
      </c>
      <c r="C7" s="72">
        <f t="shared" ref="C7:C17" si="24">+S7</f>
        <v>-2119.5715093104882</v>
      </c>
      <c r="D7" s="72">
        <f t="shared" ref="D7:D17" si="25">+U7</f>
        <v>0</v>
      </c>
      <c r="E7" s="72">
        <f t="shared" ref="E7:E17" si="26">+W7</f>
        <v>74.542828246772558</v>
      </c>
      <c r="F7" s="69">
        <f t="shared" ref="F7:F17" si="27">SUM(B7:E7)</f>
        <v>-2045.0286810637156</v>
      </c>
      <c r="G7" s="83">
        <f t="shared" ref="G7:G17" si="28">+F7</f>
        <v>-2045.0286810637156</v>
      </c>
      <c r="H7" s="83">
        <f t="shared" ref="H7:H17" ca="1" si="29">+AB7+AD7+AF7+AH7</f>
        <v>18932.107519781068</v>
      </c>
      <c r="I7" s="69">
        <f t="shared" ref="I7:I17" ca="1" si="30">+H7</f>
        <v>18932.107519781068</v>
      </c>
      <c r="J7" s="72">
        <f t="shared" ref="J7:J17" si="31">+AB7</f>
        <v>0</v>
      </c>
      <c r="K7" s="72">
        <f t="shared" ref="K7:K17" ca="1" si="32">+AD7</f>
        <v>8160.668838122434</v>
      </c>
      <c r="L7" s="72">
        <f t="shared" ref="L7:L17" si="33">+AF7</f>
        <v>0</v>
      </c>
      <c r="M7" s="90">
        <f t="shared" ref="M7:M17" ca="1" si="34">+AH7</f>
        <v>10771.438681658634</v>
      </c>
      <c r="N7" s="94" t="str">
        <f t="shared" ca="1" si="18"/>
        <v/>
      </c>
      <c r="O7" s="84">
        <f ca="1">AVERAGE(H6:H8)</f>
        <v>33869.024861681239</v>
      </c>
      <c r="P7" s="85">
        <f t="shared" si="19"/>
        <v>684.5</v>
      </c>
      <c r="Q7" s="90">
        <f>IFERROR(INDEX(Hoja1!$E$4:$E$38,MATCH(P7,Hoja1!$A$4:$A$38,0)),0)</f>
        <v>0</v>
      </c>
      <c r="R7" s="87">
        <f t="shared" si="20"/>
        <v>623</v>
      </c>
      <c r="S7" s="90">
        <f>IFERROR(INDEX(Hoja1!$E$45:$E$79,MATCH(R7,Hoja1!$A$45:$A$79,0)),0)*($C$3/$B$3)</f>
        <v>-2119.5715093104882</v>
      </c>
      <c r="T7" s="87">
        <f t="shared" si="2"/>
        <v>6850</v>
      </c>
      <c r="U7" s="90">
        <f>IFERROR(INDEX(Hoja1!$E$85:$E$130,MATCH(T7,Hoja1!$A$85:$A$130,0)),0)*($D$3/$B$3)</f>
        <v>0</v>
      </c>
      <c r="V7" s="84">
        <f t="shared" si="3"/>
        <v>25500</v>
      </c>
      <c r="W7" s="90">
        <f>IFERROR(INDEX(Hoja1!$E$137:$E$189,MATCH(V7,Hoja1!$A$137:$A$189,0)),0)*($E$3/$B$3)</f>
        <v>74.542828246772558</v>
      </c>
      <c r="AA7" s="87">
        <f t="shared" si="21"/>
        <v>684.5</v>
      </c>
      <c r="AB7" s="90">
        <f>IFERROR(INDEX(Hoja1!$W$4:$W$38,MATCH(AA7,Hoja1!$A$4:$A$38,0)),0)</f>
        <v>0</v>
      </c>
      <c r="AC7" s="87">
        <f t="shared" si="22"/>
        <v>623</v>
      </c>
      <c r="AD7" s="90">
        <f ca="1">IFERROR(INDEX(Hoja1!$W$45:$W$79,MATCH(AC7,Hoja1!$A$45:$A$79,0)),0)*($C$3/$B$3)</f>
        <v>8160.668838122434</v>
      </c>
      <c r="AE7" s="87">
        <f t="shared" si="4"/>
        <v>6850</v>
      </c>
      <c r="AF7" s="90">
        <f>IFERROR(INDEX(Hoja1!$W$85:$W$130,MATCH(AE7,Hoja1!$A$85:$A$130,0)),0)*($D$3/$B$3)</f>
        <v>0</v>
      </c>
      <c r="AG7" s="84">
        <f t="shared" si="5"/>
        <v>25500</v>
      </c>
      <c r="AH7" s="90">
        <f ca="1">IFERROR(INDEX(Hoja1!$W$137:$W$189,MATCH(AG7,Hoja1!$A$137:$A$189,0)),0)*($E$3/$B$3)</f>
        <v>10771.438681658634</v>
      </c>
    </row>
    <row r="8" spans="1:34" s="86" customFormat="1" ht="7.5" customHeight="1" x14ac:dyDescent="0.25">
      <c r="A8" s="67">
        <f t="shared" si="1"/>
        <v>684</v>
      </c>
      <c r="B8" s="72">
        <f t="shared" si="23"/>
        <v>6351</v>
      </c>
      <c r="C8" s="72">
        <f t="shared" si="24"/>
        <v>0</v>
      </c>
      <c r="D8" s="72">
        <f t="shared" si="25"/>
        <v>0</v>
      </c>
      <c r="E8" s="72">
        <f t="shared" si="26"/>
        <v>74.542828246772558</v>
      </c>
      <c r="F8" s="69">
        <f t="shared" si="27"/>
        <v>6425.5428282467728</v>
      </c>
      <c r="G8" s="83">
        <f t="shared" si="28"/>
        <v>6425.5428282467728</v>
      </c>
      <c r="H8" s="83">
        <f t="shared" ca="1" si="29"/>
        <v>26811.438681658634</v>
      </c>
      <c r="I8" s="69">
        <f t="shared" ca="1" si="30"/>
        <v>26811.438681658634</v>
      </c>
      <c r="J8" s="72">
        <f t="shared" ca="1" si="31"/>
        <v>16040</v>
      </c>
      <c r="K8" s="72">
        <f t="shared" si="32"/>
        <v>0</v>
      </c>
      <c r="L8" s="72">
        <f t="shared" si="33"/>
        <v>0</v>
      </c>
      <c r="M8" s="90">
        <f t="shared" ca="1" si="34"/>
        <v>10771.438681658634</v>
      </c>
      <c r="N8" s="94" t="str">
        <f t="shared" ca="1" si="18"/>
        <v/>
      </c>
      <c r="O8" s="84">
        <f t="shared" ref="O8:O59" ca="1" si="35">AVERAGE(H7:H9)</f>
        <v>23082.767019652169</v>
      </c>
      <c r="P8" s="85">
        <f t="shared" si="19"/>
        <v>684</v>
      </c>
      <c r="Q8" s="90">
        <f>IFERROR(INDEX(Hoja1!$E$4:$E$38,MATCH(P8,Hoja1!$A$4:$A$38,0)),0)</f>
        <v>6351</v>
      </c>
      <c r="R8" s="87">
        <f t="shared" si="20"/>
        <v>622.5</v>
      </c>
      <c r="S8" s="90">
        <f>IFERROR(INDEX(Hoja1!$E$45:$E$79,MATCH(R8,Hoja1!$A$45:$A$79,0)),0)*($C$3/$B$3)</f>
        <v>0</v>
      </c>
      <c r="T8" s="87">
        <f t="shared" si="2"/>
        <v>6845</v>
      </c>
      <c r="U8" s="90">
        <f>IFERROR(INDEX(Hoja1!$E$85:$E$130,MATCH(T8,Hoja1!$A$85:$A$130,0)),0)*($D$3/$B$3)</f>
        <v>0</v>
      </c>
      <c r="V8" s="84">
        <f t="shared" si="3"/>
        <v>25500</v>
      </c>
      <c r="W8" s="90">
        <f>IFERROR(INDEX(Hoja1!$E$137:$E$189,MATCH(V8,Hoja1!$A$137:$A$189,0)),0)*($E$3/$B$3)</f>
        <v>74.542828246772558</v>
      </c>
      <c r="AA8" s="87">
        <f t="shared" si="21"/>
        <v>684</v>
      </c>
      <c r="AB8" s="90">
        <f ca="1">IFERROR(INDEX(Hoja1!$W$4:$W$38,MATCH(AA8,Hoja1!$A$4:$A$38,0)),0)</f>
        <v>16040</v>
      </c>
      <c r="AC8" s="87">
        <f t="shared" si="22"/>
        <v>622.5</v>
      </c>
      <c r="AD8" s="90">
        <f>IFERROR(INDEX(Hoja1!$W$45:$W$79,MATCH(AC8,Hoja1!$A$45:$A$79,0)),0)*($C$3/$B$3)</f>
        <v>0</v>
      </c>
      <c r="AE8" s="87">
        <f t="shared" si="4"/>
        <v>6845</v>
      </c>
      <c r="AF8" s="90">
        <f>IFERROR(INDEX(Hoja1!$W$85:$W$130,MATCH(AE8,Hoja1!$A$85:$A$130,0)),0)*($D$3/$B$3)</f>
        <v>0</v>
      </c>
      <c r="AG8" s="84">
        <f t="shared" si="5"/>
        <v>25500</v>
      </c>
      <c r="AH8" s="90">
        <f ca="1">IFERROR(INDEX(Hoja1!$W$137:$W$189,MATCH(AG8,Hoja1!$A$137:$A$189,0)),0)*($E$3/$B$3)</f>
        <v>10771.438681658634</v>
      </c>
    </row>
    <row r="9" spans="1:34" s="86" customFormat="1" ht="7.5" customHeight="1" x14ac:dyDescent="0.25">
      <c r="A9" s="67">
        <f t="shared" si="1"/>
        <v>683.5</v>
      </c>
      <c r="B9" s="72">
        <f t="shared" si="23"/>
        <v>0</v>
      </c>
      <c r="C9" s="72">
        <f t="shared" si="24"/>
        <v>1238.6160687726813</v>
      </c>
      <c r="D9" s="72">
        <f t="shared" si="25"/>
        <v>7735.9783449342613</v>
      </c>
      <c r="E9" s="72">
        <f t="shared" si="26"/>
        <v>-1639.9422214289962</v>
      </c>
      <c r="F9" s="69">
        <f t="shared" si="27"/>
        <v>7334.6521922779457</v>
      </c>
      <c r="G9" s="83">
        <f t="shared" si="28"/>
        <v>7334.6521922779457</v>
      </c>
      <c r="H9" s="83">
        <f t="shared" ca="1" si="29"/>
        <v>23504.754857516808</v>
      </c>
      <c r="I9" s="69">
        <f t="shared" ca="1" si="30"/>
        <v>23504.754857516808</v>
      </c>
      <c r="J9" s="72">
        <f t="shared" si="31"/>
        <v>0</v>
      </c>
      <c r="K9" s="72">
        <f t="shared" ca="1" si="32"/>
        <v>9686.8695341781186</v>
      </c>
      <c r="L9" s="72">
        <f t="shared" si="33"/>
        <v>14861.484918793503</v>
      </c>
      <c r="M9" s="90">
        <f t="shared" ca="1" si="34"/>
        <v>-1043.5995954548157</v>
      </c>
      <c r="N9" s="94" t="str">
        <f t="shared" ca="1" si="18"/>
        <v/>
      </c>
      <c r="O9" s="84">
        <f t="shared" ca="1" si="35"/>
        <v>43961.076530430124</v>
      </c>
      <c r="P9" s="85">
        <f t="shared" si="19"/>
        <v>683.5</v>
      </c>
      <c r="Q9" s="90">
        <f>IFERROR(INDEX(Hoja1!$E$4:$E$38,MATCH(P9,Hoja1!$A$4:$A$38,0)),0)</f>
        <v>0</v>
      </c>
      <c r="R9" s="87">
        <f t="shared" si="20"/>
        <v>622</v>
      </c>
      <c r="S9" s="90">
        <f>IFERROR(INDEX(Hoja1!$E$45:$E$79,MATCH(R9,Hoja1!$A$45:$A$79,0)),0)*($C$3/$B$3)</f>
        <v>1238.6160687726813</v>
      </c>
      <c r="T9" s="87">
        <f t="shared" si="2"/>
        <v>6840</v>
      </c>
      <c r="U9" s="90">
        <f>IFERROR(INDEX(Hoja1!$E$85:$E$130,MATCH(T9,Hoja1!$A$85:$A$130,0)),0)*($D$3/$B$3)</f>
        <v>7735.9783449342613</v>
      </c>
      <c r="V9" s="84">
        <f t="shared" si="3"/>
        <v>25475</v>
      </c>
      <c r="W9" s="90">
        <f>IFERROR(INDEX(Hoja1!$E$137:$E$189,MATCH(V9,Hoja1!$A$137:$A$189,0)),0)*($E$3/$B$3)</f>
        <v>-1639.9422214289962</v>
      </c>
      <c r="AA9" s="87">
        <f t="shared" si="21"/>
        <v>683.5</v>
      </c>
      <c r="AB9" s="90">
        <f>IFERROR(INDEX(Hoja1!$W$4:$W$38,MATCH(AA9,Hoja1!$A$4:$A$38,0)),0)</f>
        <v>0</v>
      </c>
      <c r="AC9" s="87">
        <f t="shared" si="22"/>
        <v>622</v>
      </c>
      <c r="AD9" s="90">
        <f ca="1">IFERROR(INDEX(Hoja1!$W$45:$W$79,MATCH(AC9,Hoja1!$A$45:$A$79,0)),0)*($C$3/$B$3)</f>
        <v>9686.8695341781186</v>
      </c>
      <c r="AE9" s="87">
        <f t="shared" si="4"/>
        <v>6840</v>
      </c>
      <c r="AF9" s="90">
        <f>IFERROR(INDEX(Hoja1!$W$85:$W$130,MATCH(AE9,Hoja1!$A$85:$A$130,0)),0)*($D$3/$B$3)</f>
        <v>14861.484918793503</v>
      </c>
      <c r="AG9" s="84">
        <f t="shared" si="5"/>
        <v>25475</v>
      </c>
      <c r="AH9" s="90">
        <f ca="1">IFERROR(INDEX(Hoja1!$W$137:$W$189,MATCH(AG9,Hoja1!$A$137:$A$189,0)),0)*($E$3/$B$3)</f>
        <v>-1043.5995954548157</v>
      </c>
    </row>
    <row r="10" spans="1:34" s="86" customFormat="1" ht="7.5" customHeight="1" x14ac:dyDescent="0.25">
      <c r="A10" s="67">
        <f t="shared" si="1"/>
        <v>683</v>
      </c>
      <c r="B10" s="72">
        <f t="shared" si="23"/>
        <v>2542</v>
      </c>
      <c r="C10" s="72">
        <f t="shared" si="24"/>
        <v>0</v>
      </c>
      <c r="D10" s="72">
        <f t="shared" si="25"/>
        <v>5173.9984532095896</v>
      </c>
      <c r="E10" s="72">
        <f t="shared" si="26"/>
        <v>-1602.67080730561</v>
      </c>
      <c r="F10" s="69">
        <f t="shared" si="27"/>
        <v>6113.3276459039798</v>
      </c>
      <c r="G10" s="83">
        <f t="shared" si="28"/>
        <v>6113.3276459039798</v>
      </c>
      <c r="H10" s="83">
        <f t="shared" ca="1" si="29"/>
        <v>81567.036052114941</v>
      </c>
      <c r="I10" s="69">
        <f t="shared" ca="1" si="30"/>
        <v>81567.036052114941</v>
      </c>
      <c r="J10" s="72">
        <f t="shared" ca="1" si="31"/>
        <v>27617</v>
      </c>
      <c r="K10" s="72">
        <f t="shared" si="32"/>
        <v>0</v>
      </c>
      <c r="L10" s="72">
        <f t="shared" ca="1" si="33"/>
        <v>51900.10827532869</v>
      </c>
      <c r="M10" s="90">
        <f t="shared" ca="1" si="34"/>
        <v>2049.9277767862454</v>
      </c>
      <c r="N10" s="94" t="str">
        <f t="shared" ca="1" si="18"/>
        <v/>
      </c>
      <c r="O10" s="84">
        <f t="shared" ca="1" si="35"/>
        <v>84394.330852519488</v>
      </c>
      <c r="P10" s="85">
        <f t="shared" si="19"/>
        <v>683</v>
      </c>
      <c r="Q10" s="90">
        <f>IFERROR(INDEX(Hoja1!$E$4:$E$38,MATCH(P10,Hoja1!$A$4:$A$38,0)),0)</f>
        <v>2542</v>
      </c>
      <c r="R10" s="87">
        <f t="shared" si="20"/>
        <v>621.5</v>
      </c>
      <c r="S10" s="90">
        <f>IFERROR(INDEX(Hoja1!$E$45:$E$79,MATCH(R10,Hoja1!$A$45:$A$79,0)),0)*($C$3/$B$3)</f>
        <v>0</v>
      </c>
      <c r="T10" s="87">
        <f t="shared" si="2"/>
        <v>6835</v>
      </c>
      <c r="U10" s="90">
        <f>IFERROR(INDEX(Hoja1!$E$85:$E$130,MATCH(T10,Hoja1!$A$85:$A$130,0)),0)*($D$3/$B$3)</f>
        <v>5173.9984532095896</v>
      </c>
      <c r="V10" s="84">
        <f t="shared" si="3"/>
        <v>25450</v>
      </c>
      <c r="W10" s="90">
        <f>IFERROR(INDEX(Hoja1!$E$137:$E$189,MATCH(V10,Hoja1!$A$137:$A$189,0)),0)*($E$3/$B$3)</f>
        <v>-1602.67080730561</v>
      </c>
      <c r="AA10" s="87">
        <f t="shared" si="21"/>
        <v>683</v>
      </c>
      <c r="AB10" s="90">
        <f ca="1">IFERROR(INDEX(Hoja1!$W$4:$W$38,MATCH(AA10,Hoja1!$A$4:$A$38,0)),0)</f>
        <v>27617</v>
      </c>
      <c r="AC10" s="87">
        <f t="shared" si="22"/>
        <v>621.5</v>
      </c>
      <c r="AD10" s="90">
        <f>IFERROR(INDEX(Hoja1!$W$45:$W$79,MATCH(AC10,Hoja1!$A$45:$A$79,0)),0)*($C$3/$B$3)</f>
        <v>0</v>
      </c>
      <c r="AE10" s="87">
        <f t="shared" si="4"/>
        <v>6835</v>
      </c>
      <c r="AF10" s="90">
        <f ca="1">IFERROR(INDEX(Hoja1!$W$85:$W$130,MATCH(AE10,Hoja1!$A$85:$A$130,0)),0)*($D$3/$B$3)</f>
        <v>51900.10827532869</v>
      </c>
      <c r="AG10" s="84">
        <f t="shared" si="5"/>
        <v>25450</v>
      </c>
      <c r="AH10" s="90">
        <f ca="1">IFERROR(INDEX(Hoja1!$W$137:$W$189,MATCH(AG10,Hoja1!$A$137:$A$189,0)),0)*($E$3/$B$3)</f>
        <v>2049.9277767862454</v>
      </c>
    </row>
    <row r="11" spans="1:34" s="86" customFormat="1" ht="7.5" customHeight="1" x14ac:dyDescent="0.25">
      <c r="A11" s="67">
        <f t="shared" si="1"/>
        <v>682.5</v>
      </c>
      <c r="B11" s="72">
        <f t="shared" si="23"/>
        <v>0</v>
      </c>
      <c r="C11" s="72">
        <f t="shared" si="24"/>
        <v>1204.0331072639658</v>
      </c>
      <c r="D11" s="72">
        <f t="shared" si="25"/>
        <v>46936.272235112141</v>
      </c>
      <c r="E11" s="72">
        <f t="shared" si="26"/>
        <v>-1602.67080730561</v>
      </c>
      <c r="F11" s="69">
        <f t="shared" si="27"/>
        <v>46537.634535070501</v>
      </c>
      <c r="G11" s="83">
        <f t="shared" si="28"/>
        <v>46537.634535070501</v>
      </c>
      <c r="H11" s="83">
        <f t="shared" ca="1" si="29"/>
        <v>148111.2016479267</v>
      </c>
      <c r="I11" s="69">
        <f t="shared" ca="1" si="30"/>
        <v>148111.2016479267</v>
      </c>
      <c r="J11" s="72">
        <f t="shared" si="31"/>
        <v>0</v>
      </c>
      <c r="K11" s="72">
        <f t="shared" ca="1" si="32"/>
        <v>12357.948271759176</v>
      </c>
      <c r="L11" s="72">
        <f t="shared" ca="1" si="33"/>
        <v>133703.32559938129</v>
      </c>
      <c r="M11" s="90">
        <f t="shared" ca="1" si="34"/>
        <v>2049.9277767862454</v>
      </c>
      <c r="N11" s="94" t="str">
        <f t="shared" ca="1" si="18"/>
        <v/>
      </c>
      <c r="O11" s="84">
        <f t="shared" ca="1" si="35"/>
        <v>118076.84160667897</v>
      </c>
      <c r="P11" s="85">
        <f t="shared" si="19"/>
        <v>682.5</v>
      </c>
      <c r="Q11" s="90">
        <f>IFERROR(INDEX(Hoja1!$E$4:$E$38,MATCH(P11,Hoja1!$A$4:$A$38,0)),0)</f>
        <v>0</v>
      </c>
      <c r="R11" s="87">
        <f t="shared" si="20"/>
        <v>621</v>
      </c>
      <c r="S11" s="90">
        <f>IFERROR(INDEX(Hoja1!$E$45:$E$79,MATCH(R11,Hoja1!$A$45:$A$79,0)),0)*($C$3/$B$3)</f>
        <v>1204.0331072639658</v>
      </c>
      <c r="T11" s="87">
        <f t="shared" si="2"/>
        <v>6830</v>
      </c>
      <c r="U11" s="90">
        <f>IFERROR(INDEX(Hoja1!$E$85:$E$130,MATCH(T11,Hoja1!$A$85:$A$130,0)),0)*($D$3/$B$3)</f>
        <v>46936.272235112141</v>
      </c>
      <c r="V11" s="84">
        <f t="shared" si="3"/>
        <v>25450</v>
      </c>
      <c r="W11" s="90">
        <f>IFERROR(INDEX(Hoja1!$E$137:$E$189,MATCH(V11,Hoja1!$A$137:$A$189,0)),0)*($E$3/$B$3)</f>
        <v>-1602.67080730561</v>
      </c>
      <c r="AA11" s="87">
        <f t="shared" si="21"/>
        <v>682.5</v>
      </c>
      <c r="AB11" s="90">
        <f>IFERROR(INDEX(Hoja1!$W$4:$W$38,MATCH(AA11,Hoja1!$A$4:$A$38,0)),0)</f>
        <v>0</v>
      </c>
      <c r="AC11" s="87">
        <f t="shared" si="22"/>
        <v>621</v>
      </c>
      <c r="AD11" s="90">
        <f ca="1">IFERROR(INDEX(Hoja1!$W$45:$W$79,MATCH(AC11,Hoja1!$A$45:$A$79,0)),0)*($C$3/$B$3)</f>
        <v>12357.948271759176</v>
      </c>
      <c r="AE11" s="87">
        <f t="shared" si="4"/>
        <v>6830</v>
      </c>
      <c r="AF11" s="90">
        <f ca="1">IFERROR(INDEX(Hoja1!$W$85:$W$130,MATCH(AE11,Hoja1!$A$85:$A$130,0)),0)*($D$3/$B$3)</f>
        <v>133703.32559938129</v>
      </c>
      <c r="AG11" s="84">
        <f t="shared" si="5"/>
        <v>25450</v>
      </c>
      <c r="AH11" s="90">
        <f ca="1">IFERROR(INDEX(Hoja1!$W$137:$W$189,MATCH(AG11,Hoja1!$A$137:$A$189,0)),0)*($E$3/$B$3)</f>
        <v>2049.9277767862454</v>
      </c>
    </row>
    <row r="12" spans="1:34" s="86" customFormat="1" ht="7.5" customHeight="1" x14ac:dyDescent="0.25">
      <c r="A12" s="67">
        <f t="shared" si="1"/>
        <v>682</v>
      </c>
      <c r="B12" s="72">
        <f t="shared" si="23"/>
        <v>7775</v>
      </c>
      <c r="C12" s="72">
        <f t="shared" si="24"/>
        <v>0</v>
      </c>
      <c r="D12" s="72">
        <f t="shared" si="25"/>
        <v>26420.417633410671</v>
      </c>
      <c r="E12" s="72">
        <f t="shared" si="26"/>
        <v>-819.97111071449808</v>
      </c>
      <c r="F12" s="69">
        <f t="shared" si="27"/>
        <v>33375.446522696177</v>
      </c>
      <c r="G12" s="83">
        <f t="shared" si="28"/>
        <v>33375.446522696177</v>
      </c>
      <c r="H12" s="83">
        <f t="shared" ca="1" si="29"/>
        <v>124552.28711999525</v>
      </c>
      <c r="I12" s="69">
        <f t="shared" ca="1" si="30"/>
        <v>124552.28711999525</v>
      </c>
      <c r="J12" s="72">
        <f t="shared" ca="1" si="31"/>
        <v>38815</v>
      </c>
      <c r="K12" s="72">
        <f t="shared" si="32"/>
        <v>0</v>
      </c>
      <c r="L12" s="72">
        <f t="shared" ca="1" si="33"/>
        <v>85886.372776488788</v>
      </c>
      <c r="M12" s="90">
        <f t="shared" ca="1" si="34"/>
        <v>-149.08565649354512</v>
      </c>
      <c r="N12" s="94" t="str">
        <f t="shared" ca="1" si="18"/>
        <v/>
      </c>
      <c r="O12" s="84">
        <f t="shared" ca="1" si="35"/>
        <v>163915.71228706843</v>
      </c>
      <c r="P12" s="85">
        <f t="shared" si="19"/>
        <v>682</v>
      </c>
      <c r="Q12" s="90">
        <f>IFERROR(INDEX(Hoja1!$E$4:$E$38,MATCH(P12,Hoja1!$A$4:$A$38,0)),0)</f>
        <v>7775</v>
      </c>
      <c r="R12" s="87">
        <f t="shared" si="20"/>
        <v>620.5</v>
      </c>
      <c r="S12" s="90">
        <f>IFERROR(INDEX(Hoja1!$E$45:$E$79,MATCH(R12,Hoja1!$A$45:$A$79,0)),0)*($C$3/$B$3)</f>
        <v>0</v>
      </c>
      <c r="T12" s="87">
        <f t="shared" si="2"/>
        <v>6825</v>
      </c>
      <c r="U12" s="90">
        <f>IFERROR(INDEX(Hoja1!$E$85:$E$130,MATCH(T12,Hoja1!$A$85:$A$130,0)),0)*($D$3/$B$3)</f>
        <v>26420.417633410671</v>
      </c>
      <c r="V12" s="84">
        <f t="shared" si="3"/>
        <v>25425</v>
      </c>
      <c r="W12" s="90">
        <f>IFERROR(INDEX(Hoja1!$E$137:$E$189,MATCH(V12,Hoja1!$A$137:$A$189,0)),0)*($E$3/$B$3)</f>
        <v>-819.97111071449808</v>
      </c>
      <c r="AA12" s="87">
        <f t="shared" si="21"/>
        <v>682</v>
      </c>
      <c r="AB12" s="90">
        <f ca="1">IFERROR(INDEX(Hoja1!$W$4:$W$38,MATCH(AA12,Hoja1!$A$4:$A$38,0)),0)</f>
        <v>38815</v>
      </c>
      <c r="AC12" s="87">
        <f t="shared" si="22"/>
        <v>620.5</v>
      </c>
      <c r="AD12" s="90">
        <f>IFERROR(INDEX(Hoja1!$W$45:$W$79,MATCH(AC12,Hoja1!$A$45:$A$79,0)),0)*($C$3/$B$3)</f>
        <v>0</v>
      </c>
      <c r="AE12" s="87">
        <f t="shared" si="4"/>
        <v>6825</v>
      </c>
      <c r="AF12" s="90">
        <f ca="1">IFERROR(INDEX(Hoja1!$W$85:$W$130,MATCH(AE12,Hoja1!$A$85:$A$130,0)),0)*($D$3/$B$3)</f>
        <v>85886.372776488788</v>
      </c>
      <c r="AG12" s="84">
        <f t="shared" si="5"/>
        <v>25425</v>
      </c>
      <c r="AH12" s="90">
        <f ca="1">IFERROR(INDEX(Hoja1!$W$137:$W$189,MATCH(AG12,Hoja1!$A$137:$A$189,0)),0)*($E$3/$B$3)</f>
        <v>-149.08565649354512</v>
      </c>
    </row>
    <row r="13" spans="1:34" s="86" customFormat="1" ht="7.5" customHeight="1" x14ac:dyDescent="0.25">
      <c r="A13" s="67">
        <f t="shared" si="1"/>
        <v>681.5</v>
      </c>
      <c r="B13" s="72">
        <f t="shared" si="23"/>
        <v>0</v>
      </c>
      <c r="C13" s="72">
        <f t="shared" si="24"/>
        <v>6594.4247129513951</v>
      </c>
      <c r="D13" s="72">
        <f t="shared" si="25"/>
        <v>-1250.9667440061871</v>
      </c>
      <c r="E13" s="72">
        <f t="shared" si="26"/>
        <v>-1155.4138378249747</v>
      </c>
      <c r="F13" s="69">
        <f t="shared" si="27"/>
        <v>4188.044131120233</v>
      </c>
      <c r="G13" s="83">
        <f t="shared" si="28"/>
        <v>4188.044131120233</v>
      </c>
      <c r="H13" s="83">
        <f t="shared" ca="1" si="29"/>
        <v>219083.64809328335</v>
      </c>
      <c r="I13" s="69">
        <f t="shared" ca="1" si="30"/>
        <v>219083.64809328335</v>
      </c>
      <c r="J13" s="72">
        <f t="shared" si="31"/>
        <v>0</v>
      </c>
      <c r="K13" s="72">
        <f t="shared" ca="1" si="32"/>
        <v>52129.264084716517</v>
      </c>
      <c r="L13" s="72">
        <f t="shared" ca="1" si="33"/>
        <v>161214.58623356535</v>
      </c>
      <c r="M13" s="90">
        <f t="shared" ca="1" si="34"/>
        <v>5739.797775001487</v>
      </c>
      <c r="N13" s="94" t="str">
        <f t="shared" ca="1" si="18"/>
        <v/>
      </c>
      <c r="O13" s="84">
        <f t="shared" ca="1" si="35"/>
        <v>185956.58495250563</v>
      </c>
      <c r="P13" s="85">
        <f t="shared" si="19"/>
        <v>681.5</v>
      </c>
      <c r="Q13" s="90">
        <f>IFERROR(INDEX(Hoja1!$E$4:$E$38,MATCH(P13,Hoja1!$A$4:$A$38,0)),0)</f>
        <v>0</v>
      </c>
      <c r="R13" s="87">
        <f t="shared" si="20"/>
        <v>620</v>
      </c>
      <c r="S13" s="90">
        <f>IFERROR(INDEX(Hoja1!$E$45:$E$79,MATCH(R13,Hoja1!$A$45:$A$79,0)),0)*($C$3/$B$3)</f>
        <v>6594.4247129513951</v>
      </c>
      <c r="T13" s="87">
        <f t="shared" si="2"/>
        <v>6820</v>
      </c>
      <c r="U13" s="90">
        <f>IFERROR(INDEX(Hoja1!$E$85:$E$130,MATCH(T13,Hoja1!$A$85:$A$130,0)),0)*($D$3/$B$3)</f>
        <v>-1250.9667440061871</v>
      </c>
      <c r="V13" s="84">
        <f t="shared" si="3"/>
        <v>25400</v>
      </c>
      <c r="W13" s="90">
        <f>IFERROR(INDEX(Hoja1!$E$137:$E$189,MATCH(V13,Hoja1!$A$137:$A$189,0)),0)*($E$3/$B$3)</f>
        <v>-1155.4138378249747</v>
      </c>
      <c r="AA13" s="87">
        <f t="shared" si="21"/>
        <v>681.5</v>
      </c>
      <c r="AB13" s="90">
        <f>IFERROR(INDEX(Hoja1!$W$4:$W$38,MATCH(AA13,Hoja1!$A$4:$A$38,0)),0)</f>
        <v>0</v>
      </c>
      <c r="AC13" s="87">
        <f t="shared" si="22"/>
        <v>620</v>
      </c>
      <c r="AD13" s="90">
        <f ca="1">IFERROR(INDEX(Hoja1!$W$45:$W$79,MATCH(AC13,Hoja1!$A$45:$A$79,0)),0)*($C$3/$B$3)</f>
        <v>52129.264084716517</v>
      </c>
      <c r="AE13" s="87">
        <f t="shared" si="4"/>
        <v>6820</v>
      </c>
      <c r="AF13" s="90">
        <f ca="1">IFERROR(INDEX(Hoja1!$W$85:$W$130,MATCH(AE13,Hoja1!$A$85:$A$130,0)),0)*($D$3/$B$3)</f>
        <v>161214.58623356535</v>
      </c>
      <c r="AG13" s="84">
        <f t="shared" si="5"/>
        <v>25400</v>
      </c>
      <c r="AH13" s="90">
        <f ca="1">IFERROR(INDEX(Hoja1!$W$137:$W$189,MATCH(AG13,Hoja1!$A$137:$A$189,0)),0)*($E$3/$B$3)</f>
        <v>5739.797775001487</v>
      </c>
    </row>
    <row r="14" spans="1:34" s="86" customFormat="1" ht="7.5" customHeight="1" x14ac:dyDescent="0.25">
      <c r="A14" s="67">
        <f t="shared" si="1"/>
        <v>681</v>
      </c>
      <c r="B14" s="72">
        <f t="shared" si="23"/>
        <v>5226</v>
      </c>
      <c r="C14" s="72">
        <f t="shared" si="24"/>
        <v>6594.4247129513951</v>
      </c>
      <c r="D14" s="72">
        <f t="shared" si="25"/>
        <v>-1000.7733952049497</v>
      </c>
      <c r="E14" s="72">
        <f t="shared" si="26"/>
        <v>-186.3570706169314</v>
      </c>
      <c r="F14" s="69">
        <f t="shared" si="27"/>
        <v>10633.294247129514</v>
      </c>
      <c r="G14" s="83">
        <f t="shared" si="28"/>
        <v>10633.294247129514</v>
      </c>
      <c r="H14" s="83">
        <f t="shared" ca="1" si="29"/>
        <v>214233.81964423819</v>
      </c>
      <c r="I14" s="69">
        <f t="shared" ca="1" si="30"/>
        <v>214233.81964423819</v>
      </c>
      <c r="J14" s="72">
        <f t="shared" ca="1" si="31"/>
        <v>41756</v>
      </c>
      <c r="K14" s="72">
        <f t="shared" ca="1" si="32"/>
        <v>52129.264084716517</v>
      </c>
      <c r="L14" s="72">
        <f t="shared" ca="1" si="33"/>
        <v>119342.22737819025</v>
      </c>
      <c r="M14" s="90">
        <f t="shared" ca="1" si="34"/>
        <v>1006.3281813314295</v>
      </c>
      <c r="N14" s="94" t="str">
        <f t="shared" ca="1" si="18"/>
        <v/>
      </c>
      <c r="O14" s="84">
        <f t="shared" ca="1" si="35"/>
        <v>168519.61539651375</v>
      </c>
      <c r="P14" s="85">
        <f t="shared" si="19"/>
        <v>681</v>
      </c>
      <c r="Q14" s="90">
        <f>IFERROR(INDEX(Hoja1!$E$4:$E$38,MATCH(P14,Hoja1!$A$4:$A$38,0)),0)</f>
        <v>5226</v>
      </c>
      <c r="R14" s="87">
        <f t="shared" si="20"/>
        <v>620</v>
      </c>
      <c r="S14" s="90">
        <f>IFERROR(INDEX(Hoja1!$E$45:$E$79,MATCH(R14,Hoja1!$A$45:$A$79,0)),0)*($C$3/$B$3)</f>
        <v>6594.4247129513951</v>
      </c>
      <c r="T14" s="87">
        <f t="shared" si="2"/>
        <v>6815</v>
      </c>
      <c r="U14" s="90">
        <f>IFERROR(INDEX(Hoja1!$E$85:$E$130,MATCH(T14,Hoja1!$A$85:$A$130,0)),0)*($D$3/$B$3)</f>
        <v>-1000.7733952049497</v>
      </c>
      <c r="V14" s="84">
        <f t="shared" si="3"/>
        <v>25375</v>
      </c>
      <c r="W14" s="90">
        <f>IFERROR(INDEX(Hoja1!$E$137:$E$189,MATCH(V14,Hoja1!$A$137:$A$189,0)),0)*($E$3/$B$3)</f>
        <v>-186.3570706169314</v>
      </c>
      <c r="AA14" s="87">
        <f t="shared" si="21"/>
        <v>681</v>
      </c>
      <c r="AB14" s="90">
        <f ca="1">IFERROR(INDEX(Hoja1!$W$4:$W$38,MATCH(AA14,Hoja1!$A$4:$A$38,0)),0)</f>
        <v>41756</v>
      </c>
      <c r="AC14" s="87">
        <f t="shared" si="22"/>
        <v>620</v>
      </c>
      <c r="AD14" s="90">
        <f ca="1">IFERROR(INDEX(Hoja1!$W$45:$W$79,MATCH(AC14,Hoja1!$A$45:$A$79,0)),0)*($C$3/$B$3)</f>
        <v>52129.264084716517</v>
      </c>
      <c r="AE14" s="87">
        <f t="shared" si="4"/>
        <v>6815</v>
      </c>
      <c r="AF14" s="90">
        <f ca="1">IFERROR(INDEX(Hoja1!$W$85:$W$130,MATCH(AE14,Hoja1!$A$85:$A$130,0)),0)*($D$3/$B$3)</f>
        <v>119342.22737819025</v>
      </c>
      <c r="AG14" s="84">
        <f t="shared" si="5"/>
        <v>25375</v>
      </c>
      <c r="AH14" s="90">
        <f ca="1">IFERROR(INDEX(Hoja1!$W$137:$W$189,MATCH(AG14,Hoja1!$A$137:$A$189,0)),0)*($E$3/$B$3)</f>
        <v>1006.3281813314295</v>
      </c>
    </row>
    <row r="15" spans="1:34" s="86" customFormat="1" ht="7.5" customHeight="1" x14ac:dyDescent="0.25">
      <c r="A15" s="67">
        <f t="shared" si="1"/>
        <v>680.5</v>
      </c>
      <c r="B15" s="72">
        <f t="shared" si="23"/>
        <v>0</v>
      </c>
      <c r="C15" s="72">
        <f t="shared" si="24"/>
        <v>0</v>
      </c>
      <c r="D15" s="72">
        <f t="shared" si="25"/>
        <v>6685.1662799690639</v>
      </c>
      <c r="E15" s="72">
        <f t="shared" si="26"/>
        <v>-186.3570706169314</v>
      </c>
      <c r="F15" s="69">
        <f t="shared" si="27"/>
        <v>6498.8092093521327</v>
      </c>
      <c r="G15" s="83">
        <f t="shared" si="28"/>
        <v>6498.8092093521327</v>
      </c>
      <c r="H15" s="83">
        <f t="shared" ca="1" si="29"/>
        <v>72241.378452019737</v>
      </c>
      <c r="I15" s="69">
        <f t="shared" ca="1" si="30"/>
        <v>72241.378452019737</v>
      </c>
      <c r="J15" s="72">
        <f t="shared" si="31"/>
        <v>0</v>
      </c>
      <c r="K15" s="72">
        <f t="shared" si="32"/>
        <v>0</v>
      </c>
      <c r="L15" s="72">
        <f t="shared" ca="1" si="33"/>
        <v>71235.050270688313</v>
      </c>
      <c r="M15" s="90">
        <f t="shared" ca="1" si="34"/>
        <v>1006.3281813314295</v>
      </c>
      <c r="N15" s="94" t="str">
        <f t="shared" ca="1" si="18"/>
        <v/>
      </c>
      <c r="O15" s="84">
        <f t="shared" ca="1" si="35"/>
        <v>186082.79354512467</v>
      </c>
      <c r="P15" s="85">
        <f t="shared" si="19"/>
        <v>680.5</v>
      </c>
      <c r="Q15" s="90">
        <f>IFERROR(INDEX(Hoja1!$E$4:$E$38,MATCH(P15,Hoja1!$A$4:$A$38,0)),0)</f>
        <v>0</v>
      </c>
      <c r="R15" s="87">
        <f t="shared" si="20"/>
        <v>619.5</v>
      </c>
      <c r="S15" s="90">
        <f>IFERROR(INDEX(Hoja1!$E$45:$E$79,MATCH(R15,Hoja1!$A$45:$A$79,0)),0)*($C$3/$B$3)</f>
        <v>0</v>
      </c>
      <c r="T15" s="87">
        <f t="shared" si="2"/>
        <v>6810</v>
      </c>
      <c r="U15" s="90">
        <f>IFERROR(INDEX(Hoja1!$E$85:$E$130,MATCH(T15,Hoja1!$A$85:$A$130,0)),0)*($D$3/$B$3)</f>
        <v>6685.1662799690639</v>
      </c>
      <c r="V15" s="84">
        <f t="shared" si="3"/>
        <v>25375</v>
      </c>
      <c r="W15" s="90">
        <f>IFERROR(INDEX(Hoja1!$E$137:$E$189,MATCH(V15,Hoja1!$A$137:$A$189,0)),0)*($E$3/$B$3)</f>
        <v>-186.3570706169314</v>
      </c>
      <c r="AA15" s="87">
        <f t="shared" si="21"/>
        <v>680.5</v>
      </c>
      <c r="AB15" s="90">
        <f>IFERROR(INDEX(Hoja1!$W$4:$W$38,MATCH(AA15,Hoja1!$A$4:$A$38,0)),0)</f>
        <v>0</v>
      </c>
      <c r="AC15" s="87">
        <f t="shared" si="22"/>
        <v>619.5</v>
      </c>
      <c r="AD15" s="90">
        <f>IFERROR(INDEX(Hoja1!$W$45:$W$79,MATCH(AC15,Hoja1!$A$45:$A$79,0)),0)*($C$3/$B$3)</f>
        <v>0</v>
      </c>
      <c r="AE15" s="87">
        <f t="shared" si="4"/>
        <v>6810</v>
      </c>
      <c r="AF15" s="90">
        <f ca="1">IFERROR(INDEX(Hoja1!$W$85:$W$130,MATCH(AE15,Hoja1!$A$85:$A$130,0)),0)*($D$3/$B$3)</f>
        <v>71235.050270688313</v>
      </c>
      <c r="AG15" s="84">
        <f t="shared" si="5"/>
        <v>25375</v>
      </c>
      <c r="AH15" s="90">
        <f ca="1">IFERROR(INDEX(Hoja1!$W$137:$W$189,MATCH(AG15,Hoja1!$A$137:$A$189,0)),0)*($E$3/$B$3)</f>
        <v>1006.3281813314295</v>
      </c>
    </row>
    <row r="16" spans="1:34" s="86" customFormat="1" ht="7.5" customHeight="1" x14ac:dyDescent="0.25">
      <c r="A16" s="67">
        <f t="shared" si="1"/>
        <v>680</v>
      </c>
      <c r="B16" s="72">
        <f t="shared" si="23"/>
        <v>32093</v>
      </c>
      <c r="C16" s="72">
        <f t="shared" si="24"/>
        <v>-3146.1394193586771</v>
      </c>
      <c r="D16" s="72">
        <f t="shared" si="25"/>
        <v>-1341.0363495746326</v>
      </c>
      <c r="E16" s="72">
        <f t="shared" si="26"/>
        <v>1416.3137366886785</v>
      </c>
      <c r="F16" s="69">
        <f t="shared" si="27"/>
        <v>29022.13796775537</v>
      </c>
      <c r="G16" s="83">
        <f t="shared" si="28"/>
        <v>29022.13796775537</v>
      </c>
      <c r="H16" s="83">
        <f t="shared" ca="1" si="29"/>
        <v>271773.18253911601</v>
      </c>
      <c r="I16" s="69">
        <f t="shared" ca="1" si="30"/>
        <v>271773.18253911601</v>
      </c>
      <c r="J16" s="72">
        <f t="shared" ca="1" si="31"/>
        <v>172995</v>
      </c>
      <c r="K16" s="72">
        <f t="shared" ca="1" si="32"/>
        <v>11606.223897911832</v>
      </c>
      <c r="L16" s="72">
        <f t="shared" ca="1" si="33"/>
        <v>83854.802784222731</v>
      </c>
      <c r="M16" s="90">
        <f t="shared" ca="1" si="34"/>
        <v>3317.1558569813787</v>
      </c>
      <c r="N16" s="94" t="str">
        <f t="shared" ca="1" si="18"/>
        <v/>
      </c>
      <c r="O16" s="84">
        <f t="shared" ca="1" si="35"/>
        <v>227432.80400777364</v>
      </c>
      <c r="P16" s="85">
        <f t="shared" si="19"/>
        <v>680</v>
      </c>
      <c r="Q16" s="90">
        <f>IFERROR(INDEX(Hoja1!$E$4:$E$38,MATCH(P16,Hoja1!$A$4:$A$38,0)),0)</f>
        <v>32093</v>
      </c>
      <c r="R16" s="87">
        <f t="shared" si="20"/>
        <v>619</v>
      </c>
      <c r="S16" s="90">
        <f>IFERROR(INDEX(Hoja1!$E$45:$E$79,MATCH(R16,Hoja1!$A$45:$A$79,0)),0)*($C$3/$B$3)</f>
        <v>-3146.1394193586771</v>
      </c>
      <c r="T16" s="87">
        <f t="shared" si="2"/>
        <v>6805</v>
      </c>
      <c r="U16" s="90">
        <f>IFERROR(INDEX(Hoja1!$E$85:$E$130,MATCH(T16,Hoja1!$A$85:$A$130,0)),0)*($D$3/$B$3)</f>
        <v>-1341.0363495746326</v>
      </c>
      <c r="V16" s="84">
        <f t="shared" si="3"/>
        <v>25350</v>
      </c>
      <c r="W16" s="90">
        <f>IFERROR(INDEX(Hoja1!$E$137:$E$189,MATCH(V16,Hoja1!$A$137:$A$189,0)),0)*($E$3/$B$3)</f>
        <v>1416.3137366886785</v>
      </c>
      <c r="AA16" s="87">
        <f t="shared" si="21"/>
        <v>680</v>
      </c>
      <c r="AB16" s="90">
        <f ca="1">IFERROR(INDEX(Hoja1!$W$4:$W$38,MATCH(AA16,Hoja1!$A$4:$A$38,0)),0)</f>
        <v>172995</v>
      </c>
      <c r="AC16" s="87">
        <f t="shared" si="22"/>
        <v>619</v>
      </c>
      <c r="AD16" s="90">
        <f ca="1">IFERROR(INDEX(Hoja1!$W$45:$W$79,MATCH(AC16,Hoja1!$A$45:$A$79,0)),0)*($C$3/$B$3)</f>
        <v>11606.223897911832</v>
      </c>
      <c r="AE16" s="87">
        <f t="shared" si="4"/>
        <v>6805</v>
      </c>
      <c r="AF16" s="90">
        <f ca="1">IFERROR(INDEX(Hoja1!$W$85:$W$130,MATCH(AE16,Hoja1!$A$85:$A$130,0)),0)*($D$3/$B$3)</f>
        <v>83854.802784222731</v>
      </c>
      <c r="AG16" s="84">
        <f t="shared" si="5"/>
        <v>25350</v>
      </c>
      <c r="AH16" s="90">
        <f ca="1">IFERROR(INDEX(Hoja1!$W$137:$W$189,MATCH(AG16,Hoja1!$A$137:$A$189,0)),0)*($E$3/$B$3)</f>
        <v>3317.1558569813787</v>
      </c>
    </row>
    <row r="17" spans="1:34" s="86" customFormat="1" ht="7.5" customHeight="1" x14ac:dyDescent="0.25">
      <c r="A17" s="67">
        <f t="shared" si="1"/>
        <v>679.5</v>
      </c>
      <c r="B17" s="72">
        <f t="shared" si="23"/>
        <v>0</v>
      </c>
      <c r="C17" s="72">
        <f t="shared" si="24"/>
        <v>0</v>
      </c>
      <c r="D17" s="72">
        <f t="shared" si="25"/>
        <v>86416.782675947412</v>
      </c>
      <c r="E17" s="72">
        <f t="shared" si="26"/>
        <v>-37.271414123386279</v>
      </c>
      <c r="F17" s="69">
        <f t="shared" si="27"/>
        <v>86379.511261824024</v>
      </c>
      <c r="G17" s="83">
        <f t="shared" si="28"/>
        <v>86379.511261824024</v>
      </c>
      <c r="H17" s="83">
        <f t="shared" ca="1" si="29"/>
        <v>338283.85103218514</v>
      </c>
      <c r="I17" s="69">
        <f t="shared" ca="1" si="30"/>
        <v>338283.85103218514</v>
      </c>
      <c r="J17" s="72">
        <f t="shared" si="31"/>
        <v>0</v>
      </c>
      <c r="K17" s="72">
        <f t="shared" si="32"/>
        <v>0</v>
      </c>
      <c r="L17" s="72">
        <f t="shared" ca="1" si="33"/>
        <v>337911.13689095125</v>
      </c>
      <c r="M17" s="90">
        <f t="shared" ca="1" si="34"/>
        <v>372.71414123386279</v>
      </c>
      <c r="N17" s="94" t="str">
        <f t="shared" ca="1" si="18"/>
        <v/>
      </c>
      <c r="O17" s="84">
        <f t="shared" ca="1" si="35"/>
        <v>248658.02265453033</v>
      </c>
      <c r="P17" s="85">
        <f t="shared" si="19"/>
        <v>679.5</v>
      </c>
      <c r="Q17" s="90">
        <f>IFERROR(INDEX(Hoja1!$E$4:$E$38,MATCH(P17,Hoja1!$A$4:$A$38,0)),0)</f>
        <v>0</v>
      </c>
      <c r="R17" s="87">
        <f t="shared" si="20"/>
        <v>618.5</v>
      </c>
      <c r="S17" s="90">
        <f>IFERROR(INDEX(Hoja1!$E$45:$E$79,MATCH(R17,Hoja1!$A$45:$A$79,0)),0)*($C$3/$B$3)</f>
        <v>0</v>
      </c>
      <c r="T17" s="87">
        <f t="shared" si="2"/>
        <v>6800</v>
      </c>
      <c r="U17" s="90">
        <f>IFERROR(INDEX(Hoja1!$E$85:$E$130,MATCH(T17,Hoja1!$A$85:$A$130,0)),0)*($D$3/$B$3)</f>
        <v>86416.782675947412</v>
      </c>
      <c r="V17" s="84">
        <f t="shared" si="3"/>
        <v>25325</v>
      </c>
      <c r="W17" s="90">
        <f>IFERROR(INDEX(Hoja1!$E$137:$E$189,MATCH(V17,Hoja1!$A$137:$A$189,0)),0)*($E$3/$B$3)</f>
        <v>-37.271414123386279</v>
      </c>
      <c r="AA17" s="87">
        <f t="shared" si="21"/>
        <v>679.5</v>
      </c>
      <c r="AB17" s="90">
        <f>IFERROR(INDEX(Hoja1!$W$4:$W$38,MATCH(AA17,Hoja1!$A$4:$A$38,0)),0)</f>
        <v>0</v>
      </c>
      <c r="AC17" s="87">
        <f t="shared" si="22"/>
        <v>618.5</v>
      </c>
      <c r="AD17" s="90">
        <f>IFERROR(INDEX(Hoja1!$W$45:$W$79,MATCH(AC17,Hoja1!$A$45:$A$79,0)),0)*($C$3/$B$3)</f>
        <v>0</v>
      </c>
      <c r="AE17" s="87">
        <f t="shared" si="4"/>
        <v>6800</v>
      </c>
      <c r="AF17" s="90">
        <f ca="1">IFERROR(INDEX(Hoja1!$W$85:$W$130,MATCH(AE17,Hoja1!$A$85:$A$130,0)),0)*($D$3/$B$3)</f>
        <v>337911.13689095125</v>
      </c>
      <c r="AG17" s="84">
        <f t="shared" si="5"/>
        <v>25325</v>
      </c>
      <c r="AH17" s="90">
        <f ca="1">IFERROR(INDEX(Hoja1!$W$137:$W$189,MATCH(AG17,Hoja1!$A$137:$A$189,0)),0)*($E$3/$B$3)</f>
        <v>372.71414123386279</v>
      </c>
    </row>
    <row r="18" spans="1:34" s="86" customFormat="1" ht="7.5" customHeight="1" x14ac:dyDescent="0.25">
      <c r="A18" s="67">
        <f t="shared" si="1"/>
        <v>679</v>
      </c>
      <c r="B18" s="72">
        <f t="shared" si="6"/>
        <v>150</v>
      </c>
      <c r="C18" s="72">
        <f t="shared" si="7"/>
        <v>-3479.2279433636741</v>
      </c>
      <c r="D18" s="72">
        <f t="shared" si="8"/>
        <v>-2702.088167053364</v>
      </c>
      <c r="E18" s="72">
        <f t="shared" si="9"/>
        <v>447.25696948063535</v>
      </c>
      <c r="F18" s="69">
        <f t="shared" si="10"/>
        <v>-5584.0591409364024</v>
      </c>
      <c r="G18" s="83">
        <f t="shared" si="11"/>
        <v>-5584.0591409364024</v>
      </c>
      <c r="H18" s="83">
        <f t="shared" ca="1" si="12"/>
        <v>135917.03439228985</v>
      </c>
      <c r="I18" s="69">
        <f t="shared" ca="1" si="13"/>
        <v>135917.03439228985</v>
      </c>
      <c r="J18" s="72">
        <f t="shared" ca="1" si="14"/>
        <v>46644</v>
      </c>
      <c r="K18" s="72">
        <f t="shared" ca="1" si="15"/>
        <v>25534.056606579808</v>
      </c>
      <c r="L18" s="72">
        <f t="shared" ca="1" si="16"/>
        <v>40891.600928074244</v>
      </c>
      <c r="M18" s="90">
        <f t="shared" ca="1" si="17"/>
        <v>22847.376857635791</v>
      </c>
      <c r="N18" s="94">
        <f t="shared" ca="1" si="18"/>
        <v>187899.92346758678</v>
      </c>
      <c r="O18" s="84">
        <f t="shared" ca="1" si="35"/>
        <v>187899.92346758678</v>
      </c>
      <c r="P18" s="85">
        <f t="shared" si="19"/>
        <v>679</v>
      </c>
      <c r="Q18" s="90">
        <f>IFERROR(INDEX(Hoja1!$E$4:$E$38,MATCH(P18,Hoja1!$A$4:$A$38,0)),0)</f>
        <v>150</v>
      </c>
      <c r="R18" s="87">
        <f t="shared" si="20"/>
        <v>618</v>
      </c>
      <c r="S18" s="90">
        <f>IFERROR(INDEX(Hoja1!$E$45:$E$79,MATCH(R18,Hoja1!$A$45:$A$79,0)),0)*($C$3/$B$3)</f>
        <v>-3479.2279433636741</v>
      </c>
      <c r="T18" s="87">
        <f t="shared" si="2"/>
        <v>6795</v>
      </c>
      <c r="U18" s="90">
        <f>IFERROR(INDEX(Hoja1!$E$85:$E$130,MATCH(T18,Hoja1!$A$85:$A$130,0)),0)*($D$3/$B$3)</f>
        <v>-2702.088167053364</v>
      </c>
      <c r="V18" s="84">
        <f t="shared" si="3"/>
        <v>25300</v>
      </c>
      <c r="W18" s="90">
        <f>IFERROR(INDEX(Hoja1!$E$137:$E$189,MATCH(V18,Hoja1!$A$137:$A$189,0)),0)*($E$3/$B$3)</f>
        <v>447.25696948063535</v>
      </c>
      <c r="AA18" s="87">
        <f t="shared" si="21"/>
        <v>679</v>
      </c>
      <c r="AB18" s="90">
        <f ca="1">IFERROR(INDEX(Hoja1!$W$4:$W$38,MATCH(AA18,Hoja1!$A$4:$A$38,0)),0)</f>
        <v>46644</v>
      </c>
      <c r="AC18" s="87">
        <f t="shared" si="22"/>
        <v>618</v>
      </c>
      <c r="AD18" s="90">
        <f ca="1">IFERROR(INDEX(Hoja1!$W$45:$W$79,MATCH(AC18,Hoja1!$A$45:$A$79,0)),0)*($C$3/$B$3)</f>
        <v>25534.056606579808</v>
      </c>
      <c r="AE18" s="87">
        <f t="shared" si="4"/>
        <v>6795</v>
      </c>
      <c r="AF18" s="90">
        <f ca="1">IFERROR(INDEX(Hoja1!$W$85:$W$130,MATCH(AE18,Hoja1!$A$85:$A$130,0)),0)*($D$3/$B$3)</f>
        <v>40891.600928074244</v>
      </c>
      <c r="AG18" s="84">
        <f t="shared" si="5"/>
        <v>25300</v>
      </c>
      <c r="AH18" s="90">
        <f ca="1">IFERROR(INDEX(Hoja1!$W$137:$W$189,MATCH(AG18,Hoja1!$A$137:$A$189,0)),0)*($E$3/$B$3)</f>
        <v>22847.376857635791</v>
      </c>
    </row>
    <row r="19" spans="1:34" s="86" customFormat="1" ht="7.5" customHeight="1" x14ac:dyDescent="0.25">
      <c r="A19" s="67">
        <f t="shared" si="1"/>
        <v>678.5</v>
      </c>
      <c r="B19" s="72">
        <f t="shared" si="6"/>
        <v>0</v>
      </c>
      <c r="C19" s="72">
        <f t="shared" si="7"/>
        <v>0</v>
      </c>
      <c r="D19" s="72">
        <f t="shared" si="8"/>
        <v>14761.407579273007</v>
      </c>
      <c r="E19" s="72">
        <f t="shared" si="9"/>
        <v>447.25696948063535</v>
      </c>
      <c r="F19" s="69">
        <f t="shared" si="10"/>
        <v>15208.664548753643</v>
      </c>
      <c r="G19" s="83">
        <f t="shared" si="11"/>
        <v>15208.664548753643</v>
      </c>
      <c r="H19" s="83">
        <f t="shared" ca="1" si="12"/>
        <v>89498.884978285438</v>
      </c>
      <c r="I19" s="69">
        <f t="shared" ca="1" si="13"/>
        <v>89498.884978285438</v>
      </c>
      <c r="J19" s="72">
        <f t="shared" si="14"/>
        <v>0</v>
      </c>
      <c r="K19" s="72">
        <f t="shared" si="15"/>
        <v>0</v>
      </c>
      <c r="L19" s="72">
        <f t="shared" ca="1" si="16"/>
        <v>66651.508120649654</v>
      </c>
      <c r="M19" s="90">
        <f t="shared" ca="1" si="17"/>
        <v>22847.376857635791</v>
      </c>
      <c r="N19" s="94">
        <f t="shared" ca="1" si="18"/>
        <v>110205.05345152399</v>
      </c>
      <c r="O19" s="84">
        <f t="shared" ca="1" si="35"/>
        <v>110205.05345152399</v>
      </c>
      <c r="P19" s="85">
        <f t="shared" si="19"/>
        <v>678.5</v>
      </c>
      <c r="Q19" s="90">
        <f>IFERROR(INDEX(Hoja1!$E$4:$E$38,MATCH(P19,Hoja1!$A$4:$A$38,0)),0)</f>
        <v>0</v>
      </c>
      <c r="R19" s="87">
        <f t="shared" si="20"/>
        <v>617.5</v>
      </c>
      <c r="S19" s="90">
        <f>IFERROR(INDEX(Hoja1!$E$45:$E$79,MATCH(R19,Hoja1!$A$45:$A$79,0)),0)*($C$3/$B$3)</f>
        <v>0</v>
      </c>
      <c r="T19" s="87">
        <f t="shared" si="2"/>
        <v>6790</v>
      </c>
      <c r="U19" s="90">
        <f>IFERROR(INDEX(Hoja1!$E$85:$E$130,MATCH(T19,Hoja1!$A$85:$A$130,0)),0)*($D$3/$B$3)</f>
        <v>14761.407579273007</v>
      </c>
      <c r="V19" s="84">
        <f t="shared" si="3"/>
        <v>25300</v>
      </c>
      <c r="W19" s="90">
        <f>IFERROR(INDEX(Hoja1!$E$137:$E$189,MATCH(V19,Hoja1!$A$137:$A$189,0)),0)*($E$3/$B$3)</f>
        <v>447.25696948063535</v>
      </c>
      <c r="AA19" s="87">
        <f t="shared" si="21"/>
        <v>678.5</v>
      </c>
      <c r="AB19" s="90">
        <f>IFERROR(INDEX(Hoja1!$W$4:$W$38,MATCH(AA19,Hoja1!$A$4:$A$38,0)),0)</f>
        <v>0</v>
      </c>
      <c r="AC19" s="87">
        <f t="shared" si="22"/>
        <v>617.5</v>
      </c>
      <c r="AD19" s="90">
        <f>IFERROR(INDEX(Hoja1!$W$45:$W$79,MATCH(AC19,Hoja1!$A$45:$A$79,0)),0)*($C$3/$B$3)</f>
        <v>0</v>
      </c>
      <c r="AE19" s="87">
        <f t="shared" si="4"/>
        <v>6790</v>
      </c>
      <c r="AF19" s="90">
        <f ca="1">IFERROR(INDEX(Hoja1!$W$85:$W$130,MATCH(AE19,Hoja1!$A$85:$A$130,0)),0)*($D$3/$B$3)</f>
        <v>66651.508120649654</v>
      </c>
      <c r="AG19" s="84">
        <f t="shared" si="5"/>
        <v>25300</v>
      </c>
      <c r="AH19" s="90">
        <f ca="1">IFERROR(INDEX(Hoja1!$W$137:$W$189,MATCH(AG19,Hoja1!$A$137:$A$189,0)),0)*($E$3/$B$3)</f>
        <v>22847.376857635791</v>
      </c>
    </row>
    <row r="20" spans="1:34" s="86" customFormat="1" ht="7.5" customHeight="1" x14ac:dyDescent="0.25">
      <c r="A20" s="67">
        <f t="shared" si="1"/>
        <v>678</v>
      </c>
      <c r="B20" s="72">
        <f t="shared" si="6"/>
        <v>3446</v>
      </c>
      <c r="C20" s="72">
        <f t="shared" si="7"/>
        <v>-5480.4893211969775</v>
      </c>
      <c r="D20" s="72">
        <f t="shared" si="8"/>
        <v>-5254.0603248259858</v>
      </c>
      <c r="E20" s="72">
        <f t="shared" si="9"/>
        <v>372.71414123386279</v>
      </c>
      <c r="F20" s="69">
        <f t="shared" si="10"/>
        <v>-6915.8355047891009</v>
      </c>
      <c r="G20" s="83">
        <f t="shared" si="11"/>
        <v>-6915.8355047891009</v>
      </c>
      <c r="H20" s="83">
        <f t="shared" ca="1" si="12"/>
        <v>105199.24098399666</v>
      </c>
      <c r="I20" s="69">
        <f t="shared" ca="1" si="13"/>
        <v>105199.24098399666</v>
      </c>
      <c r="J20" s="72">
        <f t="shared" ca="1" si="14"/>
        <v>43014</v>
      </c>
      <c r="K20" s="72">
        <f t="shared" ca="1" si="15"/>
        <v>11513.395948598965</v>
      </c>
      <c r="L20" s="72">
        <f t="shared" ca="1" si="16"/>
        <v>52870.858468677492</v>
      </c>
      <c r="M20" s="90">
        <f t="shared" ca="1" si="17"/>
        <v>-2199.0134332797907</v>
      </c>
      <c r="N20" s="94">
        <f t="shared" ca="1" si="18"/>
        <v>100501.75287246909</v>
      </c>
      <c r="O20" s="84">
        <f t="shared" ca="1" si="35"/>
        <v>100501.75287246909</v>
      </c>
      <c r="P20" s="85">
        <f t="shared" si="19"/>
        <v>678</v>
      </c>
      <c r="Q20" s="90">
        <f>IFERROR(INDEX(Hoja1!$E$4:$E$38,MATCH(P20,Hoja1!$A$4:$A$38,0)),0)</f>
        <v>3446</v>
      </c>
      <c r="R20" s="87">
        <f t="shared" si="20"/>
        <v>617</v>
      </c>
      <c r="S20" s="90">
        <f>IFERROR(INDEX(Hoja1!$E$45:$E$79,MATCH(R20,Hoja1!$A$45:$A$79,0)),0)*($C$3/$B$3)</f>
        <v>-5480.4893211969775</v>
      </c>
      <c r="T20" s="87">
        <f t="shared" si="2"/>
        <v>6785</v>
      </c>
      <c r="U20" s="90">
        <f>IFERROR(INDEX(Hoja1!$E$85:$E$130,MATCH(T20,Hoja1!$A$85:$A$130,0)),0)*($D$3/$B$3)</f>
        <v>-5254.0603248259858</v>
      </c>
      <c r="V20" s="84">
        <f t="shared" si="3"/>
        <v>25275</v>
      </c>
      <c r="W20" s="90">
        <f>IFERROR(INDEX(Hoja1!$E$137:$E$189,MATCH(V20,Hoja1!$A$137:$A$189,0)),0)*($E$3/$B$3)</f>
        <v>372.71414123386279</v>
      </c>
      <c r="AA20" s="87">
        <f t="shared" si="21"/>
        <v>678</v>
      </c>
      <c r="AB20" s="90">
        <f ca="1">IFERROR(INDEX(Hoja1!$W$4:$W$38,MATCH(AA20,Hoja1!$A$4:$A$38,0)),0)</f>
        <v>43014</v>
      </c>
      <c r="AC20" s="87">
        <f t="shared" si="22"/>
        <v>617</v>
      </c>
      <c r="AD20" s="90">
        <f ca="1">IFERROR(INDEX(Hoja1!$W$45:$W$79,MATCH(AC20,Hoja1!$A$45:$A$79,0)),0)*($C$3/$B$3)</f>
        <v>11513.395948598965</v>
      </c>
      <c r="AE20" s="87">
        <f t="shared" si="4"/>
        <v>6785</v>
      </c>
      <c r="AF20" s="90">
        <f ca="1">IFERROR(INDEX(Hoja1!$W$85:$W$130,MATCH(AE20,Hoja1!$A$85:$A$130,0)),0)*($D$3/$B$3)</f>
        <v>52870.858468677492</v>
      </c>
      <c r="AG20" s="84">
        <f t="shared" si="5"/>
        <v>25275</v>
      </c>
      <c r="AH20" s="90">
        <f ca="1">IFERROR(INDEX(Hoja1!$W$137:$W$189,MATCH(AG20,Hoja1!$A$137:$A$189,0)),0)*($E$3/$B$3)</f>
        <v>-2199.0134332797907</v>
      </c>
    </row>
    <row r="21" spans="1:34" s="86" customFormat="1" ht="7.5" customHeight="1" x14ac:dyDescent="0.25">
      <c r="A21" s="67">
        <f t="shared" si="1"/>
        <v>677.5</v>
      </c>
      <c r="B21" s="72">
        <f t="shared" si="6"/>
        <v>0</v>
      </c>
      <c r="C21" s="72">
        <f t="shared" si="7"/>
        <v>0</v>
      </c>
      <c r="D21" s="72">
        <f t="shared" si="8"/>
        <v>-12379.566898685227</v>
      </c>
      <c r="E21" s="72">
        <f t="shared" si="9"/>
        <v>559.07121185079416</v>
      </c>
      <c r="F21" s="69">
        <f t="shared" si="10"/>
        <v>-11820.495686834432</v>
      </c>
      <c r="G21" s="83">
        <f t="shared" si="11"/>
        <v>-11820.495686834432</v>
      </c>
      <c r="H21" s="83">
        <f t="shared" ca="1" si="12"/>
        <v>106807.13265512523</v>
      </c>
      <c r="I21" s="69">
        <f t="shared" ca="1" si="13"/>
        <v>106807.13265512523</v>
      </c>
      <c r="J21" s="72">
        <f t="shared" si="14"/>
        <v>0</v>
      </c>
      <c r="K21" s="72">
        <f t="shared" si="15"/>
        <v>0</v>
      </c>
      <c r="L21" s="72">
        <f t="shared" ca="1" si="16"/>
        <v>103489.97679814385</v>
      </c>
      <c r="M21" s="90">
        <f t="shared" ca="1" si="17"/>
        <v>3317.1558569813787</v>
      </c>
      <c r="N21" s="94">
        <f t="shared" ca="1" si="18"/>
        <v>125180.16302774307</v>
      </c>
      <c r="O21" s="84">
        <f t="shared" ca="1" si="35"/>
        <v>125180.16302774307</v>
      </c>
      <c r="P21" s="85">
        <f t="shared" si="19"/>
        <v>677.5</v>
      </c>
      <c r="Q21" s="90">
        <f>IFERROR(INDEX(Hoja1!$E$4:$E$38,MATCH(P21,Hoja1!$A$4:$A$38,0)),0)</f>
        <v>0</v>
      </c>
      <c r="R21" s="87">
        <f t="shared" si="20"/>
        <v>616.5</v>
      </c>
      <c r="S21" s="90">
        <f>IFERROR(INDEX(Hoja1!$E$45:$E$79,MATCH(R21,Hoja1!$A$45:$A$79,0)),0)*($C$3/$B$3)</f>
        <v>0</v>
      </c>
      <c r="T21" s="87">
        <f t="shared" si="2"/>
        <v>6780</v>
      </c>
      <c r="U21" s="90">
        <f>IFERROR(INDEX(Hoja1!$E$85:$E$130,MATCH(T21,Hoja1!$A$85:$A$130,0)),0)*($D$3/$B$3)</f>
        <v>-12379.566898685227</v>
      </c>
      <c r="V21" s="84">
        <f t="shared" si="3"/>
        <v>25250</v>
      </c>
      <c r="W21" s="90">
        <f>IFERROR(INDEX(Hoja1!$E$137:$E$189,MATCH(V21,Hoja1!$A$137:$A$189,0)),0)*($E$3/$B$3)</f>
        <v>559.07121185079416</v>
      </c>
      <c r="AA21" s="87">
        <f t="shared" si="21"/>
        <v>677.5</v>
      </c>
      <c r="AB21" s="90">
        <f>IFERROR(INDEX(Hoja1!$W$4:$W$38,MATCH(AA21,Hoja1!$A$4:$A$38,0)),0)</f>
        <v>0</v>
      </c>
      <c r="AC21" s="87">
        <f t="shared" si="22"/>
        <v>616.5</v>
      </c>
      <c r="AD21" s="90">
        <f>IFERROR(INDEX(Hoja1!$W$45:$W$79,MATCH(AC21,Hoja1!$A$45:$A$79,0)),0)*($C$3/$B$3)</f>
        <v>0</v>
      </c>
      <c r="AE21" s="87">
        <f t="shared" si="4"/>
        <v>6780</v>
      </c>
      <c r="AF21" s="90">
        <f ca="1">IFERROR(INDEX(Hoja1!$W$85:$W$130,MATCH(AE21,Hoja1!$A$85:$A$130,0)),0)*($D$3/$B$3)</f>
        <v>103489.97679814385</v>
      </c>
      <c r="AG21" s="84">
        <f t="shared" si="5"/>
        <v>25250</v>
      </c>
      <c r="AH21" s="90">
        <f ca="1">IFERROR(INDEX(Hoja1!$W$137:$W$189,MATCH(AG21,Hoja1!$A$137:$A$189,0)),0)*($E$3/$B$3)</f>
        <v>3317.1558569813787</v>
      </c>
    </row>
    <row r="22" spans="1:34" s="86" customFormat="1" ht="7.5" customHeight="1" x14ac:dyDescent="0.25">
      <c r="A22" s="67">
        <f t="shared" si="1"/>
        <v>677</v>
      </c>
      <c r="B22" s="72">
        <f t="shared" si="6"/>
        <v>-2716</v>
      </c>
      <c r="C22" s="72">
        <f t="shared" si="7"/>
        <v>-4580.4222440359326</v>
      </c>
      <c r="D22" s="72">
        <f t="shared" si="8"/>
        <v>8206.3418406805868</v>
      </c>
      <c r="E22" s="72">
        <f t="shared" si="9"/>
        <v>633.61404009756677</v>
      </c>
      <c r="F22" s="69">
        <f t="shared" si="10"/>
        <v>1543.533636742221</v>
      </c>
      <c r="G22" s="83">
        <f t="shared" si="11"/>
        <v>1543.533636742221</v>
      </c>
      <c r="H22" s="83">
        <f t="shared" ca="1" si="12"/>
        <v>163534.11544410733</v>
      </c>
      <c r="I22" s="69">
        <f t="shared" ca="1" si="13"/>
        <v>163534.11544410733</v>
      </c>
      <c r="J22" s="72">
        <f t="shared" ca="1" si="14"/>
        <v>64403</v>
      </c>
      <c r="K22" s="72">
        <f t="shared" ca="1" si="15"/>
        <v>14922.547891010769</v>
      </c>
      <c r="L22" s="72">
        <f t="shared" ca="1" si="16"/>
        <v>82904.068058778037</v>
      </c>
      <c r="M22" s="90">
        <f t="shared" ca="1" si="17"/>
        <v>1304.4994943185197</v>
      </c>
      <c r="N22" s="94">
        <f t="shared" ca="1" si="18"/>
        <v>112368.77845796895</v>
      </c>
      <c r="O22" s="84">
        <f t="shared" ca="1" si="35"/>
        <v>112368.77845796895</v>
      </c>
      <c r="P22" s="85">
        <f t="shared" si="19"/>
        <v>677</v>
      </c>
      <c r="Q22" s="90">
        <f>IFERROR(INDEX(Hoja1!$E$4:$E$38,MATCH(P22,Hoja1!$A$4:$A$38,0)),0)</f>
        <v>-2716</v>
      </c>
      <c r="R22" s="87">
        <f t="shared" si="20"/>
        <v>616</v>
      </c>
      <c r="S22" s="90">
        <f>IFERROR(INDEX(Hoja1!$E$45:$E$79,MATCH(R22,Hoja1!$A$45:$A$79,0)),0)*($C$3/$B$3)</f>
        <v>-4580.4222440359326</v>
      </c>
      <c r="T22" s="87">
        <f t="shared" si="2"/>
        <v>6775</v>
      </c>
      <c r="U22" s="90">
        <f>IFERROR(INDEX(Hoja1!$E$85:$E$130,MATCH(T22,Hoja1!$A$85:$A$130,0)),0)*($D$3/$B$3)</f>
        <v>8206.3418406805868</v>
      </c>
      <c r="V22" s="84">
        <f t="shared" si="3"/>
        <v>25225</v>
      </c>
      <c r="W22" s="90">
        <f>IFERROR(INDEX(Hoja1!$E$137:$E$189,MATCH(V22,Hoja1!$A$137:$A$189,0)),0)*($E$3/$B$3)</f>
        <v>633.61404009756677</v>
      </c>
      <c r="AA22" s="87">
        <f t="shared" si="21"/>
        <v>677</v>
      </c>
      <c r="AB22" s="90">
        <f ca="1">IFERROR(INDEX(Hoja1!$W$4:$W$38,MATCH(AA22,Hoja1!$A$4:$A$38,0)),0)</f>
        <v>64403</v>
      </c>
      <c r="AC22" s="87">
        <f t="shared" si="22"/>
        <v>616</v>
      </c>
      <c r="AD22" s="90">
        <f ca="1">IFERROR(INDEX(Hoja1!$W$45:$W$79,MATCH(AC22,Hoja1!$A$45:$A$79,0)),0)*($C$3/$B$3)</f>
        <v>14922.547891010769</v>
      </c>
      <c r="AE22" s="87">
        <f t="shared" si="4"/>
        <v>6775</v>
      </c>
      <c r="AF22" s="90">
        <f ca="1">IFERROR(INDEX(Hoja1!$W$85:$W$130,MATCH(AE22,Hoja1!$A$85:$A$130,0)),0)*($D$3/$B$3)</f>
        <v>82904.068058778037</v>
      </c>
      <c r="AG22" s="84">
        <f t="shared" si="5"/>
        <v>25225</v>
      </c>
      <c r="AH22" s="90">
        <f ca="1">IFERROR(INDEX(Hoja1!$W$137:$W$189,MATCH(AG22,Hoja1!$A$137:$A$189,0)),0)*($E$3/$B$3)</f>
        <v>1304.4994943185197</v>
      </c>
    </row>
    <row r="23" spans="1:34" s="86" customFormat="1" ht="7.5" customHeight="1" x14ac:dyDescent="0.25">
      <c r="A23" s="67">
        <f t="shared" si="1"/>
        <v>676.5</v>
      </c>
      <c r="B23" s="72">
        <f t="shared" si="6"/>
        <v>0</v>
      </c>
      <c r="C23" s="72">
        <f t="shared" si="7"/>
        <v>0</v>
      </c>
      <c r="D23" s="72">
        <f t="shared" si="8"/>
        <v>-9627.4400618716154</v>
      </c>
      <c r="E23" s="72">
        <f t="shared" si="9"/>
        <v>633.61404009756677</v>
      </c>
      <c r="F23" s="69">
        <f t="shared" si="10"/>
        <v>-8993.8260217740481</v>
      </c>
      <c r="G23" s="83">
        <f t="shared" si="11"/>
        <v>-8993.8260217740481</v>
      </c>
      <c r="H23" s="83">
        <f t="shared" ca="1" si="12"/>
        <v>66765.087274674283</v>
      </c>
      <c r="I23" s="69">
        <f t="shared" ca="1" si="13"/>
        <v>66765.087274674283</v>
      </c>
      <c r="J23" s="72">
        <f t="shared" si="14"/>
        <v>0</v>
      </c>
      <c r="K23" s="72">
        <f t="shared" si="15"/>
        <v>0</v>
      </c>
      <c r="L23" s="72">
        <f t="shared" ca="1" si="16"/>
        <v>65460.58778035576</v>
      </c>
      <c r="M23" s="90">
        <f t="shared" ca="1" si="17"/>
        <v>1304.4994943185197</v>
      </c>
      <c r="N23" s="94">
        <f t="shared" ca="1" si="18"/>
        <v>151098.82844111288</v>
      </c>
      <c r="O23" s="84">
        <f t="shared" ca="1" si="35"/>
        <v>151098.82844111288</v>
      </c>
      <c r="P23" s="85">
        <f t="shared" si="19"/>
        <v>676.5</v>
      </c>
      <c r="Q23" s="90">
        <f>IFERROR(INDEX(Hoja1!$E$4:$E$38,MATCH(P23,Hoja1!$A$4:$A$38,0)),0)</f>
        <v>0</v>
      </c>
      <c r="R23" s="87">
        <f t="shared" si="20"/>
        <v>615.5</v>
      </c>
      <c r="S23" s="90">
        <f>IFERROR(INDEX(Hoja1!$E$45:$E$79,MATCH(R23,Hoja1!$A$45:$A$79,0)),0)*($C$3/$B$3)</f>
        <v>0</v>
      </c>
      <c r="T23" s="87">
        <f t="shared" si="2"/>
        <v>6770</v>
      </c>
      <c r="U23" s="90">
        <f>IFERROR(INDEX(Hoja1!$E$85:$E$130,MATCH(T23,Hoja1!$A$85:$A$130,0)),0)*($D$3/$B$3)</f>
        <v>-9627.4400618716154</v>
      </c>
      <c r="V23" s="84">
        <f t="shared" si="3"/>
        <v>25225</v>
      </c>
      <c r="W23" s="90">
        <f>IFERROR(INDEX(Hoja1!$E$137:$E$189,MATCH(V23,Hoja1!$A$137:$A$189,0)),0)*($E$3/$B$3)</f>
        <v>633.61404009756677</v>
      </c>
      <c r="AA23" s="87">
        <f t="shared" si="21"/>
        <v>676.5</v>
      </c>
      <c r="AB23" s="90">
        <f>IFERROR(INDEX(Hoja1!$W$4:$W$38,MATCH(AA23,Hoja1!$A$4:$A$38,0)),0)</f>
        <v>0</v>
      </c>
      <c r="AC23" s="87">
        <f t="shared" si="22"/>
        <v>615.5</v>
      </c>
      <c r="AD23" s="90">
        <f>IFERROR(INDEX(Hoja1!$W$45:$W$79,MATCH(AC23,Hoja1!$A$45:$A$79,0)),0)*($C$3/$B$3)</f>
        <v>0</v>
      </c>
      <c r="AE23" s="87">
        <f t="shared" si="4"/>
        <v>6770</v>
      </c>
      <c r="AF23" s="90">
        <f ca="1">IFERROR(INDEX(Hoja1!$W$85:$W$130,MATCH(AE23,Hoja1!$A$85:$A$130,0)),0)*($D$3/$B$3)</f>
        <v>65460.58778035576</v>
      </c>
      <c r="AG23" s="84">
        <f t="shared" si="5"/>
        <v>25225</v>
      </c>
      <c r="AH23" s="90">
        <f ca="1">IFERROR(INDEX(Hoja1!$W$137:$W$189,MATCH(AG23,Hoja1!$A$137:$A$189,0)),0)*($E$3/$B$3)</f>
        <v>1304.4994943185197</v>
      </c>
    </row>
    <row r="24" spans="1:34" s="86" customFormat="1" ht="7.5" customHeight="1" x14ac:dyDescent="0.25">
      <c r="A24" s="67">
        <f t="shared" si="1"/>
        <v>676</v>
      </c>
      <c r="B24" s="72">
        <f t="shared" si="6"/>
        <v>2221</v>
      </c>
      <c r="C24" s="72">
        <f t="shared" si="7"/>
        <v>-33492.688143256586</v>
      </c>
      <c r="D24" s="72">
        <f t="shared" si="8"/>
        <v>-2131.647331786543</v>
      </c>
      <c r="E24" s="72">
        <f t="shared" si="9"/>
        <v>9466.9391873401146</v>
      </c>
      <c r="F24" s="69">
        <f t="shared" si="10"/>
        <v>-23936.396287703017</v>
      </c>
      <c r="G24" s="83">
        <f t="shared" si="11"/>
        <v>-23936.396287703017</v>
      </c>
      <c r="H24" s="83">
        <f t="shared" ca="1" si="12"/>
        <v>222997.28260455705</v>
      </c>
      <c r="I24" s="69">
        <f t="shared" ca="1" si="13"/>
        <v>222997.28260455705</v>
      </c>
      <c r="J24" s="72">
        <f t="shared" ca="1" si="14"/>
        <v>57516</v>
      </c>
      <c r="K24" s="72">
        <f t="shared" ca="1" si="15"/>
        <v>71327.358111725858</v>
      </c>
      <c r="L24" s="72">
        <f t="shared" ca="1" si="16"/>
        <v>79841.701469450883</v>
      </c>
      <c r="M24" s="90">
        <f t="shared" ca="1" si="17"/>
        <v>14312.223023380331</v>
      </c>
      <c r="N24" s="94">
        <f t="shared" ca="1" si="18"/>
        <v>157840.9311083348</v>
      </c>
      <c r="O24" s="84">
        <f t="shared" ca="1" si="35"/>
        <v>157840.9311083348</v>
      </c>
      <c r="P24" s="85">
        <f t="shared" si="19"/>
        <v>676</v>
      </c>
      <c r="Q24" s="90">
        <f>IFERROR(INDEX(Hoja1!$E$4:$E$38,MATCH(P24,Hoja1!$A$4:$A$38,0)),0)</f>
        <v>2221</v>
      </c>
      <c r="R24" s="87">
        <f t="shared" si="20"/>
        <v>615</v>
      </c>
      <c r="S24" s="90">
        <f>IFERROR(INDEX(Hoja1!$E$45:$E$79,MATCH(R24,Hoja1!$A$45:$A$79,0)),0)*($C$3/$B$3)</f>
        <v>-33492.688143256586</v>
      </c>
      <c r="T24" s="87">
        <f t="shared" si="2"/>
        <v>6765</v>
      </c>
      <c r="U24" s="90">
        <f>IFERROR(INDEX(Hoja1!$E$85:$E$130,MATCH(T24,Hoja1!$A$85:$A$130,0)),0)*($D$3/$B$3)</f>
        <v>-2131.647331786543</v>
      </c>
      <c r="V24" s="84">
        <f t="shared" si="3"/>
        <v>25200</v>
      </c>
      <c r="W24" s="90">
        <f>IFERROR(INDEX(Hoja1!$E$137:$E$189,MATCH(V24,Hoja1!$A$137:$A$189,0)),0)*($E$3/$B$3)</f>
        <v>9466.9391873401146</v>
      </c>
      <c r="AA24" s="87">
        <f t="shared" si="21"/>
        <v>676</v>
      </c>
      <c r="AB24" s="90">
        <f ca="1">IFERROR(INDEX(Hoja1!$W$4:$W$38,MATCH(AA24,Hoja1!$A$4:$A$38,0)),0)</f>
        <v>57516</v>
      </c>
      <c r="AC24" s="87">
        <f t="shared" si="22"/>
        <v>615</v>
      </c>
      <c r="AD24" s="90">
        <f ca="1">IFERROR(INDEX(Hoja1!$W$45:$W$79,MATCH(AC24,Hoja1!$A$45:$A$79,0)),0)*($C$3/$B$3)</f>
        <v>71327.358111725858</v>
      </c>
      <c r="AE24" s="87">
        <f t="shared" si="4"/>
        <v>6765</v>
      </c>
      <c r="AF24" s="90">
        <f ca="1">IFERROR(INDEX(Hoja1!$W$85:$W$130,MATCH(AE24,Hoja1!$A$85:$A$130,0)),0)*($D$3/$B$3)</f>
        <v>79841.701469450883</v>
      </c>
      <c r="AG24" s="84">
        <f t="shared" si="5"/>
        <v>25200</v>
      </c>
      <c r="AH24" s="90">
        <f ca="1">IFERROR(INDEX(Hoja1!$W$137:$W$189,MATCH(AG24,Hoja1!$A$137:$A$189,0)),0)*($E$3/$B$3)</f>
        <v>14312.223023380331</v>
      </c>
    </row>
    <row r="25" spans="1:34" s="86" customFormat="1" ht="7.5" customHeight="1" x14ac:dyDescent="0.25">
      <c r="A25" s="67">
        <f t="shared" si="1"/>
        <v>675.5</v>
      </c>
      <c r="B25" s="72">
        <f t="shared" si="6"/>
        <v>0</v>
      </c>
      <c r="C25" s="72">
        <f t="shared" si="7"/>
        <v>-33492.688143256586</v>
      </c>
      <c r="D25" s="72">
        <f t="shared" si="8"/>
        <v>6194.7873163186387</v>
      </c>
      <c r="E25" s="72">
        <f t="shared" si="9"/>
        <v>111.81424237015884</v>
      </c>
      <c r="F25" s="69">
        <f t="shared" si="10"/>
        <v>-27186.086584567791</v>
      </c>
      <c r="G25" s="83">
        <f t="shared" si="11"/>
        <v>-27186.086584567791</v>
      </c>
      <c r="H25" s="83">
        <f t="shared" ca="1" si="12"/>
        <v>183760.42344577311</v>
      </c>
      <c r="I25" s="69">
        <f t="shared" ca="1" si="13"/>
        <v>183760.42344577311</v>
      </c>
      <c r="J25" s="72">
        <f t="shared" si="14"/>
        <v>0</v>
      </c>
      <c r="K25" s="72">
        <f t="shared" ca="1" si="15"/>
        <v>71327.358111725858</v>
      </c>
      <c r="L25" s="72">
        <f t="shared" ca="1" si="16"/>
        <v>113327.57927300851</v>
      </c>
      <c r="M25" s="90">
        <f t="shared" ca="1" si="17"/>
        <v>-894.5139389612707</v>
      </c>
      <c r="N25" s="94">
        <f t="shared" ca="1" si="18"/>
        <v>196664.23043607592</v>
      </c>
      <c r="O25" s="84">
        <f t="shared" ca="1" si="35"/>
        <v>196664.23043607592</v>
      </c>
      <c r="P25" s="85">
        <f t="shared" si="19"/>
        <v>675.5</v>
      </c>
      <c r="Q25" s="90">
        <f>IFERROR(INDEX(Hoja1!$E$4:$E$38,MATCH(P25,Hoja1!$A$4:$A$38,0)),0)</f>
        <v>0</v>
      </c>
      <c r="R25" s="87">
        <f t="shared" si="20"/>
        <v>615</v>
      </c>
      <c r="S25" s="90">
        <f>IFERROR(INDEX(Hoja1!$E$45:$E$79,MATCH(R25,Hoja1!$A$45:$A$79,0)),0)*($C$3/$B$3)</f>
        <v>-33492.688143256586</v>
      </c>
      <c r="T25" s="87">
        <f t="shared" si="2"/>
        <v>6760</v>
      </c>
      <c r="U25" s="90">
        <f>IFERROR(INDEX(Hoja1!$E$85:$E$130,MATCH(T25,Hoja1!$A$85:$A$130,0)),0)*($D$3/$B$3)</f>
        <v>6194.7873163186387</v>
      </c>
      <c r="V25" s="84">
        <f t="shared" si="3"/>
        <v>25175</v>
      </c>
      <c r="W25" s="90">
        <f>IFERROR(INDEX(Hoja1!$E$137:$E$189,MATCH(V25,Hoja1!$A$137:$A$189,0)),0)*($E$3/$B$3)</f>
        <v>111.81424237015884</v>
      </c>
      <c r="AA25" s="87">
        <f t="shared" si="21"/>
        <v>675.5</v>
      </c>
      <c r="AB25" s="90">
        <f>IFERROR(INDEX(Hoja1!$W$4:$W$38,MATCH(AA25,Hoja1!$A$4:$A$38,0)),0)</f>
        <v>0</v>
      </c>
      <c r="AC25" s="87">
        <f t="shared" si="22"/>
        <v>615</v>
      </c>
      <c r="AD25" s="90">
        <f ca="1">IFERROR(INDEX(Hoja1!$W$45:$W$79,MATCH(AC25,Hoja1!$A$45:$A$79,0)),0)*($C$3/$B$3)</f>
        <v>71327.358111725858</v>
      </c>
      <c r="AE25" s="87">
        <f t="shared" si="4"/>
        <v>6760</v>
      </c>
      <c r="AF25" s="90">
        <f ca="1">IFERROR(INDEX(Hoja1!$W$85:$W$130,MATCH(AE25,Hoja1!$A$85:$A$130,0)),0)*($D$3/$B$3)</f>
        <v>113327.57927300851</v>
      </c>
      <c r="AG25" s="84">
        <f t="shared" si="5"/>
        <v>25175</v>
      </c>
      <c r="AH25" s="90">
        <f ca="1">IFERROR(INDEX(Hoja1!$W$137:$W$189,MATCH(AG25,Hoja1!$A$137:$A$189,0)),0)*($E$3/$B$3)</f>
        <v>-894.5139389612707</v>
      </c>
    </row>
    <row r="26" spans="1:34" s="86" customFormat="1" ht="7.5" customHeight="1" x14ac:dyDescent="0.25">
      <c r="A26" s="67">
        <f t="shared" si="1"/>
        <v>675</v>
      </c>
      <c r="B26" s="72">
        <f t="shared" si="6"/>
        <v>-2498</v>
      </c>
      <c r="C26" s="72">
        <f t="shared" si="7"/>
        <v>0</v>
      </c>
      <c r="D26" s="72">
        <f t="shared" si="8"/>
        <v>-3572.7610208816704</v>
      </c>
      <c r="E26" s="72">
        <f t="shared" si="9"/>
        <v>-782.69969659111189</v>
      </c>
      <c r="F26" s="69">
        <f t="shared" si="10"/>
        <v>-6853.4607174727826</v>
      </c>
      <c r="G26" s="83">
        <f t="shared" si="11"/>
        <v>-6853.4607174727826</v>
      </c>
      <c r="H26" s="83">
        <f t="shared" ca="1" si="12"/>
        <v>183234.98525789756</v>
      </c>
      <c r="I26" s="69">
        <f t="shared" ca="1" si="13"/>
        <v>183234.98525789756</v>
      </c>
      <c r="J26" s="72">
        <f t="shared" ca="1" si="14"/>
        <v>115684</v>
      </c>
      <c r="K26" s="72">
        <f t="shared" si="15"/>
        <v>0</v>
      </c>
      <c r="L26" s="72">
        <f t="shared" ca="1" si="16"/>
        <v>62668.43000773395</v>
      </c>
      <c r="M26" s="90">
        <f t="shared" ca="1" si="17"/>
        <v>4882.555250163603</v>
      </c>
      <c r="N26" s="94">
        <f t="shared" ca="1" si="18"/>
        <v>219310.21017708769</v>
      </c>
      <c r="O26" s="84">
        <f t="shared" ca="1" si="35"/>
        <v>219310.21017708769</v>
      </c>
      <c r="P26" s="85">
        <f t="shared" si="19"/>
        <v>675</v>
      </c>
      <c r="Q26" s="90">
        <f>IFERROR(INDEX(Hoja1!$E$4:$E$38,MATCH(P26,Hoja1!$A$4:$A$38,0)),0)</f>
        <v>-2498</v>
      </c>
      <c r="R26" s="87">
        <f t="shared" si="20"/>
        <v>614.5</v>
      </c>
      <c r="S26" s="90">
        <f>IFERROR(INDEX(Hoja1!$E$45:$E$79,MATCH(R26,Hoja1!$A$45:$A$79,0)),0)*($C$3/$B$3)</f>
        <v>0</v>
      </c>
      <c r="T26" s="87">
        <f t="shared" si="2"/>
        <v>6755</v>
      </c>
      <c r="U26" s="90">
        <f>IFERROR(INDEX(Hoja1!$E$85:$E$130,MATCH(T26,Hoja1!$A$85:$A$130,0)),0)*($D$3/$B$3)</f>
        <v>-3572.7610208816704</v>
      </c>
      <c r="V26" s="84">
        <f t="shared" si="3"/>
        <v>25150</v>
      </c>
      <c r="W26" s="90">
        <f>IFERROR(INDEX(Hoja1!$E$137:$E$189,MATCH(V26,Hoja1!$A$137:$A$189,0)),0)*($E$3/$B$3)</f>
        <v>-782.69969659111189</v>
      </c>
      <c r="AA26" s="87">
        <f t="shared" si="21"/>
        <v>675</v>
      </c>
      <c r="AB26" s="90">
        <f ca="1">IFERROR(INDEX(Hoja1!$W$4:$W$38,MATCH(AA26,Hoja1!$A$4:$A$38,0)),0)</f>
        <v>115684</v>
      </c>
      <c r="AC26" s="87">
        <f t="shared" si="22"/>
        <v>614.5</v>
      </c>
      <c r="AD26" s="90">
        <f>IFERROR(INDEX(Hoja1!$W$45:$W$79,MATCH(AC26,Hoja1!$A$45:$A$79,0)),0)*($C$3/$B$3)</f>
        <v>0</v>
      </c>
      <c r="AE26" s="87">
        <f t="shared" si="4"/>
        <v>6755</v>
      </c>
      <c r="AF26" s="90">
        <f ca="1">IFERROR(INDEX(Hoja1!$W$85:$W$130,MATCH(AE26,Hoja1!$A$85:$A$130,0)),0)*($D$3/$B$3)</f>
        <v>62668.43000773395</v>
      </c>
      <c r="AG26" s="84">
        <f t="shared" si="5"/>
        <v>25150</v>
      </c>
      <c r="AH26" s="90">
        <f ca="1">IFERROR(INDEX(Hoja1!$W$137:$W$189,MATCH(AG26,Hoja1!$A$137:$A$189,0)),0)*($E$3/$B$3)</f>
        <v>4882.555250163603</v>
      </c>
    </row>
    <row r="27" spans="1:34" s="86" customFormat="1" ht="7.5" customHeight="1" x14ac:dyDescent="0.25">
      <c r="A27" s="67">
        <f t="shared" si="1"/>
        <v>674.5</v>
      </c>
      <c r="B27" s="72">
        <f t="shared" si="6"/>
        <v>0</v>
      </c>
      <c r="C27" s="72">
        <f t="shared" si="7"/>
        <v>749.90421797846386</v>
      </c>
      <c r="D27" s="72">
        <f t="shared" si="8"/>
        <v>-2361.8252126836815</v>
      </c>
      <c r="E27" s="72">
        <f t="shared" si="9"/>
        <v>-782.69969659111189</v>
      </c>
      <c r="F27" s="69">
        <f t="shared" si="10"/>
        <v>-2394.6206912963298</v>
      </c>
      <c r="G27" s="83">
        <f t="shared" si="11"/>
        <v>-2394.6206912963298</v>
      </c>
      <c r="H27" s="83">
        <f t="shared" ca="1" si="12"/>
        <v>290935.22182759235</v>
      </c>
      <c r="I27" s="69">
        <f t="shared" ca="1" si="13"/>
        <v>290935.22182759235</v>
      </c>
      <c r="J27" s="72">
        <f t="shared" si="14"/>
        <v>0</v>
      </c>
      <c r="K27" s="72">
        <f t="shared" ca="1" si="15"/>
        <v>54723.896275804625</v>
      </c>
      <c r="L27" s="72">
        <f t="shared" ca="1" si="16"/>
        <v>231328.77030162411</v>
      </c>
      <c r="M27" s="90">
        <f t="shared" ca="1" si="17"/>
        <v>4882.555250163603</v>
      </c>
      <c r="N27" s="94">
        <f t="shared" ca="1" si="18"/>
        <v>194546.97405556546</v>
      </c>
      <c r="O27" s="84">
        <f t="shared" ca="1" si="35"/>
        <v>194546.97405556546</v>
      </c>
      <c r="P27" s="85">
        <f t="shared" si="19"/>
        <v>674.5</v>
      </c>
      <c r="Q27" s="90">
        <f>IFERROR(INDEX(Hoja1!$E$4:$E$38,MATCH(P27,Hoja1!$A$4:$A$38,0)),0)</f>
        <v>0</v>
      </c>
      <c r="R27" s="87">
        <f t="shared" si="20"/>
        <v>614</v>
      </c>
      <c r="S27" s="90">
        <f>IFERROR(INDEX(Hoja1!$E$45:$E$79,MATCH(R27,Hoja1!$A$45:$A$79,0)),0)*($C$3/$B$3)</f>
        <v>749.90421797846386</v>
      </c>
      <c r="T27" s="87">
        <f t="shared" si="2"/>
        <v>6750</v>
      </c>
      <c r="U27" s="90">
        <f>IFERROR(INDEX(Hoja1!$E$85:$E$130,MATCH(T27,Hoja1!$A$85:$A$130,0)),0)*($D$3/$B$3)</f>
        <v>-2361.8252126836815</v>
      </c>
      <c r="V27" s="84">
        <f t="shared" si="3"/>
        <v>25150</v>
      </c>
      <c r="W27" s="90">
        <f>IFERROR(INDEX(Hoja1!$E$137:$E$189,MATCH(V27,Hoja1!$A$137:$A$189,0)),0)*($E$3/$B$3)</f>
        <v>-782.69969659111189</v>
      </c>
      <c r="AA27" s="87">
        <f t="shared" si="21"/>
        <v>674.5</v>
      </c>
      <c r="AB27" s="90">
        <f>IFERROR(INDEX(Hoja1!$W$4:$W$38,MATCH(AA27,Hoja1!$A$4:$A$38,0)),0)</f>
        <v>0</v>
      </c>
      <c r="AC27" s="87">
        <f t="shared" si="22"/>
        <v>614</v>
      </c>
      <c r="AD27" s="90">
        <f ca="1">IFERROR(INDEX(Hoja1!$W$45:$W$79,MATCH(AC27,Hoja1!$A$45:$A$79,0)),0)*($C$3/$B$3)</f>
        <v>54723.896275804625</v>
      </c>
      <c r="AE27" s="87">
        <f t="shared" si="4"/>
        <v>6750</v>
      </c>
      <c r="AF27" s="90">
        <f ca="1">IFERROR(INDEX(Hoja1!$W$85:$W$130,MATCH(AE27,Hoja1!$A$85:$A$130,0)),0)*($D$3/$B$3)</f>
        <v>231328.77030162411</v>
      </c>
      <c r="AG27" s="84">
        <f t="shared" si="5"/>
        <v>25150</v>
      </c>
      <c r="AH27" s="90">
        <f ca="1">IFERROR(INDEX(Hoja1!$W$137:$W$189,MATCH(AG27,Hoja1!$A$137:$A$189,0)),0)*($E$3/$B$3)</f>
        <v>4882.555250163603</v>
      </c>
    </row>
    <row r="28" spans="1:34" s="86" customFormat="1" ht="7.5" customHeight="1" x14ac:dyDescent="0.25">
      <c r="A28" s="67">
        <f t="shared" si="1"/>
        <v>674</v>
      </c>
      <c r="B28" s="72">
        <f t="shared" si="6"/>
        <v>1690</v>
      </c>
      <c r="C28" s="72">
        <f t="shared" si="7"/>
        <v>0</v>
      </c>
      <c r="D28" s="72">
        <f t="shared" si="8"/>
        <v>-8026.2026295436963</v>
      </c>
      <c r="E28" s="72">
        <f t="shared" si="9"/>
        <v>-298.17131298709023</v>
      </c>
      <c r="F28" s="69">
        <f t="shared" si="10"/>
        <v>-6634.3739425307867</v>
      </c>
      <c r="G28" s="83">
        <f t="shared" si="11"/>
        <v>-6634.3739425307867</v>
      </c>
      <c r="H28" s="83">
        <f t="shared" ca="1" si="12"/>
        <v>109470.71508120651</v>
      </c>
      <c r="I28" s="69">
        <f t="shared" ca="1" si="13"/>
        <v>109470.71508120651</v>
      </c>
      <c r="J28" s="72">
        <f t="shared" ca="1" si="14"/>
        <v>63853</v>
      </c>
      <c r="K28" s="72">
        <f t="shared" si="15"/>
        <v>0</v>
      </c>
      <c r="L28" s="72">
        <f t="shared" ca="1" si="16"/>
        <v>44164.129930394432</v>
      </c>
      <c r="M28" s="90">
        <f t="shared" ca="1" si="17"/>
        <v>1453.585150812065</v>
      </c>
      <c r="N28" s="94">
        <f t="shared" ca="1" si="18"/>
        <v>170646.07517401394</v>
      </c>
      <c r="O28" s="84">
        <f t="shared" ca="1" si="35"/>
        <v>170646.07517401394</v>
      </c>
      <c r="P28" s="85">
        <f t="shared" si="19"/>
        <v>674</v>
      </c>
      <c r="Q28" s="90">
        <f>IFERROR(INDEX(Hoja1!$E$4:$E$38,MATCH(P28,Hoja1!$A$4:$A$38,0)),0)</f>
        <v>1690</v>
      </c>
      <c r="R28" s="87">
        <f t="shared" si="20"/>
        <v>613.5</v>
      </c>
      <c r="S28" s="90">
        <f>IFERROR(INDEX(Hoja1!$E$45:$E$79,MATCH(R28,Hoja1!$A$45:$A$79,0)),0)*($C$3/$B$3)</f>
        <v>0</v>
      </c>
      <c r="T28" s="87">
        <f t="shared" si="2"/>
        <v>6745</v>
      </c>
      <c r="U28" s="90">
        <f>IFERROR(INDEX(Hoja1!$E$85:$E$130,MATCH(T28,Hoja1!$A$85:$A$130,0)),0)*($D$3/$B$3)</f>
        <v>-8026.2026295436963</v>
      </c>
      <c r="V28" s="84">
        <f t="shared" si="3"/>
        <v>25125</v>
      </c>
      <c r="W28" s="90">
        <f>IFERROR(INDEX(Hoja1!$E$137:$E$189,MATCH(V28,Hoja1!$A$137:$A$189,0)),0)*($E$3/$B$3)</f>
        <v>-298.17131298709023</v>
      </c>
      <c r="AA28" s="87">
        <f t="shared" si="21"/>
        <v>674</v>
      </c>
      <c r="AB28" s="90">
        <f ca="1">IFERROR(INDEX(Hoja1!$W$4:$W$38,MATCH(AA28,Hoja1!$A$4:$A$38,0)),0)</f>
        <v>63853</v>
      </c>
      <c r="AC28" s="87">
        <f t="shared" si="22"/>
        <v>613.5</v>
      </c>
      <c r="AD28" s="90">
        <f>IFERROR(INDEX(Hoja1!$W$45:$W$79,MATCH(AC28,Hoja1!$A$45:$A$79,0)),0)*($C$3/$B$3)</f>
        <v>0</v>
      </c>
      <c r="AE28" s="87">
        <f t="shared" si="4"/>
        <v>6745</v>
      </c>
      <c r="AF28" s="90">
        <f ca="1">IFERROR(INDEX(Hoja1!$W$85:$W$130,MATCH(AE28,Hoja1!$A$85:$A$130,0)),0)*($D$3/$B$3)</f>
        <v>44164.129930394432</v>
      </c>
      <c r="AG28" s="84">
        <f t="shared" si="5"/>
        <v>25125</v>
      </c>
      <c r="AH28" s="90">
        <f ca="1">IFERROR(INDEX(Hoja1!$W$137:$W$189,MATCH(AG28,Hoja1!$A$137:$A$189,0)),0)*($E$3/$B$3)</f>
        <v>1453.585150812065</v>
      </c>
    </row>
    <row r="29" spans="1:34" s="86" customFormat="1" ht="7.5" customHeight="1" x14ac:dyDescent="0.25">
      <c r="A29" s="67">
        <f t="shared" si="1"/>
        <v>673.5</v>
      </c>
      <c r="B29" s="72">
        <f t="shared" si="6"/>
        <v>0</v>
      </c>
      <c r="C29" s="72">
        <f t="shared" si="7"/>
        <v>744.44375037182465</v>
      </c>
      <c r="D29" s="72">
        <f t="shared" si="8"/>
        <v>-7365.69218870843</v>
      </c>
      <c r="E29" s="72">
        <f t="shared" si="9"/>
        <v>-2907.1703016241299</v>
      </c>
      <c r="F29" s="69">
        <f t="shared" si="10"/>
        <v>-9528.4187399607363</v>
      </c>
      <c r="G29" s="83">
        <f t="shared" si="11"/>
        <v>-9528.4187399607363</v>
      </c>
      <c r="H29" s="83">
        <f t="shared" ca="1" si="12"/>
        <v>111532.2886132429</v>
      </c>
      <c r="I29" s="69">
        <f t="shared" ca="1" si="13"/>
        <v>111532.2886132429</v>
      </c>
      <c r="J29" s="72">
        <f t="shared" si="14"/>
        <v>0</v>
      </c>
      <c r="K29" s="72">
        <f t="shared" ca="1" si="15"/>
        <v>26078.283211374859</v>
      </c>
      <c r="L29" s="72">
        <f t="shared" ca="1" si="16"/>
        <v>73937.138437741683</v>
      </c>
      <c r="M29" s="90">
        <f t="shared" ca="1" si="17"/>
        <v>11516.86696412636</v>
      </c>
      <c r="N29" s="94">
        <f t="shared" ca="1" si="18"/>
        <v>132575.41804390505</v>
      </c>
      <c r="O29" s="84">
        <f t="shared" ca="1" si="35"/>
        <v>132575.41804390505</v>
      </c>
      <c r="P29" s="85">
        <f t="shared" si="19"/>
        <v>673.5</v>
      </c>
      <c r="Q29" s="90">
        <f>IFERROR(INDEX(Hoja1!$E$4:$E$38,MATCH(P29,Hoja1!$A$4:$A$38,0)),0)</f>
        <v>0</v>
      </c>
      <c r="R29" s="87">
        <f t="shared" si="20"/>
        <v>613</v>
      </c>
      <c r="S29" s="90">
        <f>IFERROR(INDEX(Hoja1!$E$45:$E$79,MATCH(R29,Hoja1!$A$45:$A$79,0)),0)*($C$3/$B$3)</f>
        <v>744.44375037182465</v>
      </c>
      <c r="T29" s="87">
        <f t="shared" si="2"/>
        <v>6740</v>
      </c>
      <c r="U29" s="90">
        <f>IFERROR(INDEX(Hoja1!$E$85:$E$130,MATCH(T29,Hoja1!$A$85:$A$130,0)),0)*($D$3/$B$3)</f>
        <v>-7365.69218870843</v>
      </c>
      <c r="V29" s="84">
        <f t="shared" si="3"/>
        <v>25100</v>
      </c>
      <c r="W29" s="90">
        <f>IFERROR(INDEX(Hoja1!$E$137:$E$189,MATCH(V29,Hoja1!$A$137:$A$189,0)),0)*($E$3/$B$3)</f>
        <v>-2907.1703016241299</v>
      </c>
      <c r="AA29" s="87">
        <f t="shared" si="21"/>
        <v>673.5</v>
      </c>
      <c r="AB29" s="90">
        <f>IFERROR(INDEX(Hoja1!$W$4:$W$38,MATCH(AA29,Hoja1!$A$4:$A$38,0)),0)</f>
        <v>0</v>
      </c>
      <c r="AC29" s="87">
        <f t="shared" si="22"/>
        <v>613</v>
      </c>
      <c r="AD29" s="90">
        <f ca="1">IFERROR(INDEX(Hoja1!$W$45:$W$79,MATCH(AC29,Hoja1!$A$45:$A$79,0)),0)*($C$3/$B$3)</f>
        <v>26078.283211374859</v>
      </c>
      <c r="AE29" s="87">
        <f t="shared" si="4"/>
        <v>6740</v>
      </c>
      <c r="AF29" s="90">
        <f ca="1">IFERROR(INDEX(Hoja1!$W$85:$W$130,MATCH(AE29,Hoja1!$A$85:$A$130,0)),0)*($D$3/$B$3)</f>
        <v>73937.138437741683</v>
      </c>
      <c r="AG29" s="84">
        <f t="shared" si="5"/>
        <v>25100</v>
      </c>
      <c r="AH29" s="90">
        <f ca="1">IFERROR(INDEX(Hoja1!$W$137:$W$189,MATCH(AG29,Hoja1!$A$137:$A$189,0)),0)*($E$3/$B$3)</f>
        <v>11516.86696412636</v>
      </c>
    </row>
    <row r="30" spans="1:34" s="86" customFormat="1" ht="7.5" customHeight="1" x14ac:dyDescent="0.25">
      <c r="A30" s="67">
        <f t="shared" si="1"/>
        <v>673</v>
      </c>
      <c r="B30" s="72">
        <f t="shared" si="6"/>
        <v>4038</v>
      </c>
      <c r="C30" s="72">
        <f t="shared" si="7"/>
        <v>0</v>
      </c>
      <c r="D30" s="72">
        <f t="shared" si="8"/>
        <v>-3102.397525135344</v>
      </c>
      <c r="E30" s="72">
        <f t="shared" si="9"/>
        <v>-223.62848474031767</v>
      </c>
      <c r="F30" s="69">
        <f t="shared" si="10"/>
        <v>711.97399012433834</v>
      </c>
      <c r="G30" s="83">
        <f t="shared" si="11"/>
        <v>711.97399012433834</v>
      </c>
      <c r="H30" s="83">
        <f t="shared" ca="1" si="12"/>
        <v>176723.25043726576</v>
      </c>
      <c r="I30" s="69">
        <f t="shared" ca="1" si="13"/>
        <v>176723.25043726576</v>
      </c>
      <c r="J30" s="72">
        <f t="shared" ca="1" si="14"/>
        <v>121699</v>
      </c>
      <c r="K30" s="72">
        <f t="shared" si="15"/>
        <v>0</v>
      </c>
      <c r="L30" s="72">
        <f t="shared" ca="1" si="16"/>
        <v>54912.436194895592</v>
      </c>
      <c r="M30" s="90">
        <f t="shared" ca="1" si="17"/>
        <v>111.81424237015884</v>
      </c>
      <c r="N30" s="94">
        <f t="shared" ca="1" si="18"/>
        <v>130428.83195510342</v>
      </c>
      <c r="O30" s="84">
        <f t="shared" ca="1" si="35"/>
        <v>130428.83195510342</v>
      </c>
      <c r="P30" s="85">
        <f t="shared" si="19"/>
        <v>673</v>
      </c>
      <c r="Q30" s="90">
        <f>IFERROR(INDEX(Hoja1!$E$4:$E$38,MATCH(P30,Hoja1!$A$4:$A$38,0)),0)</f>
        <v>4038</v>
      </c>
      <c r="R30" s="87">
        <f t="shared" si="20"/>
        <v>612.5</v>
      </c>
      <c r="S30" s="90">
        <f>IFERROR(INDEX(Hoja1!$E$45:$E$79,MATCH(R30,Hoja1!$A$45:$A$79,0)),0)*($C$3/$B$3)</f>
        <v>0</v>
      </c>
      <c r="T30" s="87">
        <f t="shared" si="2"/>
        <v>6735</v>
      </c>
      <c r="U30" s="90">
        <f>IFERROR(INDEX(Hoja1!$E$85:$E$130,MATCH(T30,Hoja1!$A$85:$A$130,0)),0)*($D$3/$B$3)</f>
        <v>-3102.397525135344</v>
      </c>
      <c r="V30" s="84">
        <f t="shared" si="3"/>
        <v>25075</v>
      </c>
      <c r="W30" s="90">
        <f>IFERROR(INDEX(Hoja1!$E$137:$E$189,MATCH(V30,Hoja1!$A$137:$A$189,0)),0)*($E$3/$B$3)</f>
        <v>-223.62848474031767</v>
      </c>
      <c r="AA30" s="87">
        <f t="shared" si="21"/>
        <v>673</v>
      </c>
      <c r="AB30" s="90">
        <f ca="1">IFERROR(INDEX(Hoja1!$W$4:$W$38,MATCH(AA30,Hoja1!$A$4:$A$38,0)),0)</f>
        <v>121699</v>
      </c>
      <c r="AC30" s="87">
        <f t="shared" si="22"/>
        <v>612.5</v>
      </c>
      <c r="AD30" s="90">
        <f>IFERROR(INDEX(Hoja1!$W$45:$W$79,MATCH(AC30,Hoja1!$A$45:$A$79,0)),0)*($C$3/$B$3)</f>
        <v>0</v>
      </c>
      <c r="AE30" s="87">
        <f t="shared" si="4"/>
        <v>6735</v>
      </c>
      <c r="AF30" s="90">
        <f ca="1">IFERROR(INDEX(Hoja1!$W$85:$W$130,MATCH(AE30,Hoja1!$A$85:$A$130,0)),0)*($D$3/$B$3)</f>
        <v>54912.436194895592</v>
      </c>
      <c r="AG30" s="84">
        <f t="shared" si="5"/>
        <v>25075</v>
      </c>
      <c r="AH30" s="90">
        <f ca="1">IFERROR(INDEX(Hoja1!$W$137:$W$189,MATCH(AG30,Hoja1!$A$137:$A$189,0)),0)*($E$3/$B$3)</f>
        <v>111.81424237015884</v>
      </c>
    </row>
    <row r="31" spans="1:34" s="86" customFormat="1" ht="7.5" customHeight="1" x14ac:dyDescent="0.25">
      <c r="A31" s="67">
        <f>+A32+$A$3</f>
        <v>672.5</v>
      </c>
      <c r="B31" s="72">
        <f t="shared" si="6"/>
        <v>0</v>
      </c>
      <c r="C31" s="72">
        <f t="shared" si="7"/>
        <v>-1275.9292640847166</v>
      </c>
      <c r="D31" s="72">
        <f t="shared" si="8"/>
        <v>-6274.8491879350349</v>
      </c>
      <c r="E31" s="72">
        <f t="shared" si="9"/>
        <v>-223.62848474031767</v>
      </c>
      <c r="F31" s="69">
        <f t="shared" si="10"/>
        <v>-7774.4069367600687</v>
      </c>
      <c r="G31" s="83">
        <f t="shared" si="11"/>
        <v>-7774.4069367600687</v>
      </c>
      <c r="H31" s="83">
        <f t="shared" ca="1" si="12"/>
        <v>103030.9568148016</v>
      </c>
      <c r="I31" s="69">
        <f t="shared" ca="1" si="13"/>
        <v>103030.9568148016</v>
      </c>
      <c r="J31" s="72">
        <f t="shared" si="14"/>
        <v>0</v>
      </c>
      <c r="K31" s="72">
        <f t="shared" ca="1" si="15"/>
        <v>36647.928341959661</v>
      </c>
      <c r="L31" s="72">
        <f t="shared" ca="1" si="16"/>
        <v>66271.214230471771</v>
      </c>
      <c r="M31" s="90">
        <f t="shared" ca="1" si="17"/>
        <v>111.81424237015884</v>
      </c>
      <c r="N31" s="94">
        <f t="shared" ca="1" si="18"/>
        <v>156778.41053998852</v>
      </c>
      <c r="O31" s="84">
        <f t="shared" ca="1" si="35"/>
        <v>156778.41053998852</v>
      </c>
      <c r="P31" s="85">
        <f t="shared" si="19"/>
        <v>672.5</v>
      </c>
      <c r="Q31" s="90">
        <f>IFERROR(INDEX(Hoja1!$E$4:$E$38,MATCH(P31,Hoja1!$A$4:$A$38,0)),0)</f>
        <v>0</v>
      </c>
      <c r="R31" s="87">
        <f t="shared" si="20"/>
        <v>612</v>
      </c>
      <c r="S31" s="90">
        <f>IFERROR(INDEX(Hoja1!$E$45:$E$79,MATCH(R31,Hoja1!$A$45:$A$79,0)),0)*($C$3/$B$3)</f>
        <v>-1275.9292640847166</v>
      </c>
      <c r="T31" s="87">
        <f t="shared" si="2"/>
        <v>6730</v>
      </c>
      <c r="U31" s="90">
        <f>IFERROR(INDEX(Hoja1!$E$85:$E$130,MATCH(T31,Hoja1!$A$85:$A$130,0)),0)*($D$3/$B$3)</f>
        <v>-6274.8491879350349</v>
      </c>
      <c r="V31" s="84">
        <f t="shared" si="3"/>
        <v>25075</v>
      </c>
      <c r="W31" s="90">
        <f>IFERROR(INDEX(Hoja1!$E$137:$E$189,MATCH(V31,Hoja1!$A$137:$A$189,0)),0)*($E$3/$B$3)</f>
        <v>-223.62848474031767</v>
      </c>
      <c r="AA31" s="87">
        <f t="shared" si="21"/>
        <v>672.5</v>
      </c>
      <c r="AB31" s="90">
        <f>IFERROR(INDEX(Hoja1!$W$4:$W$38,MATCH(AA31,Hoja1!$A$4:$A$38,0)),0)</f>
        <v>0</v>
      </c>
      <c r="AC31" s="87">
        <f t="shared" si="22"/>
        <v>612</v>
      </c>
      <c r="AD31" s="90">
        <f ca="1">IFERROR(INDEX(Hoja1!$W$45:$W$79,MATCH(AC31,Hoja1!$A$45:$A$79,0)),0)*($C$3/$B$3)</f>
        <v>36647.928341959661</v>
      </c>
      <c r="AE31" s="87">
        <f t="shared" si="4"/>
        <v>6730</v>
      </c>
      <c r="AF31" s="90">
        <f ca="1">IFERROR(INDEX(Hoja1!$W$85:$W$130,MATCH(AE31,Hoja1!$A$85:$A$130,0)),0)*($D$3/$B$3)</f>
        <v>66271.214230471771</v>
      </c>
      <c r="AG31" s="84">
        <f t="shared" si="5"/>
        <v>25075</v>
      </c>
      <c r="AH31" s="90">
        <f ca="1">IFERROR(INDEX(Hoja1!$W$137:$W$189,MATCH(AG31,Hoja1!$A$137:$A$189,0)),0)*($E$3/$B$3)</f>
        <v>111.81424237015884</v>
      </c>
    </row>
    <row r="32" spans="1:34" s="86" customFormat="1" ht="7.5" customHeight="1" x14ac:dyDescent="0.25">
      <c r="A32" s="88">
        <f>+ROUND(Hoja1!A3,0)</f>
        <v>672</v>
      </c>
      <c r="B32" s="72">
        <f t="shared" si="6"/>
        <v>-5839</v>
      </c>
      <c r="C32" s="72">
        <f t="shared" si="7"/>
        <v>0</v>
      </c>
      <c r="D32" s="72">
        <f t="shared" si="8"/>
        <v>-9767.5483372003091</v>
      </c>
      <c r="E32" s="72">
        <f t="shared" si="9"/>
        <v>-372.71414123386279</v>
      </c>
      <c r="F32" s="69">
        <f t="shared" si="10"/>
        <v>-15979.262478434171</v>
      </c>
      <c r="G32" s="83">
        <f t="shared" si="11"/>
        <v>-15979.262478434171</v>
      </c>
      <c r="H32" s="83">
        <f t="shared" ca="1" si="12"/>
        <v>190581.02436789815</v>
      </c>
      <c r="I32" s="69">
        <f t="shared" ca="1" si="13"/>
        <v>190581.02436789815</v>
      </c>
      <c r="J32" s="72">
        <f t="shared" ca="1" si="14"/>
        <v>82177</v>
      </c>
      <c r="K32" s="72">
        <f t="shared" si="15"/>
        <v>0</v>
      </c>
      <c r="L32" s="72">
        <f t="shared" ca="1" si="16"/>
        <v>100837.92730085073</v>
      </c>
      <c r="M32" s="90">
        <f t="shared" ca="1" si="17"/>
        <v>7566.0970670474144</v>
      </c>
      <c r="N32" s="94">
        <f t="shared" ca="1" si="18"/>
        <v>124972.77293116781</v>
      </c>
      <c r="O32" s="84">
        <f t="shared" ca="1" si="35"/>
        <v>124972.77293116781</v>
      </c>
      <c r="P32" s="85">
        <f t="shared" si="19"/>
        <v>672</v>
      </c>
      <c r="Q32" s="90">
        <f>IFERROR(INDEX(Hoja1!$E$4:$E$38,MATCH(P32,Hoja1!$A$4:$A$38,0)),0)</f>
        <v>-5839</v>
      </c>
      <c r="R32" s="87">
        <f t="shared" si="20"/>
        <v>611.5</v>
      </c>
      <c r="S32" s="90">
        <f>IFERROR(INDEX(Hoja1!$E$45:$E$79,MATCH(R32,Hoja1!$A$45:$A$79,0)),0)*($C$3/$B$3)</f>
        <v>0</v>
      </c>
      <c r="T32" s="87">
        <f t="shared" si="2"/>
        <v>6725</v>
      </c>
      <c r="U32" s="90">
        <f>IFERROR(INDEX(Hoja1!$E$85:$E$130,MATCH(T32,Hoja1!$A$85:$A$130,0)),0)*($D$3/$B$3)</f>
        <v>-9767.5483372003091</v>
      </c>
      <c r="V32" s="84">
        <f t="shared" si="3"/>
        <v>25050</v>
      </c>
      <c r="W32" s="90">
        <f>IFERROR(INDEX(Hoja1!$E$137:$E$189,MATCH(V32,Hoja1!$A$137:$A$189,0)),0)*($E$3/$B$3)</f>
        <v>-372.71414123386279</v>
      </c>
      <c r="AA32" s="87">
        <f t="shared" si="21"/>
        <v>672</v>
      </c>
      <c r="AB32" s="90">
        <f ca="1">IFERROR(INDEX(Hoja1!$W$4:$W$38,MATCH(AA32,Hoja1!$A$4:$A$38,0)),0)</f>
        <v>82177</v>
      </c>
      <c r="AC32" s="87">
        <f t="shared" si="22"/>
        <v>611.5</v>
      </c>
      <c r="AD32" s="90">
        <f>IFERROR(INDEX(Hoja1!$W$45:$W$79,MATCH(AC32,Hoja1!$A$45:$A$79,0)),0)*($C$3/$B$3)</f>
        <v>0</v>
      </c>
      <c r="AE32" s="87">
        <f t="shared" si="4"/>
        <v>6725</v>
      </c>
      <c r="AF32" s="90">
        <f ca="1">IFERROR(INDEX(Hoja1!$W$85:$W$130,MATCH(AE32,Hoja1!$A$85:$A$130,0)),0)*($D$3/$B$3)</f>
        <v>100837.92730085073</v>
      </c>
      <c r="AG32" s="84">
        <f t="shared" si="5"/>
        <v>25050</v>
      </c>
      <c r="AH32" s="90">
        <f ca="1">IFERROR(INDEX(Hoja1!$W$137:$W$189,MATCH(AG32,Hoja1!$A$137:$A$189,0)),0)*($E$3/$B$3)</f>
        <v>7566.0970670474144</v>
      </c>
    </row>
    <row r="33" spans="1:34" s="86" customFormat="1" ht="7.5" customHeight="1" x14ac:dyDescent="0.25">
      <c r="A33" s="67">
        <f>+A32-$A$3</f>
        <v>671.5</v>
      </c>
      <c r="B33" s="72">
        <f t="shared" si="6"/>
        <v>0</v>
      </c>
      <c r="C33" s="72">
        <f t="shared" si="7"/>
        <v>-2282.4754595752274</v>
      </c>
      <c r="D33" s="72">
        <f t="shared" si="8"/>
        <v>-11929.218870843</v>
      </c>
      <c r="E33" s="72">
        <f t="shared" si="9"/>
        <v>335.44272711047654</v>
      </c>
      <c r="F33" s="69">
        <f t="shared" si="10"/>
        <v>-13876.251603307752</v>
      </c>
      <c r="G33" s="83">
        <f t="shared" si="11"/>
        <v>-13876.251603307752</v>
      </c>
      <c r="H33" s="83">
        <f t="shared" ca="1" si="12"/>
        <v>81306.337610803734</v>
      </c>
      <c r="I33" s="69">
        <f t="shared" ca="1" si="13"/>
        <v>81306.337610803734</v>
      </c>
      <c r="J33" s="72">
        <f t="shared" si="14"/>
        <v>0</v>
      </c>
      <c r="K33" s="72">
        <f t="shared" ca="1" si="15"/>
        <v>23581.029359271819</v>
      </c>
      <c r="L33" s="72">
        <f t="shared" ca="1" si="16"/>
        <v>57464.408352668215</v>
      </c>
      <c r="M33" s="90">
        <f t="shared" ca="1" si="17"/>
        <v>260.89989886370392</v>
      </c>
      <c r="N33" s="94">
        <f t="shared" ca="1" si="18"/>
        <v>121810.91799036232</v>
      </c>
      <c r="O33" s="84">
        <f t="shared" ca="1" si="35"/>
        <v>121810.91799036232</v>
      </c>
      <c r="P33" s="85">
        <f t="shared" si="19"/>
        <v>671.5</v>
      </c>
      <c r="Q33" s="90">
        <f>IFERROR(INDEX(Hoja1!$E$4:$E$38,MATCH(P33,Hoja1!$A$4:$A$38,0)),0)</f>
        <v>0</v>
      </c>
      <c r="R33" s="87">
        <f t="shared" si="20"/>
        <v>611</v>
      </c>
      <c r="S33" s="90">
        <f>IFERROR(INDEX(Hoja1!$E$45:$E$79,MATCH(R33,Hoja1!$A$45:$A$79,0)),0)*($C$3/$B$3)</f>
        <v>-2282.4754595752274</v>
      </c>
      <c r="T33" s="87">
        <f t="shared" si="2"/>
        <v>6720</v>
      </c>
      <c r="U33" s="90">
        <f>IFERROR(INDEX(Hoja1!$E$85:$E$130,MATCH(T33,Hoja1!$A$85:$A$130,0)),0)*($D$3/$B$3)</f>
        <v>-11929.218870843</v>
      </c>
      <c r="V33" s="84">
        <f t="shared" si="3"/>
        <v>25025</v>
      </c>
      <c r="W33" s="90">
        <f>IFERROR(INDEX(Hoja1!$E$137:$E$189,MATCH(V33,Hoja1!$A$137:$A$189,0)),0)*($E$3/$B$3)</f>
        <v>335.44272711047654</v>
      </c>
      <c r="AA33" s="87">
        <f t="shared" si="21"/>
        <v>671.5</v>
      </c>
      <c r="AB33" s="90">
        <f>IFERROR(INDEX(Hoja1!$W$4:$W$38,MATCH(AA33,Hoja1!$A$4:$A$38,0)),0)</f>
        <v>0</v>
      </c>
      <c r="AC33" s="87">
        <f t="shared" si="22"/>
        <v>611</v>
      </c>
      <c r="AD33" s="90">
        <f ca="1">IFERROR(INDEX(Hoja1!$W$45:$W$79,MATCH(AC33,Hoja1!$A$45:$A$79,0)),0)*($C$3/$B$3)</f>
        <v>23581.029359271819</v>
      </c>
      <c r="AE33" s="87">
        <f t="shared" si="4"/>
        <v>6720</v>
      </c>
      <c r="AF33" s="90">
        <f ca="1">IFERROR(INDEX(Hoja1!$W$85:$W$130,MATCH(AE33,Hoja1!$A$85:$A$130,0)),0)*($D$3/$B$3)</f>
        <v>57464.408352668215</v>
      </c>
      <c r="AG33" s="84">
        <f t="shared" si="5"/>
        <v>25025</v>
      </c>
      <c r="AH33" s="90">
        <f ca="1">IFERROR(INDEX(Hoja1!$W$137:$W$189,MATCH(AG33,Hoja1!$A$137:$A$189,0)),0)*($E$3/$B$3)</f>
        <v>260.89989886370392</v>
      </c>
    </row>
    <row r="34" spans="1:34" s="86" customFormat="1" ht="7.5" customHeight="1" x14ac:dyDescent="0.25">
      <c r="A34" s="67">
        <f t="shared" ref="A34:A60" si="36">+A33-$A$3</f>
        <v>671</v>
      </c>
      <c r="B34" s="72">
        <f t="shared" si="6"/>
        <v>-12462</v>
      </c>
      <c r="C34" s="72">
        <f t="shared" si="7"/>
        <v>0</v>
      </c>
      <c r="D34" s="72">
        <f t="shared" si="8"/>
        <v>-10758.31399845321</v>
      </c>
      <c r="E34" s="72">
        <f t="shared" si="9"/>
        <v>-8833.3251472425472</v>
      </c>
      <c r="F34" s="69">
        <f t="shared" si="10"/>
        <v>-32053.639145695757</v>
      </c>
      <c r="G34" s="83">
        <f t="shared" si="11"/>
        <v>-32053.639145695757</v>
      </c>
      <c r="H34" s="83">
        <f t="shared" ca="1" si="12"/>
        <v>93545.391992385034</v>
      </c>
      <c r="I34" s="69">
        <f t="shared" ca="1" si="13"/>
        <v>93545.391992385034</v>
      </c>
      <c r="J34" s="72">
        <f t="shared" ca="1" si="14"/>
        <v>73966</v>
      </c>
      <c r="K34" s="72">
        <f t="shared" si="15"/>
        <v>0</v>
      </c>
      <c r="L34" s="72">
        <f t="shared" ca="1" si="16"/>
        <v>15852.250580046404</v>
      </c>
      <c r="M34" s="90">
        <f t="shared" ca="1" si="17"/>
        <v>3727.141412338628</v>
      </c>
      <c r="N34" s="94">
        <f t="shared" ca="1" si="18"/>
        <v>100836.47639954784</v>
      </c>
      <c r="O34" s="84">
        <f t="shared" ca="1" si="35"/>
        <v>100836.47639954784</v>
      </c>
      <c r="P34" s="85">
        <f t="shared" si="19"/>
        <v>671</v>
      </c>
      <c r="Q34" s="90">
        <f>IFERROR(INDEX(Hoja1!$E$4:$E$38,MATCH(P34,Hoja1!$A$4:$A$38,0)),0)</f>
        <v>-12462</v>
      </c>
      <c r="R34" s="87">
        <f t="shared" si="20"/>
        <v>610.5</v>
      </c>
      <c r="S34" s="90">
        <f>IFERROR(INDEX(Hoja1!$E$45:$E$79,MATCH(R34,Hoja1!$A$45:$A$79,0)),0)*($C$3/$B$3)</f>
        <v>0</v>
      </c>
      <c r="T34" s="87">
        <f t="shared" si="2"/>
        <v>6715</v>
      </c>
      <c r="U34" s="90">
        <f>IFERROR(INDEX(Hoja1!$E$85:$E$130,MATCH(T34,Hoja1!$A$85:$A$130,0)),0)*($D$3/$B$3)</f>
        <v>-10758.31399845321</v>
      </c>
      <c r="V34" s="84">
        <f t="shared" si="3"/>
        <v>25000</v>
      </c>
      <c r="W34" s="90">
        <f>IFERROR(INDEX(Hoja1!$E$137:$E$189,MATCH(V34,Hoja1!$A$137:$A$189,0)),0)*($E$3/$B$3)</f>
        <v>-8833.3251472425472</v>
      </c>
      <c r="AA34" s="87">
        <f t="shared" si="21"/>
        <v>671</v>
      </c>
      <c r="AB34" s="90">
        <f ca="1">IFERROR(INDEX(Hoja1!$W$4:$W$38,MATCH(AA34,Hoja1!$A$4:$A$38,0)),0)</f>
        <v>73966</v>
      </c>
      <c r="AC34" s="87">
        <f t="shared" si="22"/>
        <v>610.5</v>
      </c>
      <c r="AD34" s="90">
        <f>IFERROR(INDEX(Hoja1!$W$45:$W$79,MATCH(AC34,Hoja1!$A$45:$A$79,0)),0)*($C$3/$B$3)</f>
        <v>0</v>
      </c>
      <c r="AE34" s="87">
        <f t="shared" si="4"/>
        <v>6715</v>
      </c>
      <c r="AF34" s="90">
        <f ca="1">IFERROR(INDEX(Hoja1!$W$85:$W$130,MATCH(AE34,Hoja1!$A$85:$A$130,0)),0)*($D$3/$B$3)</f>
        <v>15852.250580046404</v>
      </c>
      <c r="AG34" s="84">
        <f t="shared" si="5"/>
        <v>25000</v>
      </c>
      <c r="AH34" s="90">
        <f ca="1">IFERROR(INDEX(Hoja1!$W$137:$W$189,MATCH(AG34,Hoja1!$A$137:$A$189,0)),0)*($E$3/$B$3)</f>
        <v>3727.141412338628</v>
      </c>
    </row>
    <row r="35" spans="1:34" s="86" customFormat="1" ht="7.5" customHeight="1" x14ac:dyDescent="0.25">
      <c r="A35" s="67">
        <f t="shared" si="36"/>
        <v>670.5</v>
      </c>
      <c r="B35" s="72">
        <f t="shared" si="6"/>
        <v>0</v>
      </c>
      <c r="C35" s="72">
        <f t="shared" si="7"/>
        <v>-38462.623743232791</v>
      </c>
      <c r="D35" s="72">
        <f t="shared" si="8"/>
        <v>-17553.565351894817</v>
      </c>
      <c r="E35" s="72">
        <f t="shared" si="9"/>
        <v>-8833.3251472425472</v>
      </c>
      <c r="F35" s="69">
        <f t="shared" si="10"/>
        <v>-64849.514242370155</v>
      </c>
      <c r="G35" s="83">
        <f t="shared" si="11"/>
        <v>-64849.514242370155</v>
      </c>
      <c r="H35" s="83">
        <f t="shared" ca="1" si="12"/>
        <v>127657.69959545482</v>
      </c>
      <c r="I35" s="69">
        <f t="shared" ca="1" si="13"/>
        <v>127657.69959545482</v>
      </c>
      <c r="J35" s="72">
        <f t="shared" si="14"/>
        <v>0</v>
      </c>
      <c r="K35" s="72">
        <f t="shared" ca="1" si="15"/>
        <v>105746.50559224225</v>
      </c>
      <c r="L35" s="72">
        <f t="shared" ca="1" si="16"/>
        <v>18184.052590873936</v>
      </c>
      <c r="M35" s="90">
        <f t="shared" ca="1" si="17"/>
        <v>3727.141412338628</v>
      </c>
      <c r="N35" s="94">
        <f t="shared" ca="1" si="18"/>
        <v>181708.66310904874</v>
      </c>
      <c r="O35" s="84">
        <f t="shared" ca="1" si="35"/>
        <v>181708.66310904874</v>
      </c>
      <c r="P35" s="85">
        <f t="shared" si="19"/>
        <v>670.5</v>
      </c>
      <c r="Q35" s="90">
        <f>IFERROR(INDEX(Hoja1!$E$4:$E$38,MATCH(P35,Hoja1!$A$4:$A$38,0)),0)</f>
        <v>0</v>
      </c>
      <c r="R35" s="87">
        <f t="shared" si="20"/>
        <v>610</v>
      </c>
      <c r="S35" s="90">
        <f>IFERROR(INDEX(Hoja1!$E$45:$E$79,MATCH(R35,Hoja1!$A$45:$A$79,0)),0)*($C$3/$B$3)</f>
        <v>-38462.623743232791</v>
      </c>
      <c r="T35" s="87">
        <f t="shared" si="2"/>
        <v>6710</v>
      </c>
      <c r="U35" s="90">
        <f>IFERROR(INDEX(Hoja1!$E$85:$E$130,MATCH(T35,Hoja1!$A$85:$A$130,0)),0)*($D$3/$B$3)</f>
        <v>-17553.565351894817</v>
      </c>
      <c r="V35" s="84">
        <f t="shared" si="3"/>
        <v>25000</v>
      </c>
      <c r="W35" s="90">
        <f>IFERROR(INDEX(Hoja1!$E$137:$E$189,MATCH(V35,Hoja1!$A$137:$A$189,0)),0)*($E$3/$B$3)</f>
        <v>-8833.3251472425472</v>
      </c>
      <c r="AA35" s="87">
        <f t="shared" si="21"/>
        <v>670.5</v>
      </c>
      <c r="AB35" s="90">
        <f>IFERROR(INDEX(Hoja1!$W$4:$W$38,MATCH(AA35,Hoja1!$A$4:$A$38,0)),0)</f>
        <v>0</v>
      </c>
      <c r="AC35" s="87">
        <f t="shared" si="22"/>
        <v>610</v>
      </c>
      <c r="AD35" s="90">
        <f ca="1">IFERROR(INDEX(Hoja1!$W$45:$W$79,MATCH(AC35,Hoja1!$A$45:$A$79,0)),0)*($C$3/$B$3)</f>
        <v>105746.50559224225</v>
      </c>
      <c r="AE35" s="87">
        <f t="shared" si="4"/>
        <v>6710</v>
      </c>
      <c r="AF35" s="90">
        <f ca="1">IFERROR(INDEX(Hoja1!$W$85:$W$130,MATCH(AE35,Hoja1!$A$85:$A$130,0)),0)*($D$3/$B$3)</f>
        <v>18184.052590873936</v>
      </c>
      <c r="AG35" s="84">
        <f t="shared" si="5"/>
        <v>25000</v>
      </c>
      <c r="AH35" s="90">
        <f ca="1">IFERROR(INDEX(Hoja1!$W$137:$W$189,MATCH(AG35,Hoja1!$A$137:$A$189,0)),0)*($E$3/$B$3)</f>
        <v>3727.141412338628</v>
      </c>
    </row>
    <row r="36" spans="1:34" s="86" customFormat="1" ht="7.5" customHeight="1" x14ac:dyDescent="0.25">
      <c r="A36" s="67">
        <f t="shared" si="36"/>
        <v>670</v>
      </c>
      <c r="B36" s="72">
        <f t="shared" si="6"/>
        <v>-17382</v>
      </c>
      <c r="C36" s="72">
        <f t="shared" si="7"/>
        <v>-38462.623743232791</v>
      </c>
      <c r="D36" s="72">
        <f t="shared" si="8"/>
        <v>-6394.9419953596289</v>
      </c>
      <c r="E36" s="72">
        <f t="shared" si="9"/>
        <v>-149.08565649354512</v>
      </c>
      <c r="F36" s="69">
        <f t="shared" si="10"/>
        <v>-62388.651395085966</v>
      </c>
      <c r="G36" s="83">
        <f t="shared" si="11"/>
        <v>-62388.651395085966</v>
      </c>
      <c r="H36" s="83">
        <f t="shared" ca="1" si="12"/>
        <v>323922.89773930633</v>
      </c>
      <c r="I36" s="69">
        <f t="shared" ca="1" si="13"/>
        <v>323922.89773930633</v>
      </c>
      <c r="J36" s="72">
        <f t="shared" ca="1" si="14"/>
        <v>213626</v>
      </c>
      <c r="K36" s="72">
        <f t="shared" ca="1" si="15"/>
        <v>105746.50559224225</v>
      </c>
      <c r="L36" s="72">
        <f t="shared" ca="1" si="16"/>
        <v>5184.0061871616399</v>
      </c>
      <c r="M36" s="90">
        <f t="shared" ca="1" si="17"/>
        <v>-633.61404009756677</v>
      </c>
      <c r="N36" s="94">
        <f t="shared" ca="1" si="18"/>
        <v>178076.52677732171</v>
      </c>
      <c r="O36" s="84">
        <f t="shared" ca="1" si="35"/>
        <v>178076.52677732171</v>
      </c>
      <c r="P36" s="85">
        <f t="shared" si="19"/>
        <v>670</v>
      </c>
      <c r="Q36" s="90">
        <f>IFERROR(INDEX(Hoja1!$E$4:$E$38,MATCH(P36,Hoja1!$A$4:$A$38,0)),0)</f>
        <v>-17382</v>
      </c>
      <c r="R36" s="87">
        <f t="shared" si="20"/>
        <v>610</v>
      </c>
      <c r="S36" s="90">
        <f>IFERROR(INDEX(Hoja1!$E$45:$E$79,MATCH(R36,Hoja1!$A$45:$A$79,0)),0)*($C$3/$B$3)</f>
        <v>-38462.623743232791</v>
      </c>
      <c r="T36" s="87">
        <f t="shared" si="2"/>
        <v>6705</v>
      </c>
      <c r="U36" s="90">
        <f>IFERROR(INDEX(Hoja1!$E$85:$E$130,MATCH(T36,Hoja1!$A$85:$A$130,0)),0)*($D$3/$B$3)</f>
        <v>-6394.9419953596289</v>
      </c>
      <c r="V36" s="84">
        <f t="shared" si="3"/>
        <v>24975</v>
      </c>
      <c r="W36" s="90">
        <f>IFERROR(INDEX(Hoja1!$E$137:$E$189,MATCH(V36,Hoja1!$A$137:$A$189,0)),0)*($E$3/$B$3)</f>
        <v>-149.08565649354512</v>
      </c>
      <c r="AA36" s="87">
        <f t="shared" si="21"/>
        <v>670</v>
      </c>
      <c r="AB36" s="90">
        <f ca="1">IFERROR(INDEX(Hoja1!$W$4:$W$38,MATCH(AA36,Hoja1!$A$4:$A$38,0)),0)</f>
        <v>213626</v>
      </c>
      <c r="AC36" s="87">
        <f t="shared" si="22"/>
        <v>610</v>
      </c>
      <c r="AD36" s="90">
        <f ca="1">IFERROR(INDEX(Hoja1!$W$45:$W$79,MATCH(AC36,Hoja1!$A$45:$A$79,0)),0)*($C$3/$B$3)</f>
        <v>105746.50559224225</v>
      </c>
      <c r="AE36" s="87">
        <f t="shared" si="4"/>
        <v>6705</v>
      </c>
      <c r="AF36" s="90">
        <f ca="1">IFERROR(INDEX(Hoja1!$W$85:$W$130,MATCH(AE36,Hoja1!$A$85:$A$130,0)),0)*($D$3/$B$3)</f>
        <v>5184.0061871616399</v>
      </c>
      <c r="AG36" s="84">
        <f t="shared" si="5"/>
        <v>24975</v>
      </c>
      <c r="AH36" s="90">
        <f ca="1">IFERROR(INDEX(Hoja1!$W$137:$W$189,MATCH(AG36,Hoja1!$A$137:$A$189,0)),0)*($E$3/$B$3)</f>
        <v>-633.61404009756677</v>
      </c>
    </row>
    <row r="37" spans="1:34" s="86" customFormat="1" ht="7.5" customHeight="1" x14ac:dyDescent="0.25">
      <c r="A37" s="67">
        <f t="shared" si="36"/>
        <v>669.5</v>
      </c>
      <c r="B37" s="72">
        <f t="shared" si="6"/>
        <v>0</v>
      </c>
      <c r="C37" s="72">
        <f t="shared" si="7"/>
        <v>0</v>
      </c>
      <c r="D37" s="72">
        <f t="shared" si="8"/>
        <v>-41041.716937354984</v>
      </c>
      <c r="E37" s="72">
        <f t="shared" si="9"/>
        <v>-1267.2280801951335</v>
      </c>
      <c r="F37" s="69">
        <f t="shared" si="10"/>
        <v>-42308.945017550119</v>
      </c>
      <c r="G37" s="83">
        <f t="shared" si="11"/>
        <v>-42308.945017550119</v>
      </c>
      <c r="H37" s="83">
        <f t="shared" ca="1" si="12"/>
        <v>82648.982997203886</v>
      </c>
      <c r="I37" s="69">
        <f t="shared" ca="1" si="13"/>
        <v>82648.982997203886</v>
      </c>
      <c r="J37" s="72">
        <f t="shared" si="14"/>
        <v>0</v>
      </c>
      <c r="K37" s="72">
        <f t="shared" si="15"/>
        <v>0</v>
      </c>
      <c r="L37" s="72">
        <f t="shared" ca="1" si="16"/>
        <v>84475.282289249808</v>
      </c>
      <c r="M37" s="90">
        <f t="shared" ca="1" si="17"/>
        <v>-1826.2992920459276</v>
      </c>
      <c r="N37" s="94">
        <f t="shared" ca="1" si="18"/>
        <v>132236.58611656455</v>
      </c>
      <c r="O37" s="84">
        <f t="shared" ca="1" si="35"/>
        <v>132236.58611656455</v>
      </c>
      <c r="P37" s="85">
        <f t="shared" si="19"/>
        <v>669.5</v>
      </c>
      <c r="Q37" s="90">
        <f>IFERROR(INDEX(Hoja1!$E$4:$E$38,MATCH(P37,Hoja1!$A$4:$A$38,0)),0)</f>
        <v>0</v>
      </c>
      <c r="R37" s="87">
        <f t="shared" si="20"/>
        <v>609.5</v>
      </c>
      <c r="S37" s="90">
        <f>IFERROR(INDEX(Hoja1!$E$45:$E$79,MATCH(R37,Hoja1!$A$45:$A$79,0)),0)*($C$3/$B$3)</f>
        <v>0</v>
      </c>
      <c r="T37" s="87">
        <f t="shared" si="2"/>
        <v>6700</v>
      </c>
      <c r="U37" s="90">
        <f>IFERROR(INDEX(Hoja1!$E$85:$E$130,MATCH(T37,Hoja1!$A$85:$A$130,0)),0)*($D$3/$B$3)</f>
        <v>-41041.716937354984</v>
      </c>
      <c r="V37" s="84">
        <f t="shared" si="3"/>
        <v>24950</v>
      </c>
      <c r="W37" s="90">
        <f>IFERROR(INDEX(Hoja1!$E$137:$E$189,MATCH(V37,Hoja1!$A$137:$A$189,0)),0)*($E$3/$B$3)</f>
        <v>-1267.2280801951335</v>
      </c>
      <c r="AA37" s="87">
        <f t="shared" si="21"/>
        <v>669.5</v>
      </c>
      <c r="AB37" s="90">
        <f>IFERROR(INDEX(Hoja1!$W$4:$W$38,MATCH(AA37,Hoja1!$A$4:$A$38,0)),0)</f>
        <v>0</v>
      </c>
      <c r="AC37" s="87">
        <f t="shared" si="22"/>
        <v>609.5</v>
      </c>
      <c r="AD37" s="90">
        <f>IFERROR(INDEX(Hoja1!$W$45:$W$79,MATCH(AC37,Hoja1!$A$45:$A$79,0)),0)*($C$3/$B$3)</f>
        <v>0</v>
      </c>
      <c r="AE37" s="87">
        <f t="shared" si="4"/>
        <v>6700</v>
      </c>
      <c r="AF37" s="90">
        <f ca="1">IFERROR(INDEX(Hoja1!$W$85:$W$130,MATCH(AE37,Hoja1!$A$85:$A$130,0)),0)*($D$3/$B$3)</f>
        <v>84475.282289249808</v>
      </c>
      <c r="AG37" s="84">
        <f t="shared" si="5"/>
        <v>24950</v>
      </c>
      <c r="AH37" s="90">
        <f ca="1">IFERROR(INDEX(Hoja1!$W$137:$W$189,MATCH(AG37,Hoja1!$A$137:$A$189,0)),0)*($E$3/$B$3)</f>
        <v>-1826.2992920459276</v>
      </c>
    </row>
    <row r="38" spans="1:34" s="86" customFormat="1" ht="7.5" customHeight="1" x14ac:dyDescent="0.25">
      <c r="A38" s="67">
        <f t="shared" si="36"/>
        <v>669</v>
      </c>
      <c r="B38" s="72">
        <f t="shared" ref="B38:B48" si="37">+Q38</f>
        <v>-4656</v>
      </c>
      <c r="C38" s="72">
        <f t="shared" ref="C38:C48" si="38">+S38</f>
        <v>-4344.712059016003</v>
      </c>
      <c r="D38" s="72">
        <f t="shared" ref="D38:D48" si="39">+U38</f>
        <v>-10388.027842227379</v>
      </c>
      <c r="E38" s="72">
        <f t="shared" ref="E38:E48" si="40">+W38</f>
        <v>-37.271414123386279</v>
      </c>
      <c r="F38" s="69">
        <f t="shared" ref="F38:F48" si="41">SUM(B38:E38)</f>
        <v>-19426.011315366766</v>
      </c>
      <c r="G38" s="83">
        <f t="shared" ref="G38:G48" si="42">+F38</f>
        <v>-19426.011315366766</v>
      </c>
      <c r="H38" s="83">
        <f t="shared" ref="H38:H48" ca="1" si="43">+AB38+AD38+AF38+AH38</f>
        <v>-9862.1223868165853</v>
      </c>
      <c r="I38" s="69">
        <f t="shared" ref="I38:I48" ca="1" si="44">+H38</f>
        <v>-9862.1223868165853</v>
      </c>
      <c r="J38" s="72">
        <f t="shared" ref="J38:J48" ca="1" si="45">+AB38</f>
        <v>-12179</v>
      </c>
      <c r="K38" s="72">
        <f t="shared" ref="K38:K48" ca="1" si="46">+AD38</f>
        <v>28869.49223630198</v>
      </c>
      <c r="L38" s="72">
        <f t="shared" ref="L38:L48" ca="1" si="47">+AF38</f>
        <v>-25769.914926527454</v>
      </c>
      <c r="M38" s="90">
        <f t="shared" ref="M38:M48" ca="1" si="48">+AH38</f>
        <v>-782.69969659111189</v>
      </c>
      <c r="N38" s="94">
        <f t="shared" ca="1" si="18"/>
        <v>13243.072972812188</v>
      </c>
      <c r="O38" s="84">
        <f t="shared" ca="1" si="35"/>
        <v>13243.072972812188</v>
      </c>
      <c r="P38" s="85">
        <f t="shared" si="19"/>
        <v>669</v>
      </c>
      <c r="Q38" s="90">
        <f>IFERROR(INDEX(Hoja1!$E$4:$E$38,MATCH(P38,Hoja1!$A$4:$A$38,0)),0)</f>
        <v>-4656</v>
      </c>
      <c r="R38" s="87">
        <f t="shared" si="20"/>
        <v>609</v>
      </c>
      <c r="S38" s="90">
        <f>IFERROR(INDEX(Hoja1!$E$45:$E$79,MATCH(R38,Hoja1!$A$45:$A$79,0)),0)*($C$3/$B$3)</f>
        <v>-4344.712059016003</v>
      </c>
      <c r="T38" s="87">
        <f t="shared" si="2"/>
        <v>6695</v>
      </c>
      <c r="U38" s="90">
        <f>IFERROR(INDEX(Hoja1!$E$85:$E$130,MATCH(T38,Hoja1!$A$85:$A$130,0)),0)*($D$3/$B$3)</f>
        <v>-10388.027842227379</v>
      </c>
      <c r="V38" s="84">
        <f t="shared" si="3"/>
        <v>24925</v>
      </c>
      <c r="W38" s="90">
        <f>IFERROR(INDEX(Hoja1!$E$137:$E$189,MATCH(V38,Hoja1!$A$137:$A$189,0)),0)*($E$3/$B$3)</f>
        <v>-37.271414123386279</v>
      </c>
      <c r="AA38" s="87">
        <f t="shared" si="21"/>
        <v>669</v>
      </c>
      <c r="AB38" s="90">
        <f ca="1">IFERROR(INDEX(Hoja1!$W$4:$W$38,MATCH(AA38,Hoja1!$A$4:$A$38,0)),0)</f>
        <v>-12179</v>
      </c>
      <c r="AC38" s="87">
        <f t="shared" si="22"/>
        <v>609</v>
      </c>
      <c r="AD38" s="90">
        <f ca="1">IFERROR(INDEX(Hoja1!$W$45:$W$79,MATCH(AC38,Hoja1!$A$45:$A$79,0)),0)*($C$3/$B$3)</f>
        <v>28869.49223630198</v>
      </c>
      <c r="AE38" s="87">
        <f t="shared" si="4"/>
        <v>6695</v>
      </c>
      <c r="AF38" s="90">
        <f ca="1">IFERROR(INDEX(Hoja1!$W$85:$W$130,MATCH(AE38,Hoja1!$A$85:$A$130,0)),0)*($D$3/$B$3)</f>
        <v>-25769.914926527454</v>
      </c>
      <c r="AG38" s="84">
        <f t="shared" si="5"/>
        <v>24925</v>
      </c>
      <c r="AH38" s="90">
        <f ca="1">IFERROR(INDEX(Hoja1!$W$137:$W$189,MATCH(AG38,Hoja1!$A$137:$A$189,0)),0)*($E$3/$B$3)</f>
        <v>-782.69969659111189</v>
      </c>
    </row>
    <row r="39" spans="1:34" s="86" customFormat="1" ht="7.5" customHeight="1" x14ac:dyDescent="0.25">
      <c r="A39" s="67">
        <f t="shared" si="36"/>
        <v>668.5</v>
      </c>
      <c r="B39" s="72">
        <f t="shared" si="37"/>
        <v>0</v>
      </c>
      <c r="C39" s="72">
        <f t="shared" si="38"/>
        <v>0</v>
      </c>
      <c r="D39" s="72">
        <f t="shared" si="39"/>
        <v>-15251.786542923433</v>
      </c>
      <c r="E39" s="72">
        <f t="shared" si="40"/>
        <v>-37.271414123386279</v>
      </c>
      <c r="F39" s="69">
        <f t="shared" si="41"/>
        <v>-15289.05795704682</v>
      </c>
      <c r="G39" s="83">
        <f t="shared" si="42"/>
        <v>-15289.05795704682</v>
      </c>
      <c r="H39" s="83">
        <f t="shared" ca="1" si="43"/>
        <v>-33057.641691950739</v>
      </c>
      <c r="I39" s="69">
        <f t="shared" ca="1" si="44"/>
        <v>-33057.641691950739</v>
      </c>
      <c r="J39" s="72">
        <f t="shared" si="45"/>
        <v>0</v>
      </c>
      <c r="K39" s="72">
        <f t="shared" si="46"/>
        <v>0</v>
      </c>
      <c r="L39" s="72">
        <f t="shared" ca="1" si="47"/>
        <v>-32274.941995359626</v>
      </c>
      <c r="M39" s="90">
        <f t="shared" ca="1" si="48"/>
        <v>-782.69969659111189</v>
      </c>
      <c r="N39" s="94">
        <f t="shared" ca="1" si="18"/>
        <v>8289.9323735300513</v>
      </c>
      <c r="O39" s="84">
        <f t="shared" ca="1" si="35"/>
        <v>-8289.9323735300513</v>
      </c>
      <c r="P39" s="85">
        <f t="shared" si="19"/>
        <v>668.5</v>
      </c>
      <c r="Q39" s="90">
        <f>IFERROR(INDEX(Hoja1!$E$4:$E$38,MATCH(P39,Hoja1!$A$4:$A$38,0)),0)</f>
        <v>0</v>
      </c>
      <c r="R39" s="87">
        <f t="shared" si="20"/>
        <v>608.5</v>
      </c>
      <c r="S39" s="90">
        <f>IFERROR(INDEX(Hoja1!$E$45:$E$79,MATCH(R39,Hoja1!$A$45:$A$79,0)),0)*($C$3/$B$3)</f>
        <v>0</v>
      </c>
      <c r="T39" s="87">
        <f t="shared" si="2"/>
        <v>6690</v>
      </c>
      <c r="U39" s="90">
        <f>IFERROR(INDEX(Hoja1!$E$85:$E$130,MATCH(T39,Hoja1!$A$85:$A$130,0)),0)*($D$3/$B$3)</f>
        <v>-15251.786542923433</v>
      </c>
      <c r="V39" s="84">
        <f t="shared" si="3"/>
        <v>24925</v>
      </c>
      <c r="W39" s="90">
        <f>IFERROR(INDEX(Hoja1!$E$137:$E$189,MATCH(V39,Hoja1!$A$137:$A$189,0)),0)*($E$3/$B$3)</f>
        <v>-37.271414123386279</v>
      </c>
      <c r="AA39" s="87">
        <f t="shared" si="21"/>
        <v>668.5</v>
      </c>
      <c r="AB39" s="90">
        <f>IFERROR(INDEX(Hoja1!$W$4:$W$38,MATCH(AA39,Hoja1!$A$4:$A$38,0)),0)</f>
        <v>0</v>
      </c>
      <c r="AC39" s="87">
        <f t="shared" si="22"/>
        <v>608.5</v>
      </c>
      <c r="AD39" s="90">
        <f>IFERROR(INDEX(Hoja1!$W$45:$W$79,MATCH(AC39,Hoja1!$A$45:$A$79,0)),0)*($C$3/$B$3)</f>
        <v>0</v>
      </c>
      <c r="AE39" s="87">
        <f t="shared" si="4"/>
        <v>6690</v>
      </c>
      <c r="AF39" s="90">
        <f ca="1">IFERROR(INDEX(Hoja1!$W$85:$W$130,MATCH(AE39,Hoja1!$A$85:$A$130,0)),0)*($D$3/$B$3)</f>
        <v>-32274.941995359626</v>
      </c>
      <c r="AG39" s="84">
        <f t="shared" si="5"/>
        <v>24925</v>
      </c>
      <c r="AH39" s="90">
        <f ca="1">IFERROR(INDEX(Hoja1!$W$137:$W$189,MATCH(AG39,Hoja1!$A$137:$A$189,0)),0)*($E$3/$B$3)</f>
        <v>-782.69969659111189</v>
      </c>
    </row>
    <row r="40" spans="1:34" s="86" customFormat="1" ht="7.5" customHeight="1" x14ac:dyDescent="0.25">
      <c r="A40" s="67">
        <f t="shared" si="36"/>
        <v>668</v>
      </c>
      <c r="B40" s="72">
        <f t="shared" si="37"/>
        <v>-4810</v>
      </c>
      <c r="C40" s="72">
        <f t="shared" si="38"/>
        <v>-1775.5620500922125</v>
      </c>
      <c r="D40" s="72">
        <f t="shared" si="39"/>
        <v>-5444.2072699149267</v>
      </c>
      <c r="E40" s="72">
        <f t="shared" si="40"/>
        <v>-9206.0392884764115</v>
      </c>
      <c r="F40" s="69">
        <f t="shared" si="41"/>
        <v>-21235.808608483552</v>
      </c>
      <c r="G40" s="83">
        <f t="shared" si="42"/>
        <v>-21235.808608483552</v>
      </c>
      <c r="H40" s="83">
        <f t="shared" ca="1" si="43"/>
        <v>18049.96695817717</v>
      </c>
      <c r="I40" s="69">
        <f t="shared" ca="1" si="44"/>
        <v>18049.96695817717</v>
      </c>
      <c r="J40" s="72">
        <f t="shared" ca="1" si="45"/>
        <v>28501</v>
      </c>
      <c r="K40" s="72">
        <f t="shared" ca="1" si="46"/>
        <v>23152.382652150634</v>
      </c>
      <c r="L40" s="72">
        <f t="shared" ca="1" si="47"/>
        <v>-16943.093580819797</v>
      </c>
      <c r="M40" s="90">
        <f t="shared" ca="1" si="48"/>
        <v>-16660.322113153667</v>
      </c>
      <c r="N40" s="94">
        <f t="shared" ca="1" si="18"/>
        <v>21002.753616118349</v>
      </c>
      <c r="O40" s="84">
        <f t="shared" ca="1" si="35"/>
        <v>-21002.753616118349</v>
      </c>
      <c r="P40" s="85">
        <f t="shared" si="19"/>
        <v>668</v>
      </c>
      <c r="Q40" s="90">
        <f>IFERROR(INDEX(Hoja1!$E$4:$E$38,MATCH(P40,Hoja1!$A$4:$A$38,0)),0)</f>
        <v>-4810</v>
      </c>
      <c r="R40" s="87">
        <f t="shared" si="20"/>
        <v>608</v>
      </c>
      <c r="S40" s="90">
        <f>IFERROR(INDEX(Hoja1!$E$45:$E$79,MATCH(R40,Hoja1!$A$45:$A$79,0)),0)*($C$3/$B$3)</f>
        <v>-1775.5620500922125</v>
      </c>
      <c r="T40" s="87">
        <f t="shared" si="2"/>
        <v>6685</v>
      </c>
      <c r="U40" s="90">
        <f>IFERROR(INDEX(Hoja1!$E$85:$E$130,MATCH(T40,Hoja1!$A$85:$A$130,0)),0)*($D$3/$B$3)</f>
        <v>-5444.2072699149267</v>
      </c>
      <c r="V40" s="84">
        <f t="shared" si="3"/>
        <v>24900</v>
      </c>
      <c r="W40" s="90">
        <f>IFERROR(INDEX(Hoja1!$E$137:$E$189,MATCH(V40,Hoja1!$A$137:$A$189,0)),0)*($E$3/$B$3)</f>
        <v>-9206.0392884764115</v>
      </c>
      <c r="AA40" s="87">
        <f t="shared" si="21"/>
        <v>668</v>
      </c>
      <c r="AB40" s="90">
        <f ca="1">IFERROR(INDEX(Hoja1!$W$4:$W$38,MATCH(AA40,Hoja1!$A$4:$A$38,0)),0)</f>
        <v>28501</v>
      </c>
      <c r="AC40" s="87">
        <f t="shared" si="22"/>
        <v>608</v>
      </c>
      <c r="AD40" s="90">
        <f ca="1">IFERROR(INDEX(Hoja1!$W$45:$W$79,MATCH(AC40,Hoja1!$A$45:$A$79,0)),0)*($C$3/$B$3)</f>
        <v>23152.382652150634</v>
      </c>
      <c r="AE40" s="87">
        <f t="shared" si="4"/>
        <v>6685</v>
      </c>
      <c r="AF40" s="90">
        <f ca="1">IFERROR(INDEX(Hoja1!$W$85:$W$130,MATCH(AE40,Hoja1!$A$85:$A$130,0)),0)*($D$3/$B$3)</f>
        <v>-16943.093580819797</v>
      </c>
      <c r="AG40" s="84">
        <f t="shared" si="5"/>
        <v>24900</v>
      </c>
      <c r="AH40" s="90">
        <f ca="1">IFERROR(INDEX(Hoja1!$W$137:$W$189,MATCH(AG40,Hoja1!$A$137:$A$189,0)),0)*($E$3/$B$3)</f>
        <v>-16660.322113153667</v>
      </c>
    </row>
    <row r="41" spans="1:34" s="86" customFormat="1" ht="7.5" customHeight="1" x14ac:dyDescent="0.25">
      <c r="A41" s="67">
        <f t="shared" si="36"/>
        <v>667.5</v>
      </c>
      <c r="B41" s="72">
        <f t="shared" si="37"/>
        <v>0</v>
      </c>
      <c r="C41" s="72">
        <f t="shared" si="38"/>
        <v>0</v>
      </c>
      <c r="D41" s="72">
        <f t="shared" si="39"/>
        <v>-13050.085073472545</v>
      </c>
      <c r="E41" s="72">
        <f t="shared" si="40"/>
        <v>37.271414123386279</v>
      </c>
      <c r="F41" s="69">
        <f t="shared" si="41"/>
        <v>-13012.813659349158</v>
      </c>
      <c r="G41" s="83">
        <f t="shared" si="42"/>
        <v>-13012.813659349158</v>
      </c>
      <c r="H41" s="83">
        <f t="shared" ca="1" si="43"/>
        <v>-48000.586114581478</v>
      </c>
      <c r="I41" s="69">
        <f t="shared" ca="1" si="44"/>
        <v>-48000.586114581478</v>
      </c>
      <c r="J41" s="72">
        <f t="shared" si="45"/>
        <v>0</v>
      </c>
      <c r="K41" s="72">
        <f t="shared" si="46"/>
        <v>0</v>
      </c>
      <c r="L41" s="72">
        <f t="shared" ca="1" si="47"/>
        <v>-46696.086620262955</v>
      </c>
      <c r="M41" s="90">
        <f t="shared" ca="1" si="48"/>
        <v>-1304.4994943185197</v>
      </c>
      <c r="N41" s="94">
        <f t="shared" ca="1" si="18"/>
        <v>29977.618555535722</v>
      </c>
      <c r="O41" s="84">
        <f t="shared" ca="1" si="35"/>
        <v>-29977.618555535722</v>
      </c>
      <c r="P41" s="85">
        <f t="shared" si="19"/>
        <v>667.5</v>
      </c>
      <c r="Q41" s="90">
        <f>IFERROR(INDEX(Hoja1!$E$4:$E$38,MATCH(P41,Hoja1!$A$4:$A$38,0)),0)</f>
        <v>0</v>
      </c>
      <c r="R41" s="87">
        <f t="shared" si="20"/>
        <v>607.5</v>
      </c>
      <c r="S41" s="90">
        <f>IFERROR(INDEX(Hoja1!$E$45:$E$79,MATCH(R41,Hoja1!$A$45:$A$79,0)),0)*($C$3/$B$3)</f>
        <v>0</v>
      </c>
      <c r="T41" s="87">
        <f t="shared" si="2"/>
        <v>6680</v>
      </c>
      <c r="U41" s="90">
        <f>IFERROR(INDEX(Hoja1!$E$85:$E$130,MATCH(T41,Hoja1!$A$85:$A$130,0)),0)*($D$3/$B$3)</f>
        <v>-13050.085073472545</v>
      </c>
      <c r="V41" s="84">
        <f t="shared" si="3"/>
        <v>24875</v>
      </c>
      <c r="W41" s="90">
        <f>IFERROR(INDEX(Hoja1!$E$137:$E$189,MATCH(V41,Hoja1!$A$137:$A$189,0)),0)*($E$3/$B$3)</f>
        <v>37.271414123386279</v>
      </c>
      <c r="AA41" s="87">
        <f t="shared" si="21"/>
        <v>667.5</v>
      </c>
      <c r="AB41" s="90">
        <f>IFERROR(INDEX(Hoja1!$W$4:$W$38,MATCH(AA41,Hoja1!$A$4:$A$38,0)),0)</f>
        <v>0</v>
      </c>
      <c r="AC41" s="87">
        <f t="shared" si="22"/>
        <v>607.5</v>
      </c>
      <c r="AD41" s="90">
        <f>IFERROR(INDEX(Hoja1!$W$45:$W$79,MATCH(AC41,Hoja1!$A$45:$A$79,0)),0)*($C$3/$B$3)</f>
        <v>0</v>
      </c>
      <c r="AE41" s="87">
        <f t="shared" si="4"/>
        <v>6680</v>
      </c>
      <c r="AF41" s="90">
        <f ca="1">IFERROR(INDEX(Hoja1!$W$85:$W$130,MATCH(AE41,Hoja1!$A$85:$A$130,0)),0)*($D$3/$B$3)</f>
        <v>-46696.086620262955</v>
      </c>
      <c r="AG41" s="84">
        <f t="shared" si="5"/>
        <v>24875</v>
      </c>
      <c r="AH41" s="90">
        <f ca="1">IFERROR(INDEX(Hoja1!$W$137:$W$189,MATCH(AG41,Hoja1!$A$137:$A$189,0)),0)*($E$3/$B$3)</f>
        <v>-1304.4994943185197</v>
      </c>
    </row>
    <row r="42" spans="1:34" s="86" customFormat="1" ht="7.5" customHeight="1" x14ac:dyDescent="0.25">
      <c r="A42" s="67">
        <f t="shared" si="36"/>
        <v>667</v>
      </c>
      <c r="B42" s="72">
        <f t="shared" si="37"/>
        <v>-6253</v>
      </c>
      <c r="C42" s="72">
        <f t="shared" si="38"/>
        <v>-2619.2042953179844</v>
      </c>
      <c r="D42" s="72">
        <f t="shared" si="39"/>
        <v>-7776.0092807424589</v>
      </c>
      <c r="E42" s="72">
        <f t="shared" si="40"/>
        <v>-1490.8565649354512</v>
      </c>
      <c r="F42" s="69">
        <f t="shared" si="41"/>
        <v>-18139.070140995893</v>
      </c>
      <c r="G42" s="83">
        <f t="shared" si="42"/>
        <v>-18139.070140995893</v>
      </c>
      <c r="H42" s="83">
        <f t="shared" ca="1" si="43"/>
        <v>-59982.236510202856</v>
      </c>
      <c r="I42" s="69">
        <f t="shared" ca="1" si="44"/>
        <v>-59982.236510202856</v>
      </c>
      <c r="J42" s="72">
        <f t="shared" ca="1" si="45"/>
        <v>31376</v>
      </c>
      <c r="K42" s="72">
        <f t="shared" ca="1" si="46"/>
        <v>8677.5931048842886</v>
      </c>
      <c r="L42" s="72">
        <f t="shared" ca="1" si="47"/>
        <v>-92581.546790409891</v>
      </c>
      <c r="M42" s="90">
        <f t="shared" ca="1" si="48"/>
        <v>-7454.282824677256</v>
      </c>
      <c r="N42" s="94">
        <f t="shared" ca="1" si="18"/>
        <v>54471.394005195623</v>
      </c>
      <c r="O42" s="84">
        <f t="shared" ca="1" si="35"/>
        <v>-54471.394005195623</v>
      </c>
      <c r="P42" s="85">
        <f t="shared" si="19"/>
        <v>667</v>
      </c>
      <c r="Q42" s="90">
        <f>IFERROR(INDEX(Hoja1!$E$4:$E$38,MATCH(P42,Hoja1!$A$4:$A$38,0)),0)</f>
        <v>-6253</v>
      </c>
      <c r="R42" s="87">
        <f t="shared" si="20"/>
        <v>607</v>
      </c>
      <c r="S42" s="90">
        <f>IFERROR(INDEX(Hoja1!$E$45:$E$79,MATCH(R42,Hoja1!$A$45:$A$79,0)),0)*($C$3/$B$3)</f>
        <v>-2619.2042953179844</v>
      </c>
      <c r="T42" s="87">
        <f t="shared" si="2"/>
        <v>6675</v>
      </c>
      <c r="U42" s="90">
        <f>IFERROR(INDEX(Hoja1!$E$85:$E$130,MATCH(T42,Hoja1!$A$85:$A$130,0)),0)*($D$3/$B$3)</f>
        <v>-7776.0092807424589</v>
      </c>
      <c r="V42" s="84">
        <f t="shared" si="3"/>
        <v>24850</v>
      </c>
      <c r="W42" s="90">
        <f>IFERROR(INDEX(Hoja1!$E$137:$E$189,MATCH(V42,Hoja1!$A$137:$A$189,0)),0)*($E$3/$B$3)</f>
        <v>-1490.8565649354512</v>
      </c>
      <c r="AA42" s="87">
        <f t="shared" si="21"/>
        <v>667</v>
      </c>
      <c r="AB42" s="90">
        <f ca="1">IFERROR(INDEX(Hoja1!$W$4:$W$38,MATCH(AA42,Hoja1!$A$4:$A$38,0)),0)</f>
        <v>31376</v>
      </c>
      <c r="AC42" s="87">
        <f t="shared" si="22"/>
        <v>607</v>
      </c>
      <c r="AD42" s="90">
        <f ca="1">IFERROR(INDEX(Hoja1!$W$45:$W$79,MATCH(AC42,Hoja1!$A$45:$A$79,0)),0)*($C$3/$B$3)</f>
        <v>8677.5931048842886</v>
      </c>
      <c r="AE42" s="87">
        <f t="shared" si="4"/>
        <v>6675</v>
      </c>
      <c r="AF42" s="90">
        <f ca="1">IFERROR(INDEX(Hoja1!$W$85:$W$130,MATCH(AE42,Hoja1!$A$85:$A$130,0)),0)*($D$3/$B$3)</f>
        <v>-92581.546790409891</v>
      </c>
      <c r="AG42" s="84">
        <f t="shared" si="5"/>
        <v>24850</v>
      </c>
      <c r="AH42" s="90">
        <f ca="1">IFERROR(INDEX(Hoja1!$W$137:$W$189,MATCH(AG42,Hoja1!$A$137:$A$189,0)),0)*($E$3/$B$3)</f>
        <v>-7454.282824677256</v>
      </c>
    </row>
    <row r="43" spans="1:34" s="86" customFormat="1" ht="7.5" customHeight="1" x14ac:dyDescent="0.25">
      <c r="A43" s="67">
        <f t="shared" si="36"/>
        <v>666.5</v>
      </c>
      <c r="B43" s="72">
        <f t="shared" si="37"/>
        <v>0</v>
      </c>
      <c r="C43" s="72">
        <f t="shared" si="38"/>
        <v>0</v>
      </c>
      <c r="D43" s="72">
        <f t="shared" si="39"/>
        <v>-15251.786542923433</v>
      </c>
      <c r="E43" s="72">
        <f t="shared" si="40"/>
        <v>-1490.8565649354512</v>
      </c>
      <c r="F43" s="69">
        <f t="shared" si="41"/>
        <v>-16742.643107858883</v>
      </c>
      <c r="G43" s="83">
        <f t="shared" si="42"/>
        <v>-16742.643107858883</v>
      </c>
      <c r="H43" s="83">
        <f t="shared" ca="1" si="43"/>
        <v>-55431.359390802543</v>
      </c>
      <c r="I43" s="69">
        <f t="shared" ca="1" si="44"/>
        <v>-55431.359390802543</v>
      </c>
      <c r="J43" s="72">
        <f t="shared" si="45"/>
        <v>0</v>
      </c>
      <c r="K43" s="72">
        <f t="shared" si="46"/>
        <v>0</v>
      </c>
      <c r="L43" s="72">
        <f t="shared" ca="1" si="47"/>
        <v>-47977.076566125288</v>
      </c>
      <c r="M43" s="90">
        <f t="shared" ca="1" si="48"/>
        <v>-7454.282824677256</v>
      </c>
      <c r="N43" s="94">
        <f t="shared" ca="1" si="18"/>
        <v>57569.645796894525</v>
      </c>
      <c r="O43" s="84">
        <f t="shared" ca="1" si="35"/>
        <v>-57569.645796894525</v>
      </c>
      <c r="P43" s="85">
        <f t="shared" si="19"/>
        <v>666.5</v>
      </c>
      <c r="Q43" s="90">
        <f>IFERROR(INDEX(Hoja1!$E$4:$E$38,MATCH(P43,Hoja1!$A$4:$A$38,0)),0)</f>
        <v>0</v>
      </c>
      <c r="R43" s="87">
        <f t="shared" si="20"/>
        <v>606.5</v>
      </c>
      <c r="S43" s="90">
        <f>IFERROR(INDEX(Hoja1!$E$45:$E$79,MATCH(R43,Hoja1!$A$45:$A$79,0)),0)*($C$3/$B$3)</f>
        <v>0</v>
      </c>
      <c r="T43" s="87">
        <f t="shared" si="2"/>
        <v>6670</v>
      </c>
      <c r="U43" s="90">
        <f>IFERROR(INDEX(Hoja1!$E$85:$E$130,MATCH(T43,Hoja1!$A$85:$A$130,0)),0)*($D$3/$B$3)</f>
        <v>-15251.786542923433</v>
      </c>
      <c r="V43" s="84">
        <f t="shared" si="3"/>
        <v>24850</v>
      </c>
      <c r="W43" s="90">
        <f>IFERROR(INDEX(Hoja1!$E$137:$E$189,MATCH(V43,Hoja1!$A$137:$A$189,0)),0)*($E$3/$B$3)</f>
        <v>-1490.8565649354512</v>
      </c>
      <c r="AA43" s="87">
        <f t="shared" si="21"/>
        <v>666.5</v>
      </c>
      <c r="AB43" s="90">
        <f>IFERROR(INDEX(Hoja1!$W$4:$W$38,MATCH(AA43,Hoja1!$A$4:$A$38,0)),0)</f>
        <v>0</v>
      </c>
      <c r="AC43" s="87">
        <f t="shared" si="22"/>
        <v>606.5</v>
      </c>
      <c r="AD43" s="90">
        <f>IFERROR(INDEX(Hoja1!$W$45:$W$79,MATCH(AC43,Hoja1!$A$45:$A$79,0)),0)*($C$3/$B$3)</f>
        <v>0</v>
      </c>
      <c r="AE43" s="87">
        <f t="shared" si="4"/>
        <v>6670</v>
      </c>
      <c r="AF43" s="90">
        <f ca="1">IFERROR(INDEX(Hoja1!$W$85:$W$130,MATCH(AE43,Hoja1!$A$85:$A$130,0)),0)*($D$3/$B$3)</f>
        <v>-47977.076566125288</v>
      </c>
      <c r="AG43" s="84">
        <f t="shared" si="5"/>
        <v>24850</v>
      </c>
      <c r="AH43" s="90">
        <f ca="1">IFERROR(INDEX(Hoja1!$W$137:$W$189,MATCH(AG43,Hoja1!$A$137:$A$189,0)),0)*($E$3/$B$3)</f>
        <v>-7454.282824677256</v>
      </c>
    </row>
    <row r="44" spans="1:34" s="86" customFormat="1" ht="7.5" customHeight="1" x14ac:dyDescent="0.25">
      <c r="A44" s="67">
        <f t="shared" si="36"/>
        <v>666</v>
      </c>
      <c r="B44" s="72">
        <f t="shared" si="37"/>
        <v>-8183</v>
      </c>
      <c r="C44" s="72">
        <f t="shared" si="38"/>
        <v>155.62332678922007</v>
      </c>
      <c r="D44" s="72">
        <f t="shared" si="39"/>
        <v>-8586.6357308584684</v>
      </c>
      <c r="E44" s="72">
        <f t="shared" si="40"/>
        <v>-111.81424237015884</v>
      </c>
      <c r="F44" s="69">
        <f t="shared" si="41"/>
        <v>-16725.826646439404</v>
      </c>
      <c r="G44" s="83">
        <f t="shared" si="42"/>
        <v>-16725.826646439404</v>
      </c>
      <c r="H44" s="83">
        <f t="shared" ca="1" si="43"/>
        <v>-57295.341489678147</v>
      </c>
      <c r="I44" s="69">
        <f t="shared" ca="1" si="44"/>
        <v>-57295.341489678147</v>
      </c>
      <c r="J44" s="72">
        <f t="shared" ca="1" si="45"/>
        <v>-5668</v>
      </c>
      <c r="K44" s="72">
        <f t="shared" ca="1" si="46"/>
        <v>16657.156434053184</v>
      </c>
      <c r="L44" s="72">
        <f t="shared" ca="1" si="47"/>
        <v>-68172.683681361174</v>
      </c>
      <c r="M44" s="90">
        <f t="shared" ca="1" si="48"/>
        <v>-111.81424237015884</v>
      </c>
      <c r="N44" s="94">
        <f t="shared" ca="1" si="18"/>
        <v>78778.963442203574</v>
      </c>
      <c r="O44" s="84">
        <f t="shared" ca="1" si="35"/>
        <v>-78778.963442203574</v>
      </c>
      <c r="P44" s="85">
        <f t="shared" si="19"/>
        <v>666</v>
      </c>
      <c r="Q44" s="90">
        <f>IFERROR(INDEX(Hoja1!$E$4:$E$38,MATCH(P44,Hoja1!$A$4:$A$38,0)),0)</f>
        <v>-8183</v>
      </c>
      <c r="R44" s="87">
        <f t="shared" si="20"/>
        <v>606</v>
      </c>
      <c r="S44" s="90">
        <f>IFERROR(INDEX(Hoja1!$E$45:$E$79,MATCH(R44,Hoja1!$A$45:$A$79,0)),0)*($C$3/$B$3)</f>
        <v>155.62332678922007</v>
      </c>
      <c r="T44" s="87">
        <f t="shared" si="2"/>
        <v>6665</v>
      </c>
      <c r="U44" s="90">
        <f>IFERROR(INDEX(Hoja1!$E$85:$E$130,MATCH(T44,Hoja1!$A$85:$A$130,0)),0)*($D$3/$B$3)</f>
        <v>-8586.6357308584684</v>
      </c>
      <c r="V44" s="84">
        <f t="shared" si="3"/>
        <v>24825</v>
      </c>
      <c r="W44" s="90">
        <f>IFERROR(INDEX(Hoja1!$E$137:$E$189,MATCH(V44,Hoja1!$A$137:$A$189,0)),0)*($E$3/$B$3)</f>
        <v>-111.81424237015884</v>
      </c>
      <c r="AA44" s="87">
        <f t="shared" si="21"/>
        <v>666</v>
      </c>
      <c r="AB44" s="90">
        <f ca="1">IFERROR(INDEX(Hoja1!$W$4:$W$38,MATCH(AA44,Hoja1!$A$4:$A$38,0)),0)</f>
        <v>-5668</v>
      </c>
      <c r="AC44" s="87">
        <f t="shared" si="22"/>
        <v>606</v>
      </c>
      <c r="AD44" s="90">
        <f ca="1">IFERROR(INDEX(Hoja1!$W$45:$W$79,MATCH(AC44,Hoja1!$A$45:$A$79,0)),0)*($C$3/$B$3)</f>
        <v>16657.156434053184</v>
      </c>
      <c r="AE44" s="87">
        <f t="shared" si="4"/>
        <v>6665</v>
      </c>
      <c r="AF44" s="90">
        <f ca="1">IFERROR(INDEX(Hoja1!$W$85:$W$130,MATCH(AE44,Hoja1!$A$85:$A$130,0)),0)*($D$3/$B$3)</f>
        <v>-68172.683681361174</v>
      </c>
      <c r="AG44" s="84">
        <f t="shared" si="5"/>
        <v>24825</v>
      </c>
      <c r="AH44" s="90">
        <f ca="1">IFERROR(INDEX(Hoja1!$W$137:$W$189,MATCH(AG44,Hoja1!$A$137:$A$189,0)),0)*($E$3/$B$3)</f>
        <v>-111.81424237015884</v>
      </c>
    </row>
    <row r="45" spans="1:34" s="86" customFormat="1" ht="7.5" customHeight="1" x14ac:dyDescent="0.25">
      <c r="A45" s="67">
        <f t="shared" si="36"/>
        <v>665.5</v>
      </c>
      <c r="B45" s="72">
        <f t="shared" si="37"/>
        <v>0</v>
      </c>
      <c r="C45" s="72">
        <f t="shared" si="38"/>
        <v>0</v>
      </c>
      <c r="D45" s="72">
        <f t="shared" si="39"/>
        <v>-11198.654292343386</v>
      </c>
      <c r="E45" s="72">
        <f t="shared" si="40"/>
        <v>-1863.570706169314</v>
      </c>
      <c r="F45" s="69">
        <f t="shared" si="41"/>
        <v>-13062.2249985127</v>
      </c>
      <c r="G45" s="83">
        <f t="shared" si="42"/>
        <v>-13062.2249985127</v>
      </c>
      <c r="H45" s="83">
        <f t="shared" ca="1" si="43"/>
        <v>-123610.18944613004</v>
      </c>
      <c r="I45" s="69">
        <f t="shared" ca="1" si="44"/>
        <v>-123610.18944613004</v>
      </c>
      <c r="J45" s="72">
        <f t="shared" si="45"/>
        <v>0</v>
      </c>
      <c r="K45" s="72">
        <f t="shared" si="46"/>
        <v>0</v>
      </c>
      <c r="L45" s="72">
        <f t="shared" ca="1" si="47"/>
        <v>-118131.29156999226</v>
      </c>
      <c r="M45" s="90">
        <f t="shared" ca="1" si="48"/>
        <v>-5478.897876137783</v>
      </c>
      <c r="N45" s="94">
        <f t="shared" ca="1" si="18"/>
        <v>107639.89897475559</v>
      </c>
      <c r="O45" s="84">
        <f t="shared" ca="1" si="35"/>
        <v>-107639.89897475559</v>
      </c>
      <c r="P45" s="85">
        <f t="shared" si="19"/>
        <v>665.5</v>
      </c>
      <c r="Q45" s="90">
        <f>IFERROR(INDEX(Hoja1!$E$4:$E$38,MATCH(P45,Hoja1!$A$4:$A$38,0)),0)</f>
        <v>0</v>
      </c>
      <c r="R45" s="87">
        <f t="shared" si="20"/>
        <v>605.5</v>
      </c>
      <c r="S45" s="90">
        <f>IFERROR(INDEX(Hoja1!$E$45:$E$79,MATCH(R45,Hoja1!$A$45:$A$79,0)),0)*($C$3/$B$3)</f>
        <v>0</v>
      </c>
      <c r="T45" s="87">
        <f t="shared" si="2"/>
        <v>6660</v>
      </c>
      <c r="U45" s="90">
        <f>IFERROR(INDEX(Hoja1!$E$85:$E$130,MATCH(T45,Hoja1!$A$85:$A$130,0)),0)*($D$3/$B$3)</f>
        <v>-11198.654292343386</v>
      </c>
      <c r="V45" s="84">
        <f t="shared" si="3"/>
        <v>24800</v>
      </c>
      <c r="W45" s="90">
        <f>IFERROR(INDEX(Hoja1!$E$137:$E$189,MATCH(V45,Hoja1!$A$137:$A$189,0)),0)*($E$3/$B$3)</f>
        <v>-1863.570706169314</v>
      </c>
      <c r="AA45" s="87">
        <f t="shared" si="21"/>
        <v>665.5</v>
      </c>
      <c r="AB45" s="90">
        <f>IFERROR(INDEX(Hoja1!$W$4:$W$38,MATCH(AA45,Hoja1!$A$4:$A$38,0)),0)</f>
        <v>0</v>
      </c>
      <c r="AC45" s="87">
        <f t="shared" si="22"/>
        <v>605.5</v>
      </c>
      <c r="AD45" s="90">
        <f>IFERROR(INDEX(Hoja1!$W$45:$W$79,MATCH(AC45,Hoja1!$A$45:$A$79,0)),0)*($C$3/$B$3)</f>
        <v>0</v>
      </c>
      <c r="AE45" s="87">
        <f t="shared" si="4"/>
        <v>6660</v>
      </c>
      <c r="AF45" s="90">
        <f ca="1">IFERROR(INDEX(Hoja1!$W$85:$W$130,MATCH(AE45,Hoja1!$A$85:$A$130,0)),0)*($D$3/$B$3)</f>
        <v>-118131.29156999226</v>
      </c>
      <c r="AG45" s="84">
        <f t="shared" si="5"/>
        <v>24800</v>
      </c>
      <c r="AH45" s="90">
        <f ca="1">IFERROR(INDEX(Hoja1!$W$137:$W$189,MATCH(AG45,Hoja1!$A$137:$A$189,0)),0)*($E$3/$B$3)</f>
        <v>-5478.897876137783</v>
      </c>
    </row>
    <row r="46" spans="1:34" s="86" customFormat="1" ht="7.5" customHeight="1" x14ac:dyDescent="0.25">
      <c r="A46" s="67">
        <f t="shared" si="36"/>
        <v>665</v>
      </c>
      <c r="B46" s="72">
        <f t="shared" si="37"/>
        <v>-33764</v>
      </c>
      <c r="C46" s="72">
        <f t="shared" si="38"/>
        <v>-12829.368641799036</v>
      </c>
      <c r="D46" s="72">
        <f t="shared" si="39"/>
        <v>-11238.685228151586</v>
      </c>
      <c r="E46" s="72">
        <f t="shared" si="40"/>
        <v>-186.3570706169314</v>
      </c>
      <c r="F46" s="69">
        <f t="shared" si="41"/>
        <v>-58018.410940567563</v>
      </c>
      <c r="G46" s="83">
        <f t="shared" si="42"/>
        <v>-58018.410940567563</v>
      </c>
      <c r="H46" s="83">
        <f t="shared" ca="1" si="43"/>
        <v>-142014.16598845858</v>
      </c>
      <c r="I46" s="69">
        <f t="shared" ca="1" si="44"/>
        <v>-142014.16598845858</v>
      </c>
      <c r="J46" s="72">
        <f t="shared" ca="1" si="45"/>
        <v>-86265</v>
      </c>
      <c r="K46" s="72">
        <f t="shared" ca="1" si="46"/>
        <v>16657.156434053184</v>
      </c>
      <c r="L46" s="72">
        <f t="shared" ca="1" si="47"/>
        <v>-71735.4369682908</v>
      </c>
      <c r="M46" s="90">
        <f t="shared" ca="1" si="48"/>
        <v>-670.88545422095308</v>
      </c>
      <c r="N46" s="94">
        <f t="shared" ca="1" si="18"/>
        <v>192555.28911297521</v>
      </c>
      <c r="O46" s="84">
        <f t="shared" ca="1" si="35"/>
        <v>-192555.28911297521</v>
      </c>
      <c r="P46" s="85">
        <f t="shared" si="19"/>
        <v>665</v>
      </c>
      <c r="Q46" s="90">
        <f>IFERROR(INDEX(Hoja1!$E$4:$E$38,MATCH(P46,Hoja1!$A$4:$A$38,0)),0)</f>
        <v>-33764</v>
      </c>
      <c r="R46" s="87">
        <f t="shared" si="20"/>
        <v>605</v>
      </c>
      <c r="S46" s="90">
        <f>IFERROR(INDEX(Hoja1!$E$45:$E$79,MATCH(R46,Hoja1!$A$45:$A$79,0)),0)*($C$3/$B$3)</f>
        <v>-12829.368641799036</v>
      </c>
      <c r="T46" s="87">
        <f t="shared" si="2"/>
        <v>6655</v>
      </c>
      <c r="U46" s="90">
        <f>IFERROR(INDEX(Hoja1!$E$85:$E$130,MATCH(T46,Hoja1!$A$85:$A$130,0)),0)*($D$3/$B$3)</f>
        <v>-11238.685228151586</v>
      </c>
      <c r="V46" s="84">
        <f t="shared" si="3"/>
        <v>24775</v>
      </c>
      <c r="W46" s="90">
        <f>IFERROR(INDEX(Hoja1!$E$137:$E$189,MATCH(V46,Hoja1!$A$137:$A$189,0)),0)*($E$3/$B$3)</f>
        <v>-186.3570706169314</v>
      </c>
      <c r="AA46" s="87">
        <f t="shared" si="21"/>
        <v>665</v>
      </c>
      <c r="AB46" s="90">
        <f ca="1">IFERROR(INDEX(Hoja1!$W$4:$W$38,MATCH(AA46,Hoja1!$A$4:$A$38,0)),0)</f>
        <v>-86265</v>
      </c>
      <c r="AC46" s="87">
        <f t="shared" si="22"/>
        <v>605</v>
      </c>
      <c r="AD46" s="90">
        <f ca="1">IFERROR(INDEX(Hoja1!$W$45:$W$79,MATCH(AC46,Hoja1!$A$45:$A$79,0)),0)*($C$3/$B$3)</f>
        <v>16657.156434053184</v>
      </c>
      <c r="AE46" s="87">
        <f t="shared" si="4"/>
        <v>6655</v>
      </c>
      <c r="AF46" s="90">
        <f ca="1">IFERROR(INDEX(Hoja1!$W$85:$W$130,MATCH(AE46,Hoja1!$A$85:$A$130,0)),0)*($D$3/$B$3)</f>
        <v>-71735.4369682908</v>
      </c>
      <c r="AG46" s="84">
        <f t="shared" si="5"/>
        <v>24775</v>
      </c>
      <c r="AH46" s="90">
        <f ca="1">IFERROR(INDEX(Hoja1!$W$137:$W$189,MATCH(AG46,Hoja1!$A$137:$A$189,0)),0)*($E$3/$B$3)</f>
        <v>-670.88545422095308</v>
      </c>
    </row>
    <row r="47" spans="1:34" s="86" customFormat="1" ht="7.5" customHeight="1" x14ac:dyDescent="0.25">
      <c r="A47" s="67">
        <f t="shared" si="36"/>
        <v>664.5</v>
      </c>
      <c r="B47" s="72">
        <f t="shared" si="37"/>
        <v>0</v>
      </c>
      <c r="C47" s="72">
        <f t="shared" si="38"/>
        <v>0</v>
      </c>
      <c r="D47" s="72">
        <f t="shared" si="39"/>
        <v>-84305.150812064967</v>
      </c>
      <c r="E47" s="72">
        <f t="shared" si="40"/>
        <v>-186.3570706169314</v>
      </c>
      <c r="F47" s="69">
        <f t="shared" si="41"/>
        <v>-84491.507882681894</v>
      </c>
      <c r="G47" s="83">
        <f t="shared" si="42"/>
        <v>-84491.507882681894</v>
      </c>
      <c r="H47" s="83">
        <f t="shared" ca="1" si="43"/>
        <v>-312041.51190433692</v>
      </c>
      <c r="I47" s="69">
        <f t="shared" ca="1" si="44"/>
        <v>-312041.51190433692</v>
      </c>
      <c r="J47" s="72">
        <f t="shared" si="45"/>
        <v>0</v>
      </c>
      <c r="K47" s="72">
        <f t="shared" si="46"/>
        <v>0</v>
      </c>
      <c r="L47" s="72">
        <f t="shared" ca="1" si="47"/>
        <v>-311370.62645011599</v>
      </c>
      <c r="M47" s="90">
        <f t="shared" ca="1" si="48"/>
        <v>-670.88545422095308</v>
      </c>
      <c r="N47" s="94" t="str">
        <f t="shared" ca="1" si="18"/>
        <v/>
      </c>
      <c r="O47" s="84">
        <f t="shared" ca="1" si="35"/>
        <v>-205772.53188767922</v>
      </c>
      <c r="P47" s="85">
        <f t="shared" si="19"/>
        <v>664.5</v>
      </c>
      <c r="Q47" s="90">
        <f>IFERROR(INDEX(Hoja1!$E$4:$E$38,MATCH(P47,Hoja1!$A$4:$A$38,0)),0)</f>
        <v>0</v>
      </c>
      <c r="R47" s="87">
        <f t="shared" si="20"/>
        <v>604.5</v>
      </c>
      <c r="S47" s="90">
        <f>IFERROR(INDEX(Hoja1!$E$45:$E$79,MATCH(R47,Hoja1!$A$45:$A$79,0)),0)*($C$3/$B$3)</f>
        <v>0</v>
      </c>
      <c r="T47" s="87">
        <f t="shared" si="2"/>
        <v>6650</v>
      </c>
      <c r="U47" s="90">
        <f>IFERROR(INDEX(Hoja1!$E$85:$E$130,MATCH(T47,Hoja1!$A$85:$A$130,0)),0)*($D$3/$B$3)</f>
        <v>-84305.150812064967</v>
      </c>
      <c r="V47" s="84">
        <f t="shared" si="3"/>
        <v>24775</v>
      </c>
      <c r="W47" s="90">
        <f>IFERROR(INDEX(Hoja1!$E$137:$E$189,MATCH(V47,Hoja1!$A$137:$A$189,0)),0)*($E$3/$B$3)</f>
        <v>-186.3570706169314</v>
      </c>
      <c r="AA47" s="87">
        <f t="shared" si="21"/>
        <v>664.5</v>
      </c>
      <c r="AB47" s="90">
        <f>IFERROR(INDEX(Hoja1!$W$4:$W$38,MATCH(AA47,Hoja1!$A$4:$A$38,0)),0)</f>
        <v>0</v>
      </c>
      <c r="AC47" s="87">
        <f t="shared" si="22"/>
        <v>604.5</v>
      </c>
      <c r="AD47" s="90">
        <f>IFERROR(INDEX(Hoja1!$W$45:$W$79,MATCH(AC47,Hoja1!$A$45:$A$79,0)),0)*($C$3/$B$3)</f>
        <v>0</v>
      </c>
      <c r="AE47" s="87">
        <f t="shared" si="4"/>
        <v>6650</v>
      </c>
      <c r="AF47" s="90">
        <f ca="1">IFERROR(INDEX(Hoja1!$W$85:$W$130,MATCH(AE47,Hoja1!$A$85:$A$130,0)),0)*($D$3/$B$3)</f>
        <v>-311370.62645011599</v>
      </c>
      <c r="AG47" s="84">
        <f t="shared" si="5"/>
        <v>24775</v>
      </c>
      <c r="AH47" s="90">
        <f ca="1">IFERROR(INDEX(Hoja1!$W$137:$W$189,MATCH(AG47,Hoja1!$A$137:$A$189,0)),0)*($E$3/$B$3)</f>
        <v>-670.88545422095308</v>
      </c>
    </row>
    <row r="48" spans="1:34" s="86" customFormat="1" ht="7.5" customHeight="1" x14ac:dyDescent="0.25">
      <c r="A48" s="67">
        <f t="shared" si="36"/>
        <v>664</v>
      </c>
      <c r="B48" s="72">
        <f t="shared" si="37"/>
        <v>-16168</v>
      </c>
      <c r="C48" s="72">
        <f t="shared" si="38"/>
        <v>0</v>
      </c>
      <c r="D48" s="72">
        <f t="shared" si="39"/>
        <v>-25930.038669760248</v>
      </c>
      <c r="E48" s="72">
        <f t="shared" si="40"/>
        <v>15989.436658932713</v>
      </c>
      <c r="F48" s="69">
        <f t="shared" si="41"/>
        <v>-26108.602010827541</v>
      </c>
      <c r="G48" s="83">
        <f t="shared" si="42"/>
        <v>-26108.602010827541</v>
      </c>
      <c r="H48" s="83">
        <f t="shared" ca="1" si="43"/>
        <v>-163261.91777024211</v>
      </c>
      <c r="I48" s="69">
        <f t="shared" ca="1" si="44"/>
        <v>-163261.91777024211</v>
      </c>
      <c r="J48" s="72">
        <f t="shared" ca="1" si="45"/>
        <v>-50623</v>
      </c>
      <c r="K48" s="72">
        <f t="shared" si="46"/>
        <v>0</v>
      </c>
      <c r="L48" s="72">
        <f t="shared" ca="1" si="47"/>
        <v>-108203.61948955916</v>
      </c>
      <c r="M48" s="90">
        <f t="shared" ca="1" si="48"/>
        <v>-4435.2982806829668</v>
      </c>
      <c r="N48" s="94" t="str">
        <f t="shared" ca="1" si="18"/>
        <v/>
      </c>
      <c r="O48" s="84">
        <f t="shared" ca="1" si="35"/>
        <v>-203285.34987804154</v>
      </c>
      <c r="P48" s="85">
        <f t="shared" si="19"/>
        <v>664</v>
      </c>
      <c r="Q48" s="90">
        <f>IFERROR(INDEX(Hoja1!$E$4:$E$38,MATCH(P48,Hoja1!$A$4:$A$38,0)),0)</f>
        <v>-16168</v>
      </c>
      <c r="R48" s="87">
        <f t="shared" si="20"/>
        <v>604.5</v>
      </c>
      <c r="S48" s="90">
        <f>IFERROR(INDEX(Hoja1!$E$45:$E$79,MATCH(R48,Hoja1!$A$45:$A$79,0)),0)*($C$3/$B$3)</f>
        <v>0</v>
      </c>
      <c r="T48" s="87">
        <f t="shared" si="2"/>
        <v>6645</v>
      </c>
      <c r="U48" s="90">
        <f>IFERROR(INDEX(Hoja1!$E$85:$E$130,MATCH(T48,Hoja1!$A$85:$A$130,0)),0)*($D$3/$B$3)</f>
        <v>-25930.038669760248</v>
      </c>
      <c r="V48" s="84">
        <f t="shared" si="3"/>
        <v>24750</v>
      </c>
      <c r="W48" s="90">
        <f>IFERROR(INDEX(Hoja1!$E$137:$E$189,MATCH(V48,Hoja1!$A$137:$A$189,0)),0)*($E$3/$B$3)</f>
        <v>15989.436658932713</v>
      </c>
      <c r="AA48" s="87">
        <f t="shared" si="21"/>
        <v>664</v>
      </c>
      <c r="AB48" s="90">
        <f ca="1">IFERROR(INDEX(Hoja1!$W$4:$W$38,MATCH(AA48,Hoja1!$A$4:$A$38,0)),0)</f>
        <v>-50623</v>
      </c>
      <c r="AC48" s="87">
        <f t="shared" si="22"/>
        <v>604.5</v>
      </c>
      <c r="AD48" s="90">
        <f>IFERROR(INDEX(Hoja1!$W$45:$W$79,MATCH(AC48,Hoja1!$A$45:$A$79,0)),0)*($C$3/$B$3)</f>
        <v>0</v>
      </c>
      <c r="AE48" s="87">
        <f t="shared" si="4"/>
        <v>6645</v>
      </c>
      <c r="AF48" s="90">
        <f ca="1">IFERROR(INDEX(Hoja1!$W$85:$W$130,MATCH(AE48,Hoja1!$A$85:$A$130,0)),0)*($D$3/$B$3)</f>
        <v>-108203.61948955916</v>
      </c>
      <c r="AG48" s="84">
        <f t="shared" si="5"/>
        <v>24750</v>
      </c>
      <c r="AH48" s="90">
        <f ca="1">IFERROR(INDEX(Hoja1!$W$137:$W$189,MATCH(AG48,Hoja1!$A$137:$A$189,0)),0)*($E$3/$B$3)</f>
        <v>-4435.2982806829668</v>
      </c>
    </row>
    <row r="49" spans="1:34" s="86" customFormat="1" ht="7.5" customHeight="1" x14ac:dyDescent="0.25">
      <c r="A49" s="67">
        <f t="shared" si="36"/>
        <v>663.5</v>
      </c>
      <c r="B49" s="72">
        <f t="shared" si="6"/>
        <v>0</v>
      </c>
      <c r="C49" s="72">
        <f t="shared" si="7"/>
        <v>-1236.7959129038015</v>
      </c>
      <c r="D49" s="72">
        <f t="shared" si="8"/>
        <v>-12729.837587006959</v>
      </c>
      <c r="E49" s="72">
        <f t="shared" si="9"/>
        <v>-521.79979772740785</v>
      </c>
      <c r="F49" s="69">
        <f t="shared" si="10"/>
        <v>-14488.433297638168</v>
      </c>
      <c r="G49" s="83">
        <f t="shared" si="11"/>
        <v>-14488.433297638168</v>
      </c>
      <c r="H49" s="83">
        <f t="shared" ca="1" si="12"/>
        <v>-134552.6199595455</v>
      </c>
      <c r="I49" s="69">
        <f t="shared" ca="1" si="13"/>
        <v>-134552.6199595455</v>
      </c>
      <c r="J49" s="72">
        <f t="shared" si="14"/>
        <v>0</v>
      </c>
      <c r="K49" s="72">
        <f t="shared" ca="1" si="15"/>
        <v>-2139.5932238681658</v>
      </c>
      <c r="L49" s="72">
        <f t="shared" ca="1" si="16"/>
        <v>-132152.12683681361</v>
      </c>
      <c r="M49" s="90">
        <f t="shared" ca="1" si="17"/>
        <v>-260.89989886370392</v>
      </c>
      <c r="N49" s="94" t="str">
        <f t="shared" ca="1" si="18"/>
        <v/>
      </c>
      <c r="O49" s="84">
        <f t="shared" ca="1" si="35"/>
        <v>-160401.05658278303</v>
      </c>
      <c r="P49" s="85">
        <f t="shared" si="19"/>
        <v>663.5</v>
      </c>
      <c r="Q49" s="90">
        <f>IFERROR(INDEX(Hoja1!$E$4:$E$38,MATCH(P49,Hoja1!$A$4:$A$38,0)),0)</f>
        <v>0</v>
      </c>
      <c r="R49" s="87">
        <f t="shared" si="20"/>
        <v>604</v>
      </c>
      <c r="S49" s="90">
        <f>IFERROR(INDEX(Hoja1!$E$45:$E$79,MATCH(R49,Hoja1!$A$45:$A$79,0)),0)*($C$3/$B$3)</f>
        <v>-1236.7959129038015</v>
      </c>
      <c r="T49" s="87">
        <f t="shared" si="2"/>
        <v>6640</v>
      </c>
      <c r="U49" s="90">
        <f>IFERROR(INDEX(Hoja1!$E$85:$E$130,MATCH(T49,Hoja1!$A$85:$A$130,0)),0)*($D$3/$B$3)</f>
        <v>-12729.837587006959</v>
      </c>
      <c r="V49" s="84">
        <f t="shared" si="3"/>
        <v>24725</v>
      </c>
      <c r="W49" s="90">
        <f>IFERROR(INDEX(Hoja1!$E$137:$E$189,MATCH(V49,Hoja1!$A$137:$A$189,0)),0)*($E$3/$B$3)</f>
        <v>-521.79979772740785</v>
      </c>
      <c r="AA49" s="87">
        <f t="shared" si="21"/>
        <v>663.5</v>
      </c>
      <c r="AB49" s="90">
        <f>IFERROR(INDEX(Hoja1!$W$4:$W$38,MATCH(AA49,Hoja1!$A$4:$A$38,0)),0)</f>
        <v>0</v>
      </c>
      <c r="AC49" s="87">
        <f t="shared" si="22"/>
        <v>604</v>
      </c>
      <c r="AD49" s="90">
        <f ca="1">IFERROR(INDEX(Hoja1!$W$45:$W$79,MATCH(AC49,Hoja1!$A$45:$A$79,0)),0)*($C$3/$B$3)</f>
        <v>-2139.5932238681658</v>
      </c>
      <c r="AE49" s="87">
        <f t="shared" si="4"/>
        <v>6640</v>
      </c>
      <c r="AF49" s="90">
        <f ca="1">IFERROR(INDEX(Hoja1!$W$85:$W$130,MATCH(AE49,Hoja1!$A$85:$A$130,0)),0)*($D$3/$B$3)</f>
        <v>-132152.12683681361</v>
      </c>
      <c r="AG49" s="84">
        <f t="shared" si="5"/>
        <v>24725</v>
      </c>
      <c r="AH49" s="90">
        <f ca="1">IFERROR(INDEX(Hoja1!$W$137:$W$189,MATCH(AG49,Hoja1!$A$137:$A$189,0)),0)*($E$3/$B$3)</f>
        <v>-260.89989886370392</v>
      </c>
    </row>
    <row r="50" spans="1:34" s="86" customFormat="1" ht="7.5" customHeight="1" x14ac:dyDescent="0.25">
      <c r="A50" s="67">
        <f t="shared" si="36"/>
        <v>663</v>
      </c>
      <c r="B50" s="72">
        <f t="shared" si="6"/>
        <v>-15956</v>
      </c>
      <c r="C50" s="72">
        <f t="shared" si="7"/>
        <v>0</v>
      </c>
      <c r="D50" s="72">
        <f t="shared" si="8"/>
        <v>-9647.4555297757142</v>
      </c>
      <c r="E50" s="72">
        <f t="shared" si="9"/>
        <v>-5702.5263608781006</v>
      </c>
      <c r="F50" s="69">
        <f t="shared" si="10"/>
        <v>-31305.981890653813</v>
      </c>
      <c r="G50" s="83">
        <f t="shared" si="11"/>
        <v>-31305.981890653813</v>
      </c>
      <c r="H50" s="83">
        <f t="shared" ca="1" si="12"/>
        <v>-183388.6320185615</v>
      </c>
      <c r="I50" s="69">
        <f t="shared" ca="1" si="13"/>
        <v>-183388.6320185615</v>
      </c>
      <c r="J50" s="72">
        <f t="shared" ca="1" si="14"/>
        <v>-88010</v>
      </c>
      <c r="K50" s="72">
        <f t="shared" si="15"/>
        <v>0</v>
      </c>
      <c r="L50" s="72">
        <f t="shared" ca="1" si="16"/>
        <v>-92471.461716937352</v>
      </c>
      <c r="M50" s="90">
        <f t="shared" ca="1" si="17"/>
        <v>-2907.1703016241299</v>
      </c>
      <c r="N50" s="94" t="str">
        <f t="shared" ca="1" si="18"/>
        <v/>
      </c>
      <c r="O50" s="84">
        <f t="shared" ca="1" si="35"/>
        <v>-145920.7483609971</v>
      </c>
      <c r="P50" s="85">
        <f t="shared" si="19"/>
        <v>663</v>
      </c>
      <c r="Q50" s="90">
        <f>IFERROR(INDEX(Hoja1!$E$4:$E$38,MATCH(P50,Hoja1!$A$4:$A$38,0)),0)</f>
        <v>-15956</v>
      </c>
      <c r="R50" s="87">
        <f t="shared" si="20"/>
        <v>603.5</v>
      </c>
      <c r="S50" s="90">
        <f>IFERROR(INDEX(Hoja1!$E$45:$E$79,MATCH(R50,Hoja1!$A$45:$A$79,0)),0)*($C$3/$B$3)</f>
        <v>0</v>
      </c>
      <c r="T50" s="87">
        <f t="shared" si="2"/>
        <v>6635</v>
      </c>
      <c r="U50" s="90">
        <f>IFERROR(INDEX(Hoja1!$E$85:$E$130,MATCH(T50,Hoja1!$A$85:$A$130,0)),0)*($D$3/$B$3)</f>
        <v>-9647.4555297757142</v>
      </c>
      <c r="V50" s="84">
        <f t="shared" si="3"/>
        <v>24700</v>
      </c>
      <c r="W50" s="90">
        <f>IFERROR(INDEX(Hoja1!$E$137:$E$189,MATCH(V50,Hoja1!$A$137:$A$189,0)),0)*($E$3/$B$3)</f>
        <v>-5702.5263608781006</v>
      </c>
      <c r="AA50" s="87">
        <f t="shared" si="21"/>
        <v>663</v>
      </c>
      <c r="AB50" s="90">
        <f ca="1">IFERROR(INDEX(Hoja1!$W$4:$W$38,MATCH(AA50,Hoja1!$A$4:$A$38,0)),0)</f>
        <v>-88010</v>
      </c>
      <c r="AC50" s="87">
        <f t="shared" si="22"/>
        <v>603.5</v>
      </c>
      <c r="AD50" s="90">
        <f>IFERROR(INDEX(Hoja1!$W$45:$W$79,MATCH(AC50,Hoja1!$A$45:$A$79,0)),0)*($C$3/$B$3)</f>
        <v>0</v>
      </c>
      <c r="AE50" s="87">
        <f t="shared" si="4"/>
        <v>6635</v>
      </c>
      <c r="AF50" s="90">
        <f ca="1">IFERROR(INDEX(Hoja1!$W$85:$W$130,MATCH(AE50,Hoja1!$A$85:$A$130,0)),0)*($D$3/$B$3)</f>
        <v>-92471.461716937352</v>
      </c>
      <c r="AG50" s="84">
        <f t="shared" si="5"/>
        <v>24700</v>
      </c>
      <c r="AH50" s="90">
        <f ca="1">IFERROR(INDEX(Hoja1!$W$137:$W$189,MATCH(AG50,Hoja1!$A$137:$A$189,0)),0)*($E$3/$B$3)</f>
        <v>-2907.1703016241299</v>
      </c>
    </row>
    <row r="51" spans="1:34" s="86" customFormat="1" ht="7.5" customHeight="1" x14ac:dyDescent="0.25">
      <c r="A51" s="67">
        <f t="shared" si="36"/>
        <v>662.5</v>
      </c>
      <c r="B51" s="72">
        <f t="shared" si="6"/>
        <v>0</v>
      </c>
      <c r="C51" s="72">
        <f t="shared" si="7"/>
        <v>-4329.2407341305252</v>
      </c>
      <c r="D51" s="72">
        <f t="shared" si="8"/>
        <v>-10347.996906419179</v>
      </c>
      <c r="E51" s="72">
        <f t="shared" si="9"/>
        <v>-5702.5263608781006</v>
      </c>
      <c r="F51" s="69">
        <f t="shared" si="10"/>
        <v>-20379.764001427808</v>
      </c>
      <c r="G51" s="83">
        <f t="shared" si="11"/>
        <v>-20379.764001427808</v>
      </c>
      <c r="H51" s="83">
        <f t="shared" ca="1" si="12"/>
        <v>-119820.99310488428</v>
      </c>
      <c r="I51" s="69">
        <f t="shared" ca="1" si="13"/>
        <v>-119820.99310488428</v>
      </c>
      <c r="J51" s="72">
        <f t="shared" si="14"/>
        <v>0</v>
      </c>
      <c r="K51" s="72">
        <f t="shared" ca="1" si="15"/>
        <v>526.93512404069247</v>
      </c>
      <c r="L51" s="72">
        <f t="shared" ca="1" si="16"/>
        <v>-117440.75792730085</v>
      </c>
      <c r="M51" s="90">
        <f t="shared" ca="1" si="17"/>
        <v>-2907.1703016241299</v>
      </c>
      <c r="N51" s="94" t="str">
        <f t="shared" ca="1" si="18"/>
        <v/>
      </c>
      <c r="O51" s="84">
        <f t="shared" ca="1" si="35"/>
        <v>-185056.57391278481</v>
      </c>
      <c r="P51" s="85">
        <f t="shared" si="19"/>
        <v>662.5</v>
      </c>
      <c r="Q51" s="90">
        <f>IFERROR(INDEX(Hoja1!$E$4:$E$38,MATCH(P51,Hoja1!$A$4:$A$38,0)),0)</f>
        <v>0</v>
      </c>
      <c r="R51" s="87">
        <f t="shared" si="20"/>
        <v>603</v>
      </c>
      <c r="S51" s="90">
        <f>IFERROR(INDEX(Hoja1!$E$45:$E$79,MATCH(R51,Hoja1!$A$45:$A$79,0)),0)*($C$3/$B$3)</f>
        <v>-4329.2407341305252</v>
      </c>
      <c r="T51" s="87">
        <f t="shared" si="2"/>
        <v>6630</v>
      </c>
      <c r="U51" s="90">
        <f>IFERROR(INDEX(Hoja1!$E$85:$E$130,MATCH(T51,Hoja1!$A$85:$A$130,0)),0)*($D$3/$B$3)</f>
        <v>-10347.996906419179</v>
      </c>
      <c r="V51" s="84">
        <f t="shared" si="3"/>
        <v>24700</v>
      </c>
      <c r="W51" s="90">
        <f>IFERROR(INDEX(Hoja1!$E$137:$E$189,MATCH(V51,Hoja1!$A$137:$A$189,0)),0)*($E$3/$B$3)</f>
        <v>-5702.5263608781006</v>
      </c>
      <c r="AA51" s="87">
        <f t="shared" si="21"/>
        <v>662.5</v>
      </c>
      <c r="AB51" s="90">
        <f>IFERROR(INDEX(Hoja1!$W$4:$W$38,MATCH(AA51,Hoja1!$A$4:$A$38,0)),0)</f>
        <v>0</v>
      </c>
      <c r="AC51" s="87">
        <f t="shared" si="22"/>
        <v>603</v>
      </c>
      <c r="AD51" s="90">
        <f ca="1">IFERROR(INDEX(Hoja1!$W$45:$W$79,MATCH(AC51,Hoja1!$A$45:$A$79,0)),0)*($C$3/$B$3)</f>
        <v>526.93512404069247</v>
      </c>
      <c r="AE51" s="87">
        <f t="shared" si="4"/>
        <v>6630</v>
      </c>
      <c r="AF51" s="90">
        <f ca="1">IFERROR(INDEX(Hoja1!$W$85:$W$130,MATCH(AE51,Hoja1!$A$85:$A$130,0)),0)*($D$3/$B$3)</f>
        <v>-117440.75792730085</v>
      </c>
      <c r="AG51" s="84">
        <f t="shared" si="5"/>
        <v>24700</v>
      </c>
      <c r="AH51" s="90">
        <f ca="1">IFERROR(INDEX(Hoja1!$W$137:$W$189,MATCH(AG51,Hoja1!$A$137:$A$189,0)),0)*($E$3/$B$3)</f>
        <v>-2907.1703016241299</v>
      </c>
    </row>
    <row r="52" spans="1:34" s="86" customFormat="1" ht="7.5" customHeight="1" x14ac:dyDescent="0.25">
      <c r="A52" s="67">
        <f t="shared" si="36"/>
        <v>662</v>
      </c>
      <c r="B52" s="72">
        <f t="shared" si="6"/>
        <v>-9267</v>
      </c>
      <c r="C52" s="72">
        <f t="shared" si="7"/>
        <v>0</v>
      </c>
      <c r="D52" s="72">
        <f t="shared" si="8"/>
        <v>-29152.529002320185</v>
      </c>
      <c r="E52" s="72">
        <f t="shared" si="9"/>
        <v>-3354.4272711047652</v>
      </c>
      <c r="F52" s="69">
        <f t="shared" si="10"/>
        <v>-41773.956273424948</v>
      </c>
      <c r="G52" s="83">
        <f t="shared" si="11"/>
        <v>-41773.956273424948</v>
      </c>
      <c r="H52" s="83">
        <f t="shared" ca="1" si="12"/>
        <v>-251960.09661490869</v>
      </c>
      <c r="I52" s="69">
        <f t="shared" ca="1" si="13"/>
        <v>-251960.09661490869</v>
      </c>
      <c r="J52" s="72">
        <f t="shared" ca="1" si="14"/>
        <v>-82788</v>
      </c>
      <c r="K52" s="72">
        <f t="shared" si="15"/>
        <v>0</v>
      </c>
      <c r="L52" s="72">
        <f t="shared" ca="1" si="16"/>
        <v>-169731.16782675948</v>
      </c>
      <c r="M52" s="90">
        <f t="shared" ca="1" si="17"/>
        <v>559.07121185079416</v>
      </c>
      <c r="N52" s="94" t="str">
        <f t="shared" ca="1" si="18"/>
        <v/>
      </c>
      <c r="O52" s="84">
        <f t="shared" ca="1" si="35"/>
        <v>-186038.8334919785</v>
      </c>
      <c r="P52" s="85">
        <f t="shared" si="19"/>
        <v>662</v>
      </c>
      <c r="Q52" s="90">
        <f>IFERROR(INDEX(Hoja1!$E$4:$E$38,MATCH(P52,Hoja1!$A$4:$A$38,0)),0)</f>
        <v>-9267</v>
      </c>
      <c r="R52" s="87">
        <f t="shared" si="20"/>
        <v>602.5</v>
      </c>
      <c r="S52" s="90">
        <f>IFERROR(INDEX(Hoja1!$E$45:$E$79,MATCH(R52,Hoja1!$A$45:$A$79,0)),0)*($C$3/$B$3)</f>
        <v>0</v>
      </c>
      <c r="T52" s="87">
        <f t="shared" si="2"/>
        <v>6625</v>
      </c>
      <c r="U52" s="90">
        <f>IFERROR(INDEX(Hoja1!$E$85:$E$130,MATCH(T52,Hoja1!$A$85:$A$130,0)),0)*($D$3/$B$3)</f>
        <v>-29152.529002320185</v>
      </c>
      <c r="V52" s="84">
        <f t="shared" si="3"/>
        <v>24675</v>
      </c>
      <c r="W52" s="90">
        <f>IFERROR(INDEX(Hoja1!$E$137:$E$189,MATCH(V52,Hoja1!$A$137:$A$189,0)),0)*($E$3/$B$3)</f>
        <v>-3354.4272711047652</v>
      </c>
      <c r="AA52" s="87">
        <f t="shared" si="21"/>
        <v>662</v>
      </c>
      <c r="AB52" s="90">
        <f ca="1">IFERROR(INDEX(Hoja1!$W$4:$W$38,MATCH(AA52,Hoja1!$A$4:$A$38,0)),0)</f>
        <v>-82788</v>
      </c>
      <c r="AC52" s="87">
        <f t="shared" si="22"/>
        <v>602.5</v>
      </c>
      <c r="AD52" s="90">
        <f>IFERROR(INDEX(Hoja1!$W$45:$W$79,MATCH(AC52,Hoja1!$A$45:$A$79,0)),0)*($C$3/$B$3)</f>
        <v>0</v>
      </c>
      <c r="AE52" s="87">
        <f t="shared" si="4"/>
        <v>6625</v>
      </c>
      <c r="AF52" s="90">
        <f ca="1">IFERROR(INDEX(Hoja1!$W$85:$W$130,MATCH(AE52,Hoja1!$A$85:$A$130,0)),0)*($D$3/$B$3)</f>
        <v>-169731.16782675948</v>
      </c>
      <c r="AG52" s="84">
        <f t="shared" si="5"/>
        <v>24675</v>
      </c>
      <c r="AH52" s="90">
        <f ca="1">IFERROR(INDEX(Hoja1!$W$137:$W$189,MATCH(AG52,Hoja1!$A$137:$A$189,0)),0)*($E$3/$B$3)</f>
        <v>559.07121185079416</v>
      </c>
    </row>
    <row r="53" spans="1:34" s="86" customFormat="1" ht="7.5" customHeight="1" x14ac:dyDescent="0.25">
      <c r="A53" s="67">
        <f t="shared" si="36"/>
        <v>661.5</v>
      </c>
      <c r="B53" s="72">
        <f t="shared" si="6"/>
        <v>0</v>
      </c>
      <c r="C53" s="72">
        <f t="shared" si="7"/>
        <v>-1592.6363852697959</v>
      </c>
      <c r="D53" s="72">
        <f t="shared" si="8"/>
        <v>-10858.391337973704</v>
      </c>
      <c r="E53" s="72">
        <f t="shared" si="9"/>
        <v>-559.07121185079416</v>
      </c>
      <c r="F53" s="69">
        <f t="shared" si="10"/>
        <v>-13010.098935094295</v>
      </c>
      <c r="G53" s="83">
        <f t="shared" si="11"/>
        <v>-13010.098935094295</v>
      </c>
      <c r="H53" s="83">
        <f t="shared" ca="1" si="12"/>
        <v>-186335.41075614255</v>
      </c>
      <c r="I53" s="69">
        <f t="shared" ca="1" si="13"/>
        <v>-186335.41075614255</v>
      </c>
      <c r="J53" s="72">
        <f t="shared" si="14"/>
        <v>0</v>
      </c>
      <c r="K53" s="72">
        <f t="shared" ca="1" si="15"/>
        <v>-18316.228508537093</v>
      </c>
      <c r="L53" s="72">
        <f t="shared" ca="1" si="16"/>
        <v>-167199.21113689095</v>
      </c>
      <c r="M53" s="90">
        <f t="shared" ca="1" si="17"/>
        <v>-819.97111071449808</v>
      </c>
      <c r="N53" s="94" t="str">
        <f t="shared" ca="1" si="18"/>
        <v/>
      </c>
      <c r="O53" s="84">
        <f t="shared" ca="1" si="35"/>
        <v>-196018.12935530569</v>
      </c>
      <c r="P53" s="85">
        <f t="shared" si="19"/>
        <v>661.5</v>
      </c>
      <c r="Q53" s="90">
        <f>IFERROR(INDEX(Hoja1!$E$4:$E$38,MATCH(P53,Hoja1!$A$4:$A$38,0)),0)</f>
        <v>0</v>
      </c>
      <c r="R53" s="87">
        <f t="shared" si="20"/>
        <v>602</v>
      </c>
      <c r="S53" s="90">
        <f>IFERROR(INDEX(Hoja1!$E$45:$E$79,MATCH(R53,Hoja1!$A$45:$A$79,0)),0)*($C$3/$B$3)</f>
        <v>-1592.6363852697959</v>
      </c>
      <c r="T53" s="87">
        <f t="shared" si="2"/>
        <v>6620</v>
      </c>
      <c r="U53" s="90">
        <f>IFERROR(INDEX(Hoja1!$E$85:$E$130,MATCH(T53,Hoja1!$A$85:$A$130,0)),0)*($D$3/$B$3)</f>
        <v>-10858.391337973704</v>
      </c>
      <c r="V53" s="84">
        <f t="shared" si="3"/>
        <v>24650</v>
      </c>
      <c r="W53" s="90">
        <f>IFERROR(INDEX(Hoja1!$E$137:$E$189,MATCH(V53,Hoja1!$A$137:$A$189,0)),0)*($E$3/$B$3)</f>
        <v>-559.07121185079416</v>
      </c>
      <c r="AA53" s="87">
        <f t="shared" si="21"/>
        <v>661.5</v>
      </c>
      <c r="AB53" s="90">
        <f>IFERROR(INDEX(Hoja1!$W$4:$W$38,MATCH(AA53,Hoja1!$A$4:$A$38,0)),0)</f>
        <v>0</v>
      </c>
      <c r="AC53" s="87">
        <f t="shared" si="22"/>
        <v>602</v>
      </c>
      <c r="AD53" s="90">
        <f ca="1">IFERROR(INDEX(Hoja1!$W$45:$W$79,MATCH(AC53,Hoja1!$A$45:$A$79,0)),0)*($C$3/$B$3)</f>
        <v>-18316.228508537093</v>
      </c>
      <c r="AE53" s="87">
        <f t="shared" si="4"/>
        <v>6620</v>
      </c>
      <c r="AF53" s="90">
        <f ca="1">IFERROR(INDEX(Hoja1!$W$85:$W$130,MATCH(AE53,Hoja1!$A$85:$A$130,0)),0)*($D$3/$B$3)</f>
        <v>-167199.21113689095</v>
      </c>
      <c r="AG53" s="84">
        <f t="shared" si="5"/>
        <v>24650</v>
      </c>
      <c r="AH53" s="90">
        <f ca="1">IFERROR(INDEX(Hoja1!$W$137:$W$189,MATCH(AG53,Hoja1!$A$137:$A$189,0)),0)*($E$3/$B$3)</f>
        <v>-819.97111071449808</v>
      </c>
    </row>
    <row r="54" spans="1:34" s="86" customFormat="1" ht="7.5" customHeight="1" x14ac:dyDescent="0.25">
      <c r="A54" s="67">
        <f t="shared" si="36"/>
        <v>661</v>
      </c>
      <c r="B54" s="72">
        <f t="shared" si="6"/>
        <v>-9836</v>
      </c>
      <c r="C54" s="72">
        <f t="shared" si="7"/>
        <v>0</v>
      </c>
      <c r="D54" s="72">
        <f t="shared" si="8"/>
        <v>-14361.098221191029</v>
      </c>
      <c r="E54" s="72">
        <f t="shared" si="9"/>
        <v>-2795.3560592539711</v>
      </c>
      <c r="F54" s="69">
        <f t="shared" si="10"/>
        <v>-26992.454280445003</v>
      </c>
      <c r="G54" s="83">
        <f t="shared" si="11"/>
        <v>-26992.454280445003</v>
      </c>
      <c r="H54" s="83">
        <f t="shared" ca="1" si="12"/>
        <v>-149758.88069486586</v>
      </c>
      <c r="I54" s="69">
        <f t="shared" ca="1" si="13"/>
        <v>-149758.88069486586</v>
      </c>
      <c r="J54" s="72">
        <f t="shared" ca="1" si="14"/>
        <v>-54272</v>
      </c>
      <c r="K54" s="72">
        <f t="shared" si="15"/>
        <v>0</v>
      </c>
      <c r="L54" s="72">
        <f t="shared" ca="1" si="16"/>
        <v>-95934.137664346476</v>
      </c>
      <c r="M54" s="90">
        <f t="shared" ca="1" si="17"/>
        <v>447.25696948063535</v>
      </c>
      <c r="N54" s="94" t="str">
        <f t="shared" ca="1" si="18"/>
        <v/>
      </c>
      <c r="O54" s="84">
        <f t="shared" ca="1" si="35"/>
        <v>-119237.29133400758</v>
      </c>
      <c r="P54" s="85">
        <f t="shared" si="19"/>
        <v>661</v>
      </c>
      <c r="Q54" s="90">
        <f>IFERROR(INDEX(Hoja1!$E$4:$E$38,MATCH(P54,Hoja1!$A$4:$A$38,0)),0)</f>
        <v>-9836</v>
      </c>
      <c r="R54" s="87">
        <f t="shared" si="20"/>
        <v>601.5</v>
      </c>
      <c r="S54" s="90">
        <f>IFERROR(INDEX(Hoja1!$E$45:$E$79,MATCH(R54,Hoja1!$A$45:$A$79,0)),0)*($C$3/$B$3)</f>
        <v>0</v>
      </c>
      <c r="T54" s="87">
        <f t="shared" si="2"/>
        <v>6615</v>
      </c>
      <c r="U54" s="90">
        <f>IFERROR(INDEX(Hoja1!$E$85:$E$130,MATCH(T54,Hoja1!$A$85:$A$130,0)),0)*($D$3/$B$3)</f>
        <v>-14361.098221191029</v>
      </c>
      <c r="V54" s="84">
        <f t="shared" si="3"/>
        <v>24625</v>
      </c>
      <c r="W54" s="90">
        <f>IFERROR(INDEX(Hoja1!$E$137:$E$189,MATCH(V54,Hoja1!$A$137:$A$189,0)),0)*($E$3/$B$3)</f>
        <v>-2795.3560592539711</v>
      </c>
      <c r="AA54" s="87">
        <f t="shared" si="21"/>
        <v>661</v>
      </c>
      <c r="AB54" s="90">
        <f ca="1">IFERROR(INDEX(Hoja1!$W$4:$W$38,MATCH(AA54,Hoja1!$A$4:$A$38,0)),0)</f>
        <v>-54272</v>
      </c>
      <c r="AC54" s="87">
        <f t="shared" si="22"/>
        <v>601.5</v>
      </c>
      <c r="AD54" s="90">
        <f>IFERROR(INDEX(Hoja1!$W$45:$W$79,MATCH(AC54,Hoja1!$A$45:$A$79,0)),0)*($C$3/$B$3)</f>
        <v>0</v>
      </c>
      <c r="AE54" s="87">
        <f t="shared" si="4"/>
        <v>6615</v>
      </c>
      <c r="AF54" s="90">
        <f ca="1">IFERROR(INDEX(Hoja1!$W$85:$W$130,MATCH(AE54,Hoja1!$A$85:$A$130,0)),0)*($D$3/$B$3)</f>
        <v>-95934.137664346476</v>
      </c>
      <c r="AG54" s="84">
        <f t="shared" si="5"/>
        <v>24625</v>
      </c>
      <c r="AH54" s="90">
        <f ca="1">IFERROR(INDEX(Hoja1!$W$137:$W$189,MATCH(AG54,Hoja1!$A$137:$A$189,0)),0)*($E$3/$B$3)</f>
        <v>447.25696948063535</v>
      </c>
    </row>
    <row r="55" spans="1:34" s="86" customFormat="1" ht="7.5" customHeight="1" x14ac:dyDescent="0.25">
      <c r="A55" s="67">
        <f t="shared" si="36"/>
        <v>660.5</v>
      </c>
      <c r="B55" s="72">
        <f t="shared" si="6"/>
        <v>0</v>
      </c>
      <c r="C55" s="72">
        <f t="shared" si="7"/>
        <v>-5354.8985662442738</v>
      </c>
      <c r="D55" s="72">
        <f t="shared" si="8"/>
        <v>0</v>
      </c>
      <c r="E55" s="72">
        <f t="shared" si="9"/>
        <v>-2795.3560592539711</v>
      </c>
      <c r="F55" s="69">
        <f t="shared" si="10"/>
        <v>-8150.2546254982444</v>
      </c>
      <c r="G55" s="83">
        <f t="shared" si="11"/>
        <v>-8150.2546254982444</v>
      </c>
      <c r="H55" s="83">
        <f t="shared" ca="1" si="12"/>
        <v>-21617.582551014337</v>
      </c>
      <c r="I55" s="69">
        <f t="shared" ca="1" si="13"/>
        <v>-21617.582551014337</v>
      </c>
      <c r="J55" s="72">
        <f t="shared" si="14"/>
        <v>0</v>
      </c>
      <c r="K55" s="72">
        <f t="shared" ca="1" si="15"/>
        <v>-22064.839520494974</v>
      </c>
      <c r="L55" s="72">
        <f t="shared" si="16"/>
        <v>0</v>
      </c>
      <c r="M55" s="90">
        <f t="shared" ca="1" si="17"/>
        <v>447.25696948063535</v>
      </c>
      <c r="N55" s="94" t="str">
        <f t="shared" ca="1" si="18"/>
        <v/>
      </c>
      <c r="O55" s="84">
        <f t="shared" ca="1" si="35"/>
        <v>-139559.32303131258</v>
      </c>
      <c r="P55" s="85">
        <f t="shared" si="19"/>
        <v>660.5</v>
      </c>
      <c r="Q55" s="90">
        <f>IFERROR(INDEX(Hoja1!$E$4:$E$38,MATCH(P55,Hoja1!$A$4:$A$38,0)),0)</f>
        <v>0</v>
      </c>
      <c r="R55" s="87">
        <f t="shared" si="20"/>
        <v>601</v>
      </c>
      <c r="S55" s="90">
        <f>IFERROR(INDEX(Hoja1!$E$45:$E$79,MATCH(R55,Hoja1!$A$45:$A$79,0)),0)*($C$3/$B$3)</f>
        <v>-5354.8985662442738</v>
      </c>
      <c r="T55" s="87">
        <f t="shared" si="2"/>
        <v>6610</v>
      </c>
      <c r="U55" s="90">
        <f>IFERROR(INDEX(Hoja1!$E$85:$E$130,MATCH(T55,Hoja1!$A$85:$A$130,0)),0)*($D$3/$B$3)</f>
        <v>0</v>
      </c>
      <c r="V55" s="84">
        <f t="shared" si="3"/>
        <v>24625</v>
      </c>
      <c r="W55" s="90">
        <f>IFERROR(INDEX(Hoja1!$E$137:$E$189,MATCH(V55,Hoja1!$A$137:$A$189,0)),0)*($E$3/$B$3)</f>
        <v>-2795.3560592539711</v>
      </c>
      <c r="AA55" s="87">
        <f t="shared" si="21"/>
        <v>660.5</v>
      </c>
      <c r="AB55" s="90">
        <f>IFERROR(INDEX(Hoja1!$W$4:$W$38,MATCH(AA55,Hoja1!$A$4:$A$38,0)),0)</f>
        <v>0</v>
      </c>
      <c r="AC55" s="87">
        <f t="shared" si="22"/>
        <v>601</v>
      </c>
      <c r="AD55" s="90">
        <f ca="1">IFERROR(INDEX(Hoja1!$W$45:$W$79,MATCH(AC55,Hoja1!$A$45:$A$79,0)),0)*($C$3/$B$3)</f>
        <v>-22064.839520494974</v>
      </c>
      <c r="AE55" s="87">
        <f t="shared" si="4"/>
        <v>6610</v>
      </c>
      <c r="AF55" s="90">
        <f>IFERROR(INDEX(Hoja1!$W$85:$W$130,MATCH(AE55,Hoja1!$A$85:$A$130,0)),0)*($D$3/$B$3)</f>
        <v>0</v>
      </c>
      <c r="AG55" s="84">
        <f t="shared" si="5"/>
        <v>24625</v>
      </c>
      <c r="AH55" s="90">
        <f ca="1">IFERROR(INDEX(Hoja1!$W$137:$W$189,MATCH(AG55,Hoja1!$A$137:$A$189,0)),0)*($E$3/$B$3)</f>
        <v>447.25696948063535</v>
      </c>
    </row>
    <row r="56" spans="1:34" s="86" customFormat="1" ht="7.5" customHeight="1" x14ac:dyDescent="0.25">
      <c r="A56" s="67">
        <f t="shared" si="36"/>
        <v>660</v>
      </c>
      <c r="B56" s="72">
        <f t="shared" si="6"/>
        <v>-72099</v>
      </c>
      <c r="C56" s="72">
        <f t="shared" si="7"/>
        <v>0</v>
      </c>
      <c r="D56" s="72">
        <f t="shared" si="8"/>
        <v>0</v>
      </c>
      <c r="E56" s="72">
        <f t="shared" si="9"/>
        <v>151135.58427033137</v>
      </c>
      <c r="F56" s="69">
        <f t="shared" si="10"/>
        <v>79036.584270331368</v>
      </c>
      <c r="G56" s="83">
        <f t="shared" si="11"/>
        <v>79036.584270331368</v>
      </c>
      <c r="H56" s="83">
        <f t="shared" ca="1" si="12"/>
        <v>-247301.5058480576</v>
      </c>
      <c r="I56" s="69">
        <f t="shared" ca="1" si="13"/>
        <v>-247301.5058480576</v>
      </c>
      <c r="J56" s="72">
        <f t="shared" ca="1" si="14"/>
        <v>-225535</v>
      </c>
      <c r="K56" s="72">
        <f t="shared" si="15"/>
        <v>0</v>
      </c>
      <c r="L56" s="72">
        <f t="shared" si="16"/>
        <v>0</v>
      </c>
      <c r="M56" s="90">
        <f t="shared" ca="1" si="17"/>
        <v>-21766.505848057586</v>
      </c>
      <c r="N56" s="94" t="str">
        <f t="shared" ca="1" si="18"/>
        <v/>
      </c>
      <c r="O56" s="84">
        <f t="shared" ca="1" si="35"/>
        <v>-144465.73004342912</v>
      </c>
      <c r="P56" s="85">
        <f t="shared" si="19"/>
        <v>660</v>
      </c>
      <c r="Q56" s="90">
        <f>IFERROR(INDEX(Hoja1!$E$4:$E$38,MATCH(P56,Hoja1!$A$4:$A$38,0)),0)</f>
        <v>-72099</v>
      </c>
      <c r="R56" s="87">
        <f t="shared" si="20"/>
        <v>600.5</v>
      </c>
      <c r="S56" s="90">
        <f>IFERROR(INDEX(Hoja1!$E$45:$E$79,MATCH(R56,Hoja1!$A$45:$A$79,0)),0)*($C$3/$B$3)</f>
        <v>0</v>
      </c>
      <c r="T56" s="87">
        <f t="shared" si="2"/>
        <v>6605</v>
      </c>
      <c r="U56" s="90">
        <f>IFERROR(INDEX(Hoja1!$E$85:$E$130,MATCH(T56,Hoja1!$A$85:$A$130,0)),0)*($D$3/$B$3)</f>
        <v>0</v>
      </c>
      <c r="V56" s="84">
        <f t="shared" si="3"/>
        <v>24600</v>
      </c>
      <c r="W56" s="90">
        <f>IFERROR(INDEX(Hoja1!$E$137:$E$189,MATCH(V56,Hoja1!$A$137:$A$189,0)),0)*($E$3/$B$3)</f>
        <v>151135.58427033137</v>
      </c>
      <c r="AA56" s="87">
        <f t="shared" si="21"/>
        <v>660</v>
      </c>
      <c r="AB56" s="90">
        <f ca="1">IFERROR(INDEX(Hoja1!$W$4:$W$38,MATCH(AA56,Hoja1!$A$4:$A$38,0)),0)</f>
        <v>-225535</v>
      </c>
      <c r="AC56" s="87">
        <f t="shared" si="22"/>
        <v>600.5</v>
      </c>
      <c r="AD56" s="90">
        <f>IFERROR(INDEX(Hoja1!$W$45:$W$79,MATCH(AC56,Hoja1!$A$45:$A$79,0)),0)*($C$3/$B$3)</f>
        <v>0</v>
      </c>
      <c r="AE56" s="87">
        <f t="shared" si="4"/>
        <v>6605</v>
      </c>
      <c r="AF56" s="90">
        <f>IFERROR(INDEX(Hoja1!$W$85:$W$130,MATCH(AE56,Hoja1!$A$85:$A$130,0)),0)*($D$3/$B$3)</f>
        <v>0</v>
      </c>
      <c r="AG56" s="84">
        <f t="shared" si="5"/>
        <v>24600</v>
      </c>
      <c r="AH56" s="90">
        <f ca="1">IFERROR(INDEX(Hoja1!$W$137:$W$189,MATCH(AG56,Hoja1!$A$137:$A$189,0)),0)*($E$3/$B$3)</f>
        <v>-21766.505848057586</v>
      </c>
    </row>
    <row r="57" spans="1:34" s="86" customFormat="1" ht="7.5" customHeight="1" x14ac:dyDescent="0.25">
      <c r="A57" s="67">
        <f t="shared" si="36"/>
        <v>659.5</v>
      </c>
      <c r="B57" s="72">
        <f t="shared" si="6"/>
        <v>0</v>
      </c>
      <c r="C57" s="72">
        <f t="shared" si="7"/>
        <v>-85561.887084300077</v>
      </c>
      <c r="D57" s="72">
        <f t="shared" si="8"/>
        <v>0</v>
      </c>
      <c r="E57" s="72">
        <f t="shared" si="9"/>
        <v>-372.71414123386279</v>
      </c>
      <c r="F57" s="69">
        <f t="shared" si="10"/>
        <v>-85934.601225533945</v>
      </c>
      <c r="G57" s="83">
        <f t="shared" si="11"/>
        <v>-85934.601225533945</v>
      </c>
      <c r="H57" s="83">
        <f t="shared" ca="1" si="12"/>
        <v>-164478.10173121543</v>
      </c>
      <c r="I57" s="69">
        <f t="shared" ca="1" si="13"/>
        <v>-164478.10173121543</v>
      </c>
      <c r="J57" s="72">
        <f t="shared" si="14"/>
        <v>0</v>
      </c>
      <c r="K57" s="72">
        <f t="shared" ca="1" si="15"/>
        <v>-165037.17294306622</v>
      </c>
      <c r="L57" s="72">
        <f t="shared" si="16"/>
        <v>0</v>
      </c>
      <c r="M57" s="90">
        <f t="shared" ca="1" si="17"/>
        <v>559.07121185079416</v>
      </c>
      <c r="N57" s="94" t="str">
        <f t="shared" ca="1" si="18"/>
        <v/>
      </c>
      <c r="O57" s="84">
        <f t="shared" ca="1" si="35"/>
        <v>-164828.52107799394</v>
      </c>
      <c r="P57" s="85">
        <f t="shared" si="19"/>
        <v>659.5</v>
      </c>
      <c r="Q57" s="90">
        <f>IFERROR(INDEX(Hoja1!$E$4:$E$38,MATCH(P57,Hoja1!$A$4:$A$38,0)),0)</f>
        <v>0</v>
      </c>
      <c r="R57" s="87">
        <f t="shared" si="20"/>
        <v>600</v>
      </c>
      <c r="S57" s="90">
        <f>IFERROR(INDEX(Hoja1!$E$45:$E$79,MATCH(R57,Hoja1!$A$45:$A$79,0)),0)*($C$3/$B$3)</f>
        <v>-85561.887084300077</v>
      </c>
      <c r="T57" s="87">
        <f t="shared" si="2"/>
        <v>6600</v>
      </c>
      <c r="U57" s="90">
        <f>IFERROR(INDEX(Hoja1!$E$85:$E$130,MATCH(T57,Hoja1!$A$85:$A$130,0)),0)*($D$3/$B$3)</f>
        <v>0</v>
      </c>
      <c r="V57" s="84">
        <f t="shared" si="3"/>
        <v>24575</v>
      </c>
      <c r="W57" s="90">
        <f>IFERROR(INDEX(Hoja1!$E$137:$E$189,MATCH(V57,Hoja1!$A$137:$A$189,0)),0)*($E$3/$B$3)</f>
        <v>-372.71414123386279</v>
      </c>
      <c r="AA57" s="87">
        <f t="shared" si="21"/>
        <v>659.5</v>
      </c>
      <c r="AB57" s="90">
        <f>IFERROR(INDEX(Hoja1!$W$4:$W$38,MATCH(AA57,Hoja1!$A$4:$A$38,0)),0)</f>
        <v>0</v>
      </c>
      <c r="AC57" s="87">
        <f t="shared" si="22"/>
        <v>600</v>
      </c>
      <c r="AD57" s="90">
        <f ca="1">IFERROR(INDEX(Hoja1!$W$45:$W$79,MATCH(AC57,Hoja1!$A$45:$A$79,0)),0)*($C$3/$B$3)</f>
        <v>-165037.17294306622</v>
      </c>
      <c r="AE57" s="87">
        <f t="shared" si="4"/>
        <v>6600</v>
      </c>
      <c r="AF57" s="90">
        <f>IFERROR(INDEX(Hoja1!$W$85:$W$130,MATCH(AE57,Hoja1!$A$85:$A$130,0)),0)*($D$3/$B$3)</f>
        <v>0</v>
      </c>
      <c r="AG57" s="84">
        <f t="shared" si="5"/>
        <v>24575</v>
      </c>
      <c r="AH57" s="90">
        <f ca="1">IFERROR(INDEX(Hoja1!$W$137:$W$189,MATCH(AG57,Hoja1!$A$137:$A$189,0)),0)*($E$3/$B$3)</f>
        <v>559.07121185079416</v>
      </c>
    </row>
    <row r="58" spans="1:34" s="86" customFormat="1" ht="7.5" customHeight="1" x14ac:dyDescent="0.25">
      <c r="A58" s="67">
        <f t="shared" si="36"/>
        <v>659</v>
      </c>
      <c r="B58" s="72">
        <f t="shared" si="6"/>
        <v>-9204</v>
      </c>
      <c r="C58" s="72">
        <f t="shared" si="7"/>
        <v>0</v>
      </c>
      <c r="D58" s="72">
        <f t="shared" si="8"/>
        <v>0</v>
      </c>
      <c r="E58" s="72">
        <f t="shared" si="9"/>
        <v>-894.5139389612707</v>
      </c>
      <c r="F58" s="69">
        <f t="shared" si="10"/>
        <v>-10098.51393896127</v>
      </c>
      <c r="G58" s="83">
        <f t="shared" si="11"/>
        <v>-10098.51393896127</v>
      </c>
      <c r="H58" s="83">
        <f t="shared" ca="1" si="12"/>
        <v>-82705.955654708785</v>
      </c>
      <c r="I58" s="69">
        <f t="shared" ca="1" si="13"/>
        <v>-82705.955654708785</v>
      </c>
      <c r="J58" s="72">
        <f t="shared" ca="1" si="14"/>
        <v>-78867</v>
      </c>
      <c r="K58" s="72">
        <f t="shared" si="15"/>
        <v>0</v>
      </c>
      <c r="L58" s="72">
        <f t="shared" si="16"/>
        <v>0</v>
      </c>
      <c r="M58" s="90">
        <f t="shared" ca="1" si="17"/>
        <v>-3838.9556547087868</v>
      </c>
      <c r="N58" s="94" t="str">
        <f t="shared" ca="1" si="18"/>
        <v/>
      </c>
      <c r="O58" s="84">
        <f t="shared" ca="1" si="35"/>
        <v>-83674.337680211</v>
      </c>
      <c r="P58" s="85">
        <f t="shared" si="19"/>
        <v>659</v>
      </c>
      <c r="Q58" s="90">
        <f>IFERROR(INDEX(Hoja1!$E$4:$E$38,MATCH(P58,Hoja1!$A$4:$A$38,0)),0)</f>
        <v>-9204</v>
      </c>
      <c r="R58" s="87">
        <f t="shared" si="20"/>
        <v>599.5</v>
      </c>
      <c r="S58" s="90">
        <f>IFERROR(INDEX(Hoja1!$E$45:$E$79,MATCH(R58,Hoja1!$A$45:$A$79,0)),0)*($C$3/$B$3)</f>
        <v>0</v>
      </c>
      <c r="T58" s="87">
        <f t="shared" si="2"/>
        <v>6595</v>
      </c>
      <c r="U58" s="90">
        <f>IFERROR(INDEX(Hoja1!$E$85:$E$130,MATCH(T58,Hoja1!$A$85:$A$130,0)),0)*($D$3/$B$3)</f>
        <v>0</v>
      </c>
      <c r="V58" s="84">
        <f t="shared" si="3"/>
        <v>24550</v>
      </c>
      <c r="W58" s="90">
        <f>IFERROR(INDEX(Hoja1!$E$137:$E$189,MATCH(V58,Hoja1!$A$137:$A$189,0)),0)*($E$3/$B$3)</f>
        <v>-894.5139389612707</v>
      </c>
      <c r="AA58" s="87">
        <f t="shared" si="21"/>
        <v>659</v>
      </c>
      <c r="AB58" s="90">
        <f ca="1">IFERROR(INDEX(Hoja1!$W$4:$W$38,MATCH(AA58,Hoja1!$A$4:$A$38,0)),0)</f>
        <v>-78867</v>
      </c>
      <c r="AC58" s="87">
        <f t="shared" si="22"/>
        <v>599.5</v>
      </c>
      <c r="AD58" s="90">
        <f>IFERROR(INDEX(Hoja1!$W$45:$W$79,MATCH(AC58,Hoja1!$A$45:$A$79,0)),0)*($C$3/$B$3)</f>
        <v>0</v>
      </c>
      <c r="AE58" s="87">
        <f t="shared" si="4"/>
        <v>6595</v>
      </c>
      <c r="AF58" s="90">
        <f>IFERROR(INDEX(Hoja1!$W$85:$W$130,MATCH(AE58,Hoja1!$A$85:$A$130,0)),0)*($D$3/$B$3)</f>
        <v>0</v>
      </c>
      <c r="AG58" s="84">
        <f t="shared" si="5"/>
        <v>24550</v>
      </c>
      <c r="AH58" s="90">
        <f ca="1">IFERROR(INDEX(Hoja1!$W$137:$W$189,MATCH(AG58,Hoja1!$A$137:$A$189,0)),0)*($E$3/$B$3)</f>
        <v>-3838.9556547087868</v>
      </c>
    </row>
    <row r="59" spans="1:34" s="86" customFormat="1" ht="7.5" customHeight="1" x14ac:dyDescent="0.25">
      <c r="A59" s="67">
        <f t="shared" si="36"/>
        <v>658.5</v>
      </c>
      <c r="B59" s="72">
        <f t="shared" si="6"/>
        <v>0</v>
      </c>
      <c r="C59" s="72">
        <f t="shared" si="7"/>
        <v>0</v>
      </c>
      <c r="D59" s="72">
        <f t="shared" si="8"/>
        <v>0</v>
      </c>
      <c r="E59" s="72">
        <f t="shared" si="9"/>
        <v>-894.5139389612707</v>
      </c>
      <c r="F59" s="69">
        <f t="shared" si="10"/>
        <v>-894.5139389612707</v>
      </c>
      <c r="G59" s="83">
        <f t="shared" si="11"/>
        <v>-894.5139389612707</v>
      </c>
      <c r="H59" s="83">
        <f t="shared" ca="1" si="12"/>
        <v>-3838.9556547087868</v>
      </c>
      <c r="I59" s="69">
        <f t="shared" ca="1" si="13"/>
        <v>-3838.9556547087868</v>
      </c>
      <c r="J59" s="72">
        <f t="shared" si="14"/>
        <v>0</v>
      </c>
      <c r="K59" s="72">
        <f t="shared" si="15"/>
        <v>0</v>
      </c>
      <c r="L59" s="72">
        <f t="shared" si="16"/>
        <v>0</v>
      </c>
      <c r="M59" s="90">
        <f t="shared" ca="1" si="17"/>
        <v>-3838.9556547087868</v>
      </c>
      <c r="N59" s="94" t="str">
        <f t="shared" ca="1" si="18"/>
        <v/>
      </c>
      <c r="O59" s="84">
        <f t="shared" ca="1" si="35"/>
        <v>-62181.730955638843</v>
      </c>
      <c r="P59" s="85">
        <f t="shared" si="19"/>
        <v>658.5</v>
      </c>
      <c r="Q59" s="90">
        <f>IFERROR(INDEX(Hoja1!$E$4:$E$38,MATCH(P59,Hoja1!$A$4:$A$38,0)),0)</f>
        <v>0</v>
      </c>
      <c r="R59" s="87">
        <f t="shared" si="20"/>
        <v>599.5</v>
      </c>
      <c r="S59" s="90">
        <f>IFERROR(INDEX(Hoja1!$E$45:$E$79,MATCH(R59,Hoja1!$A$45:$A$79,0)),0)*($C$3/$B$3)</f>
        <v>0</v>
      </c>
      <c r="T59" s="87">
        <f t="shared" si="2"/>
        <v>6590</v>
      </c>
      <c r="U59" s="90">
        <f>IFERROR(INDEX(Hoja1!$E$85:$E$130,MATCH(T59,Hoja1!$A$85:$A$130,0)),0)*($D$3/$B$3)</f>
        <v>0</v>
      </c>
      <c r="V59" s="84">
        <f t="shared" si="3"/>
        <v>24550</v>
      </c>
      <c r="W59" s="90">
        <f>IFERROR(INDEX(Hoja1!$E$137:$E$189,MATCH(V59,Hoja1!$A$137:$A$189,0)),0)*($E$3/$B$3)</f>
        <v>-894.5139389612707</v>
      </c>
      <c r="AA59" s="87">
        <f t="shared" si="21"/>
        <v>658.5</v>
      </c>
      <c r="AB59" s="90">
        <f>IFERROR(INDEX(Hoja1!$W$4:$W$38,MATCH(AA59,Hoja1!$A$4:$A$38,0)),0)</f>
        <v>0</v>
      </c>
      <c r="AC59" s="87">
        <f t="shared" si="22"/>
        <v>599.5</v>
      </c>
      <c r="AD59" s="90">
        <f>IFERROR(INDEX(Hoja1!$W$45:$W$79,MATCH(AC59,Hoja1!$A$45:$A$79,0)),0)*($C$3/$B$3)</f>
        <v>0</v>
      </c>
      <c r="AE59" s="87">
        <f t="shared" si="4"/>
        <v>6590</v>
      </c>
      <c r="AF59" s="90">
        <f>IFERROR(INDEX(Hoja1!$W$85:$W$130,MATCH(AE59,Hoja1!$A$85:$A$130,0)),0)*($D$3/$B$3)</f>
        <v>0</v>
      </c>
      <c r="AG59" s="84">
        <f t="shared" si="5"/>
        <v>24550</v>
      </c>
      <c r="AH59" s="90">
        <f ca="1">IFERROR(INDEX(Hoja1!$W$137:$W$189,MATCH(AG59,Hoja1!$A$137:$A$189,0)),0)*($E$3/$B$3)</f>
        <v>-3838.9556547087868</v>
      </c>
    </row>
    <row r="60" spans="1:34" s="86" customFormat="1" ht="7.5" customHeight="1" thickBot="1" x14ac:dyDescent="0.3">
      <c r="A60" s="67">
        <f t="shared" si="36"/>
        <v>658</v>
      </c>
      <c r="B60" s="73">
        <f t="shared" si="6"/>
        <v>-7528</v>
      </c>
      <c r="C60" s="73">
        <f t="shared" si="7"/>
        <v>-2119.5715093104882</v>
      </c>
      <c r="D60" s="73">
        <f t="shared" si="8"/>
        <v>0</v>
      </c>
      <c r="E60" s="73">
        <f t="shared" si="9"/>
        <v>-782.69969659111189</v>
      </c>
      <c r="F60" s="70">
        <f t="shared" si="10"/>
        <v>-10430.271205901599</v>
      </c>
      <c r="G60" s="83">
        <f t="shared" si="11"/>
        <v>-10430.271205901599</v>
      </c>
      <c r="H60" s="83">
        <f t="shared" ca="1" si="12"/>
        <v>-100000.28155749897</v>
      </c>
      <c r="I60" s="70">
        <f t="shared" ca="1" si="13"/>
        <v>-100000.28155749897</v>
      </c>
      <c r="J60" s="73">
        <f t="shared" ca="1" si="14"/>
        <v>-72662</v>
      </c>
      <c r="K60" s="73">
        <f t="shared" ca="1" si="15"/>
        <v>-26928.296002141709</v>
      </c>
      <c r="L60" s="73">
        <f t="shared" si="16"/>
        <v>0</v>
      </c>
      <c r="M60" s="91">
        <f t="shared" ca="1" si="17"/>
        <v>-409.98555535724904</v>
      </c>
      <c r="N60" s="94" t="str">
        <f t="shared" ca="1" si="18"/>
        <v/>
      </c>
      <c r="O60" s="84"/>
      <c r="P60" s="85">
        <f t="shared" si="19"/>
        <v>658</v>
      </c>
      <c r="Q60" s="91">
        <f>IFERROR(INDEX(Hoja1!$E$4:$E$38,MATCH(P60,Hoja1!$A$4:$A$38,0)),0)</f>
        <v>-7528</v>
      </c>
      <c r="R60" s="87">
        <f t="shared" si="20"/>
        <v>599</v>
      </c>
      <c r="S60" s="91">
        <f>IFERROR(INDEX(Hoja1!$E$45:$E$79,MATCH(R60,Hoja1!$A$45:$A$79,0)),0)*($C$3/$B$3)</f>
        <v>-2119.5715093104882</v>
      </c>
      <c r="T60" s="87">
        <f t="shared" si="2"/>
        <v>6585</v>
      </c>
      <c r="U60" s="91">
        <f>IFERROR(INDEX(Hoja1!$E$85:$E$130,MATCH(T60,Hoja1!$A$85:$A$130,0)),0)*($D$3/$B$3)</f>
        <v>0</v>
      </c>
      <c r="V60" s="84">
        <f t="shared" si="3"/>
        <v>24525</v>
      </c>
      <c r="W60" s="91">
        <f>IFERROR(INDEX(Hoja1!$E$137:$E$189,MATCH(V60,Hoja1!$A$137:$A$189,0)),0)*($E$3/$B$3)</f>
        <v>-782.69969659111189</v>
      </c>
      <c r="AA60" s="87">
        <f t="shared" si="21"/>
        <v>658</v>
      </c>
      <c r="AB60" s="91">
        <f ca="1">IFERROR(INDEX(Hoja1!$W$4:$W$38,MATCH(AA60,Hoja1!$A$4:$A$38,0)),0)</f>
        <v>-72662</v>
      </c>
      <c r="AC60" s="87">
        <f t="shared" si="22"/>
        <v>599</v>
      </c>
      <c r="AD60" s="91">
        <f ca="1">IFERROR(INDEX(Hoja1!$W$45:$W$79,MATCH(AC60,Hoja1!$A$45:$A$79,0)),0)*($C$3/$B$3)</f>
        <v>-26928.296002141709</v>
      </c>
      <c r="AE60" s="87">
        <f t="shared" si="4"/>
        <v>6585</v>
      </c>
      <c r="AF60" s="91">
        <f>IFERROR(INDEX(Hoja1!$W$85:$W$130,MATCH(AE60,Hoja1!$A$85:$A$130,0)),0)*($D$3/$B$3)</f>
        <v>0</v>
      </c>
      <c r="AG60" s="84">
        <f t="shared" si="5"/>
        <v>24525</v>
      </c>
      <c r="AH60" s="91">
        <f ca="1">IFERROR(INDEX(Hoja1!$W$137:$W$189,MATCH(AG60,Hoja1!$A$137:$A$189,0)),0)*($E$3/$B$3)</f>
        <v>-409.98555535724904</v>
      </c>
    </row>
    <row r="61" spans="1:34" x14ac:dyDescent="0.25">
      <c r="N61" s="93">
        <f ca="1">MATCH(MIN($O$4:$O$60),$O$4:$O$60,0)+2+1</f>
        <v>47</v>
      </c>
    </row>
  </sheetData>
  <conditionalFormatting sqref="A4:M60">
    <cfRule type="expression" dxfId="35" priority="228">
      <formula>$H4=MAX($H$4:$H$60)</formula>
    </cfRule>
    <cfRule type="expression" dxfId="34" priority="227">
      <formula>$H4=MIN($H$4:$H$60)</formula>
    </cfRule>
    <cfRule type="expression" dxfId="33" priority="226">
      <formula>$N4=$N$2</formula>
    </cfRule>
    <cfRule type="expression" dxfId="32" priority="223">
      <formula>$A4=ROUND($B$3/$A$3,0)*$A$3</formula>
    </cfRule>
  </conditionalFormatting>
  <conditionalFormatting sqref="B4:B60">
    <cfRule type="colorScale" priority="20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C4:C60">
    <cfRule type="colorScale" priority="20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:D60">
    <cfRule type="colorScale" priority="19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E4:E60">
    <cfRule type="colorScale" priority="18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H4:H60">
    <cfRule type="dataBar" priority="49">
      <dataBar showValue="0">
        <cfvo type="num" val="-$H$1"/>
        <cfvo type="num" val="$H$1"/>
        <color rgb="FF63C384"/>
      </dataBar>
      <extLst>
        <ext xmlns:x14="http://schemas.microsoft.com/office/spreadsheetml/2009/9/main" uri="{B025F937-C7B1-47D3-B67F-A62EFF666E3E}">
          <x14:id>{07C6D5D2-862A-4E79-92E7-E7EABE5E6F6F}</x14:id>
        </ext>
      </extLst>
    </cfRule>
  </conditionalFormatting>
  <conditionalFormatting sqref="O5:O59">
    <cfRule type="dataBar" priority="48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{ACECAB0D-E3FF-4FE7-8CCA-66B5A8A4D4AF}</x14:id>
        </ext>
      </extLst>
    </cfRule>
  </conditionalFormatting>
  <conditionalFormatting sqref="J4:J60">
    <cfRule type="colorScale" priority="4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K4:K60">
    <cfRule type="colorScale" priority="4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L4:L60">
    <cfRule type="colorScale" priority="4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M4:M60">
    <cfRule type="colorScale" priority="4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4:G60">
    <cfRule type="dataBar" priority="43">
      <dataBar showValue="0">
        <cfvo type="num" val="-$G$1"/>
        <cfvo type="num" val="$G$1"/>
        <color rgb="FF63C384"/>
      </dataBar>
      <extLst>
        <ext xmlns:x14="http://schemas.microsoft.com/office/spreadsheetml/2009/9/main" uri="{B025F937-C7B1-47D3-B67F-A62EFF666E3E}">
          <x14:id>{6F4141F3-6B63-4F8E-AA6B-CDA4B46B14EC}</x14:id>
        </ext>
      </extLst>
    </cfRule>
  </conditionalFormatting>
  <conditionalFormatting sqref="Q4:Q60">
    <cfRule type="expression" dxfId="31" priority="39">
      <formula>$A4=ROUND($B$3/$A$3,0)*$A$3</formula>
    </cfRule>
    <cfRule type="expression" dxfId="30" priority="40">
      <formula>$N4=$N$2</formula>
    </cfRule>
    <cfRule type="expression" dxfId="29" priority="41">
      <formula>$H4=MIN($H$4:$H$60)</formula>
    </cfRule>
    <cfRule type="expression" dxfId="28" priority="42">
      <formula>$H4=MAX($H$4:$H$60)</formula>
    </cfRule>
  </conditionalFormatting>
  <conditionalFormatting sqref="Q4:Q60">
    <cfRule type="colorScale" priority="3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S4:S60">
    <cfRule type="expression" dxfId="27" priority="34">
      <formula>$A4=ROUND($B$3/$A$3,0)*$A$3</formula>
    </cfRule>
    <cfRule type="expression" dxfId="26" priority="35">
      <formula>$N4=$N$2</formula>
    </cfRule>
    <cfRule type="expression" dxfId="25" priority="36">
      <formula>$H4=MIN($H$4:$H$60)</formula>
    </cfRule>
    <cfRule type="expression" dxfId="24" priority="37">
      <formula>$H4=MAX($H$4:$H$60)</formula>
    </cfRule>
  </conditionalFormatting>
  <conditionalFormatting sqref="S4:S60">
    <cfRule type="colorScale" priority="3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U4:U60">
    <cfRule type="expression" dxfId="23" priority="29">
      <formula>$A4=ROUND($B$3/$A$3,0)*$A$3</formula>
    </cfRule>
    <cfRule type="expression" dxfId="22" priority="30">
      <formula>$N4=$N$2</formula>
    </cfRule>
    <cfRule type="expression" dxfId="21" priority="31">
      <formula>$H4=MIN($H$4:$H$60)</formula>
    </cfRule>
    <cfRule type="expression" dxfId="20" priority="32">
      <formula>$H4=MAX($H$4:$H$60)</formula>
    </cfRule>
  </conditionalFormatting>
  <conditionalFormatting sqref="U4:U60">
    <cfRule type="colorScale" priority="2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W4:W60">
    <cfRule type="expression" dxfId="19" priority="24">
      <formula>$A4=ROUND($B$3/$A$3,0)*$A$3</formula>
    </cfRule>
    <cfRule type="expression" dxfId="18" priority="25">
      <formula>$N4=$N$2</formula>
    </cfRule>
    <cfRule type="expression" dxfId="17" priority="26">
      <formula>$H4=MIN($H$4:$H$60)</formula>
    </cfRule>
    <cfRule type="expression" dxfId="16" priority="27">
      <formula>$H4=MAX($H$4:$H$60)</formula>
    </cfRule>
  </conditionalFormatting>
  <conditionalFormatting sqref="W4:W60">
    <cfRule type="colorScale" priority="2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AB4:AB60">
    <cfRule type="expression" dxfId="15" priority="19">
      <formula>$A4=ROUND($B$3/$A$3,0)*$A$3</formula>
    </cfRule>
    <cfRule type="expression" dxfId="14" priority="20">
      <formula>$N4=$N$2</formula>
    </cfRule>
    <cfRule type="expression" dxfId="13" priority="21">
      <formula>$H4=MIN($H$4:$H$60)</formula>
    </cfRule>
    <cfRule type="expression" dxfId="12" priority="22">
      <formula>$H4=MAX($H$4:$H$60)</formula>
    </cfRule>
  </conditionalFormatting>
  <conditionalFormatting sqref="AB4:AB60">
    <cfRule type="colorScale" priority="1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AD4:AD60">
    <cfRule type="expression" dxfId="11" priority="14">
      <formula>$A4=ROUND($B$3/$A$3,0)*$A$3</formula>
    </cfRule>
    <cfRule type="expression" dxfId="10" priority="15">
      <formula>$N4=$N$2</formula>
    </cfRule>
    <cfRule type="expression" dxfId="9" priority="16">
      <formula>$H4=MIN($H$4:$H$60)</formula>
    </cfRule>
    <cfRule type="expression" dxfId="8" priority="17">
      <formula>$H4=MAX($H$4:$H$60)</formula>
    </cfRule>
  </conditionalFormatting>
  <conditionalFormatting sqref="AD4:AD60">
    <cfRule type="colorScale" priority="1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AF4:AF60">
    <cfRule type="expression" dxfId="7" priority="9">
      <formula>$A4=ROUND($B$3/$A$3,0)*$A$3</formula>
    </cfRule>
    <cfRule type="expression" dxfId="6" priority="10">
      <formula>$N4=$N$2</formula>
    </cfRule>
    <cfRule type="expression" dxfId="5" priority="11">
      <formula>$H4=MIN($H$4:$H$60)</formula>
    </cfRule>
    <cfRule type="expression" dxfId="4" priority="12">
      <formula>$H4=MAX($H$4:$H$60)</formula>
    </cfRule>
  </conditionalFormatting>
  <conditionalFormatting sqref="AF4:AF60">
    <cfRule type="colorScale" priority="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AH4:AH60">
    <cfRule type="expression" dxfId="3" priority="4">
      <formula>$A4=ROUND($B$3/$A$3,0)*$A$3</formula>
    </cfRule>
    <cfRule type="expression" dxfId="2" priority="5">
      <formula>$N4=$N$2</formula>
    </cfRule>
    <cfRule type="expression" dxfId="1" priority="6">
      <formula>$H4=MIN($H$4:$H$60)</formula>
    </cfRule>
    <cfRule type="expression" dxfId="0" priority="7">
      <formula>$H4=MAX($H$4:$H$60)</formula>
    </cfRule>
  </conditionalFormatting>
  <conditionalFormatting sqref="AH4:AH60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F4:F60">
    <cfRule type="colorScale" priority="2">
      <colorScale>
        <cfvo type="num" val="-$G$1"/>
        <cfvo type="num" val="0"/>
        <cfvo type="num" val="$G$1"/>
        <color rgb="FFF8696B"/>
        <color rgb="FFFCFCFF"/>
        <color rgb="FF63BE7B"/>
      </colorScale>
    </cfRule>
  </conditionalFormatting>
  <conditionalFormatting sqref="I4:I60">
    <cfRule type="colorScale" priority="1">
      <colorScale>
        <cfvo type="num" val="-$H$1"/>
        <cfvo type="num" val="0"/>
        <cfvo type="num" val="$H$1"/>
        <color rgb="FFF8696B"/>
        <color rgb="FFFCFCFF"/>
        <color rgb="FF63BE7B"/>
      </colorScale>
    </cfRule>
  </conditionalFormatting>
  <dataValidations disablePrompts="1" count="1">
    <dataValidation type="list" allowBlank="1" showInputMessage="1" showErrorMessage="1" sqref="A1" xr:uid="{00000000-0002-0000-0200-000000000000}">
      <formula1>"ABS,NET"</formula1>
    </dataValidation>
  </dataValidations>
  <pageMargins left="0.7" right="0.7" top="0.75" bottom="0.75" header="0.3" footer="0.3"/>
  <pageSetup paperSize="9" orientation="portrait" r:id="rId1"/>
  <ignoredErrors>
    <ignoredError sqref="H4:H60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C6D5D2-862A-4E79-92E7-E7EABE5E6F6F}">
            <x14:dataBar minLength="0" maxLength="100" gradient="0">
              <x14:cfvo type="num">
                <xm:f>-$H$1</xm:f>
              </x14:cfvo>
              <x14:cfvo type="num">
                <xm:f>$H$1</xm:f>
              </x14:cfvo>
              <x14:negativeFillColor rgb="FFFF0000"/>
              <x14:axisColor rgb="FF000000"/>
            </x14:dataBar>
          </x14:cfRule>
          <xm:sqref>H4:H60</xm:sqref>
        </x14:conditionalFormatting>
        <x14:conditionalFormatting xmlns:xm="http://schemas.microsoft.com/office/excel/2006/main">
          <x14:cfRule type="dataBar" id="{ACECAB0D-E3FF-4FE7-8CCA-66B5A8A4D4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O5:O59</xm:sqref>
        </x14:conditionalFormatting>
        <x14:conditionalFormatting xmlns:xm="http://schemas.microsoft.com/office/excel/2006/main">
          <x14:cfRule type="dataBar" id="{6F4141F3-6B63-4F8E-AA6B-CDA4B46B14EC}">
            <x14:dataBar minLength="0" maxLength="100" gradient="0">
              <x14:cfvo type="num">
                <xm:f>-$G$1</xm:f>
              </x14:cfvo>
              <x14:cfvo type="num">
                <xm:f>$G$1</xm:f>
              </x14:cfvo>
              <x14:negativeFillColor rgb="FFFF0000"/>
              <x14:axisColor rgb="FF000000"/>
            </x14:dataBar>
          </x14:cfRule>
          <xm:sqref>G4:G60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2024-08-10T16:05:50Z</dcterms:created>
  <dcterms:modified xsi:type="dcterms:W3CDTF">2025-11-09T03:01:43Z</dcterms:modified>
</cp:coreProperties>
</file>